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gerardoortizcorp-my.sharepoint.com/personal/palvarado_gerardoortiz_com/Documents/Pablo Alvarado/Contraloría/IA INFORMES RETAIL/Flujo registro de informes retail/"/>
    </mc:Choice>
  </mc:AlternateContent>
  <xr:revisionPtr revIDLastSave="357" documentId="11_C4E3793BB43E108483EE571E1739DECDC8879ED2" xr6:coauthVersionLast="47" xr6:coauthVersionMax="47" xr10:uidLastSave="{68F4D78A-4AF2-4C22-A95E-C69590B535B5}"/>
  <bookViews>
    <workbookView xWindow="-120" yWindow="-120" windowWidth="20640" windowHeight="11160" tabRatio="500" xr2:uid="{00000000-000D-0000-FFFF-FFFF00000000}"/>
  </bookViews>
  <sheets>
    <sheet name="Registro_Auditorias" sheetId="1" r:id="rId1"/>
    <sheet name="Resumen" sheetId="2" r:id="rId2"/>
    <sheet name="Detalle_SKUs" sheetId="3" r:id="rId3"/>
    <sheet name="Score" sheetId="4" r:id="rId4"/>
    <sheet name="_Lista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511" i="1" l="1"/>
  <c r="AC510" i="1"/>
  <c r="V512" i="1"/>
  <c r="AI512" i="1" s="1"/>
  <c r="AB512" i="1"/>
  <c r="AF512" i="1"/>
  <c r="AA511" i="1"/>
  <c r="AF511" i="1" s="1"/>
  <c r="V511" i="1"/>
  <c r="AJ511" i="1" s="1"/>
  <c r="U511" i="1"/>
  <c r="T511" i="1"/>
  <c r="AA510" i="1"/>
  <c r="AF510" i="1" s="1"/>
  <c r="V510" i="1"/>
  <c r="AJ510" i="1" s="1"/>
  <c r="U510" i="1"/>
  <c r="T510" i="1"/>
  <c r="AC509" i="1"/>
  <c r="AB509" i="1" s="1"/>
  <c r="AA509" i="1"/>
  <c r="AF509" i="1" s="1"/>
  <c r="V509" i="1"/>
  <c r="AI509" i="1" s="1"/>
  <c r="AC508" i="1"/>
  <c r="AB508" i="1" s="1"/>
  <c r="AA508" i="1"/>
  <c r="AF508" i="1" s="1"/>
  <c r="V508" i="1"/>
  <c r="AI508" i="1" s="1"/>
  <c r="AC507" i="1"/>
  <c r="AB507" i="1" s="1"/>
  <c r="AA507" i="1"/>
  <c r="AF507" i="1" s="1"/>
  <c r="V507" i="1"/>
  <c r="AJ507" i="1" s="1"/>
  <c r="AC506" i="1"/>
  <c r="AB506" i="1" s="1"/>
  <c r="AA506" i="1"/>
  <c r="AF506" i="1" s="1"/>
  <c r="V506" i="1"/>
  <c r="AI506" i="1" s="1"/>
  <c r="V505" i="1"/>
  <c r="V504" i="1"/>
  <c r="AJ504" i="1" s="1"/>
  <c r="V503" i="1"/>
  <c r="V502" i="1"/>
  <c r="V501" i="1"/>
  <c r="V500" i="1"/>
  <c r="V499" i="1"/>
  <c r="V498" i="1"/>
  <c r="V497" i="1"/>
  <c r="V495" i="1"/>
  <c r="V494" i="1"/>
  <c r="V493" i="1"/>
  <c r="V492" i="1"/>
  <c r="V491" i="1"/>
  <c r="V490" i="1"/>
  <c r="V489" i="1"/>
  <c r="V488" i="1"/>
  <c r="V487" i="1"/>
  <c r="V486" i="1"/>
  <c r="V485" i="1"/>
  <c r="V484" i="1"/>
  <c r="V483" i="1"/>
  <c r="V482" i="1"/>
  <c r="V481" i="1"/>
  <c r="V480" i="1"/>
  <c r="V479" i="1"/>
  <c r="V478" i="1"/>
  <c r="V477"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96" i="1"/>
  <c r="AF504" i="1"/>
  <c r="AC504" i="1"/>
  <c r="AB504" i="1" s="1"/>
  <c r="AB511" i="1" l="1"/>
  <c r="AJ512" i="1"/>
  <c r="AI511" i="1"/>
  <c r="AB510" i="1"/>
  <c r="AI510" i="1"/>
  <c r="AJ509" i="1"/>
  <c r="AJ508" i="1"/>
  <c r="AJ506" i="1"/>
  <c r="AI507" i="1"/>
  <c r="AI504" i="1"/>
  <c r="G108" i="2"/>
  <c r="F108" i="2"/>
  <c r="I1771" i="3"/>
  <c r="I1770" i="3"/>
  <c r="I1769" i="3"/>
  <c r="I1768" i="3"/>
  <c r="I1767" i="3"/>
  <c r="I1766" i="3"/>
  <c r="I1765" i="3"/>
  <c r="I1764" i="3"/>
  <c r="I1763" i="3"/>
  <c r="H1771" i="3"/>
  <c r="H1770" i="3"/>
  <c r="H1769" i="3"/>
  <c r="H1768" i="3"/>
  <c r="H1767" i="3"/>
  <c r="H1766" i="3"/>
  <c r="H1765" i="3"/>
  <c r="H1764" i="3"/>
  <c r="H1763" i="3"/>
  <c r="G17" i="2" l="1"/>
  <c r="F17" i="2"/>
  <c r="G5" i="2"/>
  <c r="F5" i="2"/>
  <c r="G4" i="2"/>
  <c r="F4" i="2"/>
  <c r="AA505" i="1"/>
  <c r="AF505" i="1" s="1"/>
  <c r="U505" i="1"/>
  <c r="AC505" i="1" s="1"/>
  <c r="AB505" i="1" s="1"/>
  <c r="T505" i="1"/>
  <c r="AA503" i="1"/>
  <c r="AF503" i="1" s="1"/>
  <c r="U503" i="1"/>
  <c r="AC503" i="1" s="1"/>
  <c r="AB503" i="1" s="1"/>
  <c r="T503" i="1"/>
  <c r="AA502" i="1"/>
  <c r="AF502" i="1" s="1"/>
  <c r="U502" i="1"/>
  <c r="AC502" i="1" s="1"/>
  <c r="AB502" i="1" s="1"/>
  <c r="T502" i="1"/>
  <c r="AA501" i="1"/>
  <c r="U501" i="1"/>
  <c r="AC501" i="1" s="1"/>
  <c r="AB501" i="1" s="1"/>
  <c r="T501" i="1"/>
  <c r="AA500" i="1"/>
  <c r="U500" i="1"/>
  <c r="AC500" i="1" s="1"/>
  <c r="AB500" i="1" s="1"/>
  <c r="T500" i="1"/>
  <c r="AA499" i="1"/>
  <c r="AF499" i="1" s="1"/>
  <c r="U499" i="1"/>
  <c r="AC499" i="1" s="1"/>
  <c r="AB499" i="1" s="1"/>
  <c r="T499" i="1"/>
  <c r="AA498" i="1"/>
  <c r="AI498" i="1" s="1"/>
  <c r="U498" i="1"/>
  <c r="AC498" i="1" s="1"/>
  <c r="AB498" i="1" s="1"/>
  <c r="T498" i="1"/>
  <c r="AA497" i="1"/>
  <c r="AF497" i="1" s="1"/>
  <c r="U497" i="1"/>
  <c r="AC497" i="1" s="1"/>
  <c r="AB497" i="1" s="1"/>
  <c r="T497" i="1"/>
  <c r="AA496" i="1"/>
  <c r="AF496" i="1" s="1"/>
  <c r="U496" i="1"/>
  <c r="AC496" i="1" s="1"/>
  <c r="AB496" i="1" s="1"/>
  <c r="T496" i="1"/>
  <c r="AA495" i="1"/>
  <c r="AF495" i="1" s="1"/>
  <c r="U495" i="1"/>
  <c r="AC495" i="1" s="1"/>
  <c r="AB495" i="1" s="1"/>
  <c r="T495" i="1"/>
  <c r="AA494" i="1"/>
  <c r="AF494" i="1" s="1"/>
  <c r="U494" i="1"/>
  <c r="AC494" i="1" s="1"/>
  <c r="AB494" i="1" s="1"/>
  <c r="T494" i="1"/>
  <c r="AA493" i="1"/>
  <c r="U493" i="1"/>
  <c r="AC493" i="1" s="1"/>
  <c r="AB493" i="1" s="1"/>
  <c r="T493" i="1"/>
  <c r="AA492" i="1"/>
  <c r="AF492" i="1" s="1"/>
  <c r="AJ492" i="1"/>
  <c r="U492" i="1"/>
  <c r="AC492" i="1" s="1"/>
  <c r="AB492" i="1" s="1"/>
  <c r="T492" i="1"/>
  <c r="AA491" i="1"/>
  <c r="AJ491" i="1" s="1"/>
  <c r="U491" i="1"/>
  <c r="AC491" i="1" s="1"/>
  <c r="AB491" i="1" s="1"/>
  <c r="T491" i="1"/>
  <c r="AA490" i="1"/>
  <c r="AF490" i="1" s="1"/>
  <c r="AI490" i="1"/>
  <c r="U490" i="1"/>
  <c r="AC490" i="1" s="1"/>
  <c r="AB490" i="1" s="1"/>
  <c r="T490" i="1"/>
  <c r="AA489" i="1"/>
  <c r="AF489" i="1" s="1"/>
  <c r="U489" i="1"/>
  <c r="AC489" i="1" s="1"/>
  <c r="AB489" i="1" s="1"/>
  <c r="T489" i="1"/>
  <c r="AA488" i="1"/>
  <c r="AF488" i="1" s="1"/>
  <c r="AI488" i="1"/>
  <c r="U488" i="1"/>
  <c r="AC488" i="1" s="1"/>
  <c r="AB488" i="1" s="1"/>
  <c r="T488" i="1"/>
  <c r="AA487" i="1"/>
  <c r="AF487" i="1" s="1"/>
  <c r="U487" i="1"/>
  <c r="AC487" i="1" s="1"/>
  <c r="AB487" i="1" s="1"/>
  <c r="T487" i="1"/>
  <c r="AA486" i="1"/>
  <c r="AF486" i="1" s="1"/>
  <c r="U486" i="1"/>
  <c r="AC486" i="1" s="1"/>
  <c r="AB486" i="1" s="1"/>
  <c r="T486" i="1"/>
  <c r="AA485" i="1"/>
  <c r="U485" i="1"/>
  <c r="AC485" i="1" s="1"/>
  <c r="AB485" i="1" s="1"/>
  <c r="T485" i="1"/>
  <c r="AA484" i="1"/>
  <c r="U484" i="1"/>
  <c r="AC484" i="1" s="1"/>
  <c r="AB484" i="1" s="1"/>
  <c r="T484" i="1"/>
  <c r="AA483" i="1"/>
  <c r="AI483" i="1" s="1"/>
  <c r="U483" i="1"/>
  <c r="AC483" i="1" s="1"/>
  <c r="AB483" i="1" s="1"/>
  <c r="T483" i="1"/>
  <c r="AA482" i="1"/>
  <c r="U482" i="1"/>
  <c r="AC482" i="1" s="1"/>
  <c r="AB482" i="1" s="1"/>
  <c r="T482" i="1"/>
  <c r="AA481" i="1"/>
  <c r="U481" i="1"/>
  <c r="AC481" i="1" s="1"/>
  <c r="AB481" i="1" s="1"/>
  <c r="T481" i="1"/>
  <c r="AA480" i="1"/>
  <c r="AF480" i="1" s="1"/>
  <c r="U480" i="1"/>
  <c r="AC480" i="1" s="1"/>
  <c r="AB480" i="1" s="1"/>
  <c r="T480" i="1"/>
  <c r="AA479" i="1"/>
  <c r="AF479" i="1" s="1"/>
  <c r="U479" i="1"/>
  <c r="AC479" i="1" s="1"/>
  <c r="AB479" i="1" s="1"/>
  <c r="T479" i="1"/>
  <c r="AF478" i="1"/>
  <c r="U478" i="1"/>
  <c r="AC478" i="1" s="1"/>
  <c r="AB478" i="1" s="1"/>
  <c r="AA477" i="1"/>
  <c r="AF477" i="1" s="1"/>
  <c r="U477" i="1"/>
  <c r="AC477" i="1" s="1"/>
  <c r="AB477" i="1" s="1"/>
  <c r="T477" i="1"/>
  <c r="W476" i="1"/>
  <c r="V476" i="1" s="1"/>
  <c r="U476" i="1"/>
  <c r="AC476" i="1" s="1"/>
  <c r="AB476" i="1" s="1"/>
  <c r="T476" i="1"/>
  <c r="AA475" i="1"/>
  <c r="U475" i="1"/>
  <c r="AC475" i="1" s="1"/>
  <c r="AB475" i="1" s="1"/>
  <c r="T475" i="1"/>
  <c r="AA474" i="1"/>
  <c r="AJ474" i="1" s="1"/>
  <c r="U474" i="1"/>
  <c r="AC474" i="1" s="1"/>
  <c r="AB474" i="1" s="1"/>
  <c r="T474" i="1"/>
  <c r="AA473" i="1"/>
  <c r="U473" i="1"/>
  <c r="AC473" i="1" s="1"/>
  <c r="AB473" i="1" s="1"/>
  <c r="T473" i="1"/>
  <c r="AA472" i="1"/>
  <c r="AF472" i="1" s="1"/>
  <c r="U472" i="1"/>
  <c r="AC472" i="1" s="1"/>
  <c r="AB472" i="1" s="1"/>
  <c r="T472" i="1"/>
  <c r="AA471" i="1"/>
  <c r="AF471" i="1" s="1"/>
  <c r="U471" i="1"/>
  <c r="AC471" i="1" s="1"/>
  <c r="AB471" i="1" s="1"/>
  <c r="T471" i="1"/>
  <c r="AA470" i="1"/>
  <c r="AF470" i="1" s="1"/>
  <c r="U470" i="1"/>
  <c r="AC470" i="1" s="1"/>
  <c r="AB470" i="1" s="1"/>
  <c r="T470" i="1"/>
  <c r="AA469" i="1"/>
  <c r="U469" i="1"/>
  <c r="AC469" i="1" s="1"/>
  <c r="AB469" i="1" s="1"/>
  <c r="T469" i="1"/>
  <c r="AA468" i="1"/>
  <c r="U468" i="1"/>
  <c r="AC468" i="1" s="1"/>
  <c r="AB468" i="1" s="1"/>
  <c r="T468" i="1"/>
  <c r="AA467" i="1"/>
  <c r="U467" i="1"/>
  <c r="AC467" i="1" s="1"/>
  <c r="AB467" i="1" s="1"/>
  <c r="T467" i="1"/>
  <c r="AA466" i="1"/>
  <c r="U466" i="1"/>
  <c r="AC466" i="1" s="1"/>
  <c r="AB466" i="1" s="1"/>
  <c r="T466" i="1"/>
  <c r="AA465" i="1"/>
  <c r="AF465" i="1" s="1"/>
  <c r="U465" i="1"/>
  <c r="AC465" i="1" s="1"/>
  <c r="AB465" i="1" s="1"/>
  <c r="T465" i="1"/>
  <c r="AA464" i="1"/>
  <c r="U464" i="1"/>
  <c r="AC464" i="1" s="1"/>
  <c r="AB464" i="1" s="1"/>
  <c r="T464" i="1"/>
  <c r="AA463" i="1"/>
  <c r="AF463" i="1" s="1"/>
  <c r="U463" i="1"/>
  <c r="AC463" i="1" s="1"/>
  <c r="AB463" i="1" s="1"/>
  <c r="T463" i="1"/>
  <c r="AA462" i="1"/>
  <c r="U462" i="1"/>
  <c r="AC462" i="1" s="1"/>
  <c r="AB462" i="1" s="1"/>
  <c r="T462" i="1"/>
  <c r="AA461" i="1"/>
  <c r="U461" i="1"/>
  <c r="AC461" i="1" s="1"/>
  <c r="AB461" i="1" s="1"/>
  <c r="T461" i="1"/>
  <c r="AA460" i="1"/>
  <c r="AI460" i="1" s="1"/>
  <c r="U460" i="1"/>
  <c r="AC460" i="1" s="1"/>
  <c r="AB460" i="1" s="1"/>
  <c r="T460" i="1"/>
  <c r="AA459" i="1"/>
  <c r="U459" i="1"/>
  <c r="AC459" i="1" s="1"/>
  <c r="AB459" i="1" s="1"/>
  <c r="T459" i="1"/>
  <c r="AA458" i="1"/>
  <c r="U458" i="1"/>
  <c r="AC458" i="1" s="1"/>
  <c r="AB458" i="1" s="1"/>
  <c r="T458" i="1"/>
  <c r="AA457" i="1"/>
  <c r="U457" i="1"/>
  <c r="AC457" i="1" s="1"/>
  <c r="AB457" i="1" s="1"/>
  <c r="T457" i="1"/>
  <c r="AA456" i="1"/>
  <c r="U456" i="1"/>
  <c r="AC456" i="1" s="1"/>
  <c r="AB456" i="1" s="1"/>
  <c r="T456" i="1"/>
  <c r="AA455" i="1"/>
  <c r="U455" i="1"/>
  <c r="AC455" i="1" s="1"/>
  <c r="AB455" i="1" s="1"/>
  <c r="T455" i="1"/>
  <c r="AA454" i="1"/>
  <c r="U454" i="1"/>
  <c r="AC454" i="1" s="1"/>
  <c r="AB454" i="1" s="1"/>
  <c r="T454" i="1"/>
  <c r="AA453" i="1"/>
  <c r="U453" i="1"/>
  <c r="AC453" i="1" s="1"/>
  <c r="AB453" i="1" s="1"/>
  <c r="T453" i="1"/>
  <c r="AA452" i="1"/>
  <c r="U452" i="1"/>
  <c r="AC452" i="1" s="1"/>
  <c r="AB452" i="1" s="1"/>
  <c r="T452" i="1"/>
  <c r="AA451" i="1"/>
  <c r="AF451" i="1" s="1"/>
  <c r="U451" i="1"/>
  <c r="AC451" i="1" s="1"/>
  <c r="AB451" i="1" s="1"/>
  <c r="T451" i="1"/>
  <c r="AA450" i="1"/>
  <c r="AF450" i="1" s="1"/>
  <c r="U450" i="1"/>
  <c r="AC450" i="1" s="1"/>
  <c r="AB450" i="1" s="1"/>
  <c r="T450" i="1"/>
  <c r="AA449" i="1"/>
  <c r="U449" i="1"/>
  <c r="AC449" i="1" s="1"/>
  <c r="AB449" i="1" s="1"/>
  <c r="T449" i="1"/>
  <c r="AA448" i="1"/>
  <c r="U448" i="1"/>
  <c r="AC448" i="1" s="1"/>
  <c r="AB448" i="1" s="1"/>
  <c r="T448" i="1"/>
  <c r="AA447" i="1"/>
  <c r="AF447" i="1" s="1"/>
  <c r="U447" i="1"/>
  <c r="AC447" i="1" s="1"/>
  <c r="AB447" i="1" s="1"/>
  <c r="T447" i="1"/>
  <c r="AA446" i="1"/>
  <c r="U446" i="1"/>
  <c r="AC446" i="1" s="1"/>
  <c r="AB446" i="1" s="1"/>
  <c r="T446" i="1"/>
  <c r="W445" i="1"/>
  <c r="V445" i="1" s="1"/>
  <c r="U445" i="1"/>
  <c r="AC445" i="1" s="1"/>
  <c r="AB445" i="1" s="1"/>
  <c r="T445" i="1"/>
  <c r="W444" i="1"/>
  <c r="U444" i="1"/>
  <c r="AC444" i="1" s="1"/>
  <c r="AB444" i="1" s="1"/>
  <c r="T444" i="1"/>
  <c r="AA443" i="1"/>
  <c r="AJ443" i="1" s="1"/>
  <c r="U443" i="1"/>
  <c r="AC443" i="1" s="1"/>
  <c r="AB443" i="1" s="1"/>
  <c r="T443" i="1"/>
  <c r="AA442" i="1"/>
  <c r="AF442" i="1" s="1"/>
  <c r="U442" i="1"/>
  <c r="AC442" i="1" s="1"/>
  <c r="AB442" i="1" s="1"/>
  <c r="T442" i="1"/>
  <c r="AA441" i="1"/>
  <c r="AF441" i="1" s="1"/>
  <c r="U441" i="1"/>
  <c r="AC441" i="1" s="1"/>
  <c r="AB441" i="1" s="1"/>
  <c r="T441" i="1"/>
  <c r="AA440" i="1"/>
  <c r="U440" i="1"/>
  <c r="AC440" i="1" s="1"/>
  <c r="AB440" i="1" s="1"/>
  <c r="T440" i="1"/>
  <c r="AA439" i="1"/>
  <c r="U439" i="1"/>
  <c r="AC439" i="1" s="1"/>
  <c r="AB439" i="1" s="1"/>
  <c r="T439" i="1"/>
  <c r="AA438" i="1"/>
  <c r="U438" i="1"/>
  <c r="AC438" i="1" s="1"/>
  <c r="AB438" i="1" s="1"/>
  <c r="T438" i="1"/>
  <c r="AA437" i="1"/>
  <c r="AF437" i="1" s="1"/>
  <c r="U437" i="1"/>
  <c r="AC437" i="1" s="1"/>
  <c r="AB437" i="1" s="1"/>
  <c r="T437" i="1"/>
  <c r="AA436" i="1"/>
  <c r="AF436" i="1" s="1"/>
  <c r="U436" i="1"/>
  <c r="AC436" i="1" s="1"/>
  <c r="AB436" i="1" s="1"/>
  <c r="AA435" i="1"/>
  <c r="U435" i="1"/>
  <c r="AC435" i="1" s="1"/>
  <c r="AB435" i="1" s="1"/>
  <c r="AA434" i="1"/>
  <c r="AF434" i="1" s="1"/>
  <c r="U434" i="1"/>
  <c r="AC434" i="1" s="1"/>
  <c r="AB434" i="1" s="1"/>
  <c r="T434" i="1"/>
  <c r="AA433" i="1"/>
  <c r="AF433" i="1" s="1"/>
  <c r="U433" i="1"/>
  <c r="AC433" i="1" s="1"/>
  <c r="AB433" i="1" s="1"/>
  <c r="AA432" i="1"/>
  <c r="U432" i="1"/>
  <c r="AC432" i="1" s="1"/>
  <c r="AB432" i="1" s="1"/>
  <c r="AA431" i="1"/>
  <c r="AF431" i="1" s="1"/>
  <c r="U431" i="1"/>
  <c r="AC431" i="1" s="1"/>
  <c r="AB431" i="1" s="1"/>
  <c r="T431" i="1"/>
  <c r="AA430" i="1"/>
  <c r="AF430" i="1" s="1"/>
  <c r="U430" i="1"/>
  <c r="AC430" i="1" s="1"/>
  <c r="AB430" i="1" s="1"/>
  <c r="AA429" i="1"/>
  <c r="AF429" i="1" s="1"/>
  <c r="U429" i="1"/>
  <c r="AC429" i="1" s="1"/>
  <c r="AB429" i="1" s="1"/>
  <c r="AA428" i="1"/>
  <c r="AF428" i="1" s="1"/>
  <c r="U428" i="1"/>
  <c r="AC428" i="1" s="1"/>
  <c r="AB428" i="1" s="1"/>
  <c r="AA427" i="1"/>
  <c r="AF427" i="1" s="1"/>
  <c r="U427" i="1"/>
  <c r="AC427" i="1" s="1"/>
  <c r="AB427" i="1" s="1"/>
  <c r="T427" i="1"/>
  <c r="AA426" i="1"/>
  <c r="AF426" i="1" s="1"/>
  <c r="U426" i="1"/>
  <c r="AC426" i="1" s="1"/>
  <c r="AB426" i="1" s="1"/>
  <c r="T426" i="1"/>
  <c r="AA425" i="1"/>
  <c r="U425" i="1"/>
  <c r="AC425" i="1" s="1"/>
  <c r="AB425" i="1" s="1"/>
  <c r="AA424" i="1"/>
  <c r="U424" i="1"/>
  <c r="AC424" i="1" s="1"/>
  <c r="AB424" i="1" s="1"/>
  <c r="T424" i="1"/>
  <c r="AA423" i="1"/>
  <c r="U423" i="1"/>
  <c r="AC423" i="1" s="1"/>
  <c r="AB423" i="1" s="1"/>
  <c r="AA422" i="1"/>
  <c r="U422" i="1"/>
  <c r="AC422" i="1" s="1"/>
  <c r="AB422" i="1" s="1"/>
  <c r="T422" i="1"/>
  <c r="AA421" i="1"/>
  <c r="U421" i="1"/>
  <c r="AC421" i="1" s="1"/>
  <c r="AB421" i="1" s="1"/>
  <c r="T421" i="1"/>
  <c r="AA420" i="1"/>
  <c r="AF420" i="1" s="1"/>
  <c r="U420" i="1"/>
  <c r="AC420" i="1" s="1"/>
  <c r="AB420" i="1" s="1"/>
  <c r="T420" i="1"/>
  <c r="AA419" i="1"/>
  <c r="AF419" i="1" s="1"/>
  <c r="U419" i="1"/>
  <c r="AC419" i="1" s="1"/>
  <c r="AB419" i="1" s="1"/>
  <c r="AA418" i="1"/>
  <c r="AJ418" i="1" s="1"/>
  <c r="U418" i="1"/>
  <c r="AC418" i="1" s="1"/>
  <c r="AB418" i="1" s="1"/>
  <c r="AA417" i="1"/>
  <c r="AF417" i="1" s="1"/>
  <c r="U417" i="1"/>
  <c r="AC417" i="1" s="1"/>
  <c r="AB417" i="1" s="1"/>
  <c r="AA416" i="1"/>
  <c r="U416" i="1"/>
  <c r="AC416" i="1" s="1"/>
  <c r="AB416" i="1" s="1"/>
  <c r="AA415" i="1"/>
  <c r="AF415" i="1" s="1"/>
  <c r="U415" i="1"/>
  <c r="AC415" i="1" s="1"/>
  <c r="AB415" i="1" s="1"/>
  <c r="T415" i="1"/>
  <c r="AA414" i="1"/>
  <c r="AF414" i="1" s="1"/>
  <c r="U414" i="1"/>
  <c r="AC414" i="1" s="1"/>
  <c r="AB414" i="1" s="1"/>
  <c r="AA413" i="1"/>
  <c r="AJ413" i="1" s="1"/>
  <c r="U413" i="1"/>
  <c r="AC413" i="1" s="1"/>
  <c r="AB413" i="1" s="1"/>
  <c r="T413" i="1"/>
  <c r="AA412" i="1"/>
  <c r="U412" i="1"/>
  <c r="AC412" i="1" s="1"/>
  <c r="AB412" i="1" s="1"/>
  <c r="T412" i="1"/>
  <c r="AA411" i="1"/>
  <c r="U411" i="1"/>
  <c r="AC411" i="1" s="1"/>
  <c r="AB411" i="1" s="1"/>
  <c r="T411" i="1"/>
  <c r="AA410" i="1"/>
  <c r="AF410" i="1" s="1"/>
  <c r="U410" i="1"/>
  <c r="AC410" i="1" s="1"/>
  <c r="AB410" i="1" s="1"/>
  <c r="T410" i="1"/>
  <c r="AA409" i="1"/>
  <c r="U409" i="1"/>
  <c r="AC409" i="1" s="1"/>
  <c r="AB409" i="1" s="1"/>
  <c r="AA408" i="1"/>
  <c r="AF408" i="1" s="1"/>
  <c r="U408" i="1"/>
  <c r="AC408" i="1" s="1"/>
  <c r="AB408" i="1" s="1"/>
  <c r="AA407" i="1"/>
  <c r="U407" i="1"/>
  <c r="AC407" i="1" s="1"/>
  <c r="AB407" i="1" s="1"/>
  <c r="AA406" i="1"/>
  <c r="U406" i="1"/>
  <c r="AC406" i="1" s="1"/>
  <c r="AB406" i="1" s="1"/>
  <c r="T406" i="1"/>
  <c r="AA405" i="1"/>
  <c r="AI405" i="1" s="1"/>
  <c r="U405" i="1"/>
  <c r="AC405" i="1" s="1"/>
  <c r="AB405" i="1" s="1"/>
  <c r="AA404" i="1"/>
  <c r="U404" i="1"/>
  <c r="AC404" i="1" s="1"/>
  <c r="AB404" i="1" s="1"/>
  <c r="T404" i="1"/>
  <c r="AA403" i="1"/>
  <c r="AF403" i="1" s="1"/>
  <c r="U403" i="1"/>
  <c r="AC403" i="1" s="1"/>
  <c r="AB403" i="1" s="1"/>
  <c r="T403" i="1"/>
  <c r="AA402" i="1"/>
  <c r="AF402" i="1" s="1"/>
  <c r="U402" i="1"/>
  <c r="AC402" i="1" s="1"/>
  <c r="AB402" i="1" s="1"/>
  <c r="AA401" i="1"/>
  <c r="AJ401" i="1" s="1"/>
  <c r="U401" i="1"/>
  <c r="AC401" i="1" s="1"/>
  <c r="AB401" i="1" s="1"/>
  <c r="AA400" i="1"/>
  <c r="AF400" i="1" s="1"/>
  <c r="U400" i="1"/>
  <c r="AC400" i="1" s="1"/>
  <c r="AB400" i="1" s="1"/>
  <c r="T400" i="1"/>
  <c r="AA399" i="1"/>
  <c r="AF399" i="1" s="1"/>
  <c r="U399" i="1"/>
  <c r="AC399" i="1" s="1"/>
  <c r="AB399" i="1" s="1"/>
  <c r="T399" i="1"/>
  <c r="AA398" i="1"/>
  <c r="AF398" i="1" s="1"/>
  <c r="U398" i="1"/>
  <c r="AC398" i="1" s="1"/>
  <c r="AB398" i="1" s="1"/>
  <c r="AA397" i="1"/>
  <c r="AF397" i="1" s="1"/>
  <c r="U397" i="1"/>
  <c r="AC397" i="1" s="1"/>
  <c r="AB397" i="1" s="1"/>
  <c r="AA396" i="1"/>
  <c r="AF396" i="1" s="1"/>
  <c r="U396" i="1"/>
  <c r="AC396" i="1" s="1"/>
  <c r="AB396" i="1" s="1"/>
  <c r="AA395" i="1"/>
  <c r="AF395" i="1" s="1"/>
  <c r="U395" i="1"/>
  <c r="AC395" i="1" s="1"/>
  <c r="AB395" i="1" s="1"/>
  <c r="AA394" i="1"/>
  <c r="U394" i="1"/>
  <c r="AC394" i="1" s="1"/>
  <c r="AB394" i="1" s="1"/>
  <c r="AA393" i="1"/>
  <c r="U393" i="1"/>
  <c r="AC393" i="1" s="1"/>
  <c r="AB393" i="1" s="1"/>
  <c r="T393" i="1"/>
  <c r="AA392" i="1"/>
  <c r="U392" i="1"/>
  <c r="AC392" i="1" s="1"/>
  <c r="AB392" i="1" s="1"/>
  <c r="T392" i="1"/>
  <c r="AA391" i="1"/>
  <c r="U391" i="1"/>
  <c r="AC391" i="1" s="1"/>
  <c r="AB391" i="1" s="1"/>
  <c r="T391" i="1"/>
  <c r="AA390" i="1"/>
  <c r="U390" i="1"/>
  <c r="AC390" i="1" s="1"/>
  <c r="AB390" i="1" s="1"/>
  <c r="T390" i="1"/>
  <c r="AA389" i="1"/>
  <c r="U389" i="1"/>
  <c r="AC389" i="1" s="1"/>
  <c r="AB389" i="1" s="1"/>
  <c r="T389" i="1"/>
  <c r="AA388" i="1"/>
  <c r="AF388" i="1" s="1"/>
  <c r="U388" i="1"/>
  <c r="AC388" i="1" s="1"/>
  <c r="AB388" i="1" s="1"/>
  <c r="T388" i="1"/>
  <c r="AA387" i="1"/>
  <c r="AF387" i="1" s="1"/>
  <c r="U387" i="1"/>
  <c r="AC387" i="1" s="1"/>
  <c r="AB387" i="1" s="1"/>
  <c r="T387" i="1"/>
  <c r="AA386" i="1"/>
  <c r="AF386" i="1" s="1"/>
  <c r="U386" i="1"/>
  <c r="AC386" i="1" s="1"/>
  <c r="AB386" i="1" s="1"/>
  <c r="AA385" i="1"/>
  <c r="U385" i="1"/>
  <c r="AC385" i="1" s="1"/>
  <c r="AB385" i="1" s="1"/>
  <c r="T385" i="1"/>
  <c r="AA384" i="1"/>
  <c r="AF384" i="1" s="1"/>
  <c r="U384" i="1"/>
  <c r="AC384" i="1" s="1"/>
  <c r="AB384" i="1" s="1"/>
  <c r="T384" i="1"/>
  <c r="AA383" i="1"/>
  <c r="U383" i="1"/>
  <c r="AC383" i="1" s="1"/>
  <c r="AB383" i="1" s="1"/>
  <c r="T383" i="1"/>
  <c r="AA382" i="1"/>
  <c r="AF382" i="1" s="1"/>
  <c r="U382" i="1"/>
  <c r="AC382" i="1" s="1"/>
  <c r="AB382" i="1" s="1"/>
  <c r="T382" i="1"/>
  <c r="AA381" i="1"/>
  <c r="AF381" i="1" s="1"/>
  <c r="U381" i="1"/>
  <c r="AC381" i="1" s="1"/>
  <c r="AB381" i="1" s="1"/>
  <c r="T381" i="1"/>
  <c r="AA380" i="1"/>
  <c r="U380" i="1"/>
  <c r="AC380" i="1" s="1"/>
  <c r="AB380" i="1" s="1"/>
  <c r="T380" i="1"/>
  <c r="AA379" i="1"/>
  <c r="AJ379" i="1" s="1"/>
  <c r="U379" i="1"/>
  <c r="AC379" i="1" s="1"/>
  <c r="AB379" i="1" s="1"/>
  <c r="T379" i="1"/>
  <c r="AA378" i="1"/>
  <c r="AF378" i="1" s="1"/>
  <c r="U378" i="1"/>
  <c r="AC378" i="1" s="1"/>
  <c r="AB378" i="1" s="1"/>
  <c r="T378" i="1"/>
  <c r="AA377" i="1"/>
  <c r="AF377" i="1" s="1"/>
  <c r="U377" i="1"/>
  <c r="AC377" i="1" s="1"/>
  <c r="AB377" i="1" s="1"/>
  <c r="T377" i="1"/>
  <c r="AA376" i="1"/>
  <c r="U376" i="1"/>
  <c r="AC376" i="1" s="1"/>
  <c r="AB376" i="1" s="1"/>
  <c r="T376" i="1"/>
  <c r="AA375" i="1"/>
  <c r="U375" i="1"/>
  <c r="AC375" i="1" s="1"/>
  <c r="AB375" i="1" s="1"/>
  <c r="T375" i="1"/>
  <c r="AA374" i="1"/>
  <c r="U374" i="1"/>
  <c r="AC374" i="1" s="1"/>
  <c r="AB374" i="1" s="1"/>
  <c r="T374" i="1"/>
  <c r="AA373" i="1"/>
  <c r="U373" i="1"/>
  <c r="AC373" i="1" s="1"/>
  <c r="AB373" i="1" s="1"/>
  <c r="T373" i="1"/>
  <c r="AA372" i="1"/>
  <c r="AI372" i="1" s="1"/>
  <c r="U372" i="1"/>
  <c r="AC372" i="1" s="1"/>
  <c r="AB372" i="1" s="1"/>
  <c r="T372" i="1"/>
  <c r="AA371" i="1"/>
  <c r="U371" i="1"/>
  <c r="AC371" i="1" s="1"/>
  <c r="AB371" i="1" s="1"/>
  <c r="T371" i="1"/>
  <c r="AA370" i="1"/>
  <c r="AJ370" i="1" s="1"/>
  <c r="U370" i="1"/>
  <c r="AC370" i="1" s="1"/>
  <c r="AB370" i="1" s="1"/>
  <c r="T370" i="1"/>
  <c r="AA369" i="1"/>
  <c r="AJ369" i="1" s="1"/>
  <c r="U369" i="1"/>
  <c r="AC369" i="1" s="1"/>
  <c r="AB369" i="1" s="1"/>
  <c r="T369" i="1"/>
  <c r="AA368" i="1"/>
  <c r="AF368" i="1" s="1"/>
  <c r="U368" i="1"/>
  <c r="AC368" i="1" s="1"/>
  <c r="AB368" i="1" s="1"/>
  <c r="T368" i="1"/>
  <c r="AA367" i="1"/>
  <c r="U367" i="1"/>
  <c r="AC367" i="1" s="1"/>
  <c r="AB367" i="1" s="1"/>
  <c r="T367" i="1"/>
  <c r="AA366" i="1"/>
  <c r="U366" i="1"/>
  <c r="AC366" i="1" s="1"/>
  <c r="AB366" i="1" s="1"/>
  <c r="T366" i="1"/>
  <c r="AA365" i="1"/>
  <c r="U365" i="1"/>
  <c r="AC365" i="1" s="1"/>
  <c r="AB365" i="1" s="1"/>
  <c r="T365" i="1"/>
  <c r="AA364" i="1"/>
  <c r="U364" i="1"/>
  <c r="AC364" i="1" s="1"/>
  <c r="AB364" i="1" s="1"/>
  <c r="T364" i="1"/>
  <c r="AA363" i="1"/>
  <c r="AF363" i="1" s="1"/>
  <c r="U363" i="1"/>
  <c r="AC363" i="1" s="1"/>
  <c r="AB363" i="1" s="1"/>
  <c r="T363" i="1"/>
  <c r="AA362" i="1"/>
  <c r="AF362" i="1" s="1"/>
  <c r="U362" i="1"/>
  <c r="AC362" i="1" s="1"/>
  <c r="AB362" i="1" s="1"/>
  <c r="T362" i="1"/>
  <c r="AA361" i="1"/>
  <c r="AF361" i="1" s="1"/>
  <c r="U361" i="1"/>
  <c r="AC361" i="1" s="1"/>
  <c r="AB361" i="1" s="1"/>
  <c r="T361" i="1"/>
  <c r="AA360" i="1"/>
  <c r="AF360" i="1" s="1"/>
  <c r="U360" i="1"/>
  <c r="AC360" i="1" s="1"/>
  <c r="AB360" i="1" s="1"/>
  <c r="T360" i="1"/>
  <c r="AA359" i="1"/>
  <c r="AF359" i="1" s="1"/>
  <c r="U359" i="1"/>
  <c r="AC359" i="1" s="1"/>
  <c r="AB359" i="1" s="1"/>
  <c r="T359" i="1"/>
  <c r="AA358" i="1"/>
  <c r="U358" i="1"/>
  <c r="AC358" i="1" s="1"/>
  <c r="AB358" i="1" s="1"/>
  <c r="T358" i="1"/>
  <c r="AA357" i="1"/>
  <c r="U357" i="1"/>
  <c r="AC357" i="1" s="1"/>
  <c r="AB357" i="1" s="1"/>
  <c r="T357" i="1"/>
  <c r="AA356" i="1"/>
  <c r="U356" i="1"/>
  <c r="AC356" i="1" s="1"/>
  <c r="AB356" i="1" s="1"/>
  <c r="T356" i="1"/>
  <c r="AA355" i="1"/>
  <c r="U355" i="1"/>
  <c r="AC355" i="1" s="1"/>
  <c r="AB355" i="1" s="1"/>
  <c r="T355" i="1"/>
  <c r="AA354" i="1"/>
  <c r="AI354" i="1" s="1"/>
  <c r="U354" i="1"/>
  <c r="AC354" i="1" s="1"/>
  <c r="AB354" i="1" s="1"/>
  <c r="T354" i="1"/>
  <c r="AA353" i="1"/>
  <c r="U353" i="1"/>
  <c r="AC353" i="1" s="1"/>
  <c r="AB353" i="1" s="1"/>
  <c r="T353" i="1"/>
  <c r="AA352" i="1"/>
  <c r="U352" i="1"/>
  <c r="AC352" i="1" s="1"/>
  <c r="AB352" i="1" s="1"/>
  <c r="T352" i="1"/>
  <c r="AA351" i="1"/>
  <c r="AF351" i="1" s="1"/>
  <c r="U351" i="1"/>
  <c r="AC351" i="1" s="1"/>
  <c r="AB351" i="1" s="1"/>
  <c r="T351" i="1"/>
  <c r="AA350" i="1"/>
  <c r="U350" i="1"/>
  <c r="AC350" i="1" s="1"/>
  <c r="AB350" i="1" s="1"/>
  <c r="T350" i="1"/>
  <c r="AA349" i="1"/>
  <c r="AF349" i="1" s="1"/>
  <c r="U349" i="1"/>
  <c r="AC349" i="1" s="1"/>
  <c r="AB349" i="1" s="1"/>
  <c r="T349" i="1"/>
  <c r="AA348" i="1"/>
  <c r="AF348" i="1" s="1"/>
  <c r="U348" i="1"/>
  <c r="AC348" i="1" s="1"/>
  <c r="AB348" i="1" s="1"/>
  <c r="T348" i="1"/>
  <c r="AA347" i="1"/>
  <c r="U347" i="1"/>
  <c r="AC347" i="1" s="1"/>
  <c r="AB347" i="1" s="1"/>
  <c r="T347" i="1"/>
  <c r="AA346" i="1"/>
  <c r="AF346" i="1" s="1"/>
  <c r="U346" i="1"/>
  <c r="AC346" i="1" s="1"/>
  <c r="AB346" i="1" s="1"/>
  <c r="T346" i="1"/>
  <c r="AA345" i="1"/>
  <c r="AF345" i="1" s="1"/>
  <c r="U345" i="1"/>
  <c r="AC345" i="1" s="1"/>
  <c r="AB345" i="1" s="1"/>
  <c r="T345" i="1"/>
  <c r="AA344" i="1"/>
  <c r="U344" i="1"/>
  <c r="AC344" i="1" s="1"/>
  <c r="AB344" i="1" s="1"/>
  <c r="T344" i="1"/>
  <c r="AA343" i="1"/>
  <c r="U343" i="1"/>
  <c r="AC343" i="1" s="1"/>
  <c r="AB343" i="1" s="1"/>
  <c r="T343" i="1"/>
  <c r="AA342" i="1"/>
  <c r="U342" i="1"/>
  <c r="AC342" i="1" s="1"/>
  <c r="AB342" i="1" s="1"/>
  <c r="T342" i="1"/>
  <c r="AA341" i="1"/>
  <c r="U341" i="1"/>
  <c r="AC341" i="1" s="1"/>
  <c r="AB341" i="1" s="1"/>
  <c r="T341" i="1"/>
  <c r="AA340" i="1"/>
  <c r="U340" i="1"/>
  <c r="AC340" i="1" s="1"/>
  <c r="AB340" i="1" s="1"/>
  <c r="T340" i="1"/>
  <c r="AA339" i="1"/>
  <c r="U339" i="1"/>
  <c r="AC339" i="1" s="1"/>
  <c r="AB339" i="1" s="1"/>
  <c r="T339" i="1"/>
  <c r="AA338" i="1"/>
  <c r="AI338" i="1" s="1"/>
  <c r="U338" i="1"/>
  <c r="AC338" i="1" s="1"/>
  <c r="AB338" i="1" s="1"/>
  <c r="T338" i="1"/>
  <c r="AA337" i="1"/>
  <c r="U337" i="1"/>
  <c r="AC337" i="1" s="1"/>
  <c r="AB337" i="1" s="1"/>
  <c r="T337" i="1"/>
  <c r="AA336" i="1"/>
  <c r="U336" i="1"/>
  <c r="AC336" i="1" s="1"/>
  <c r="AB336" i="1" s="1"/>
  <c r="T336" i="1"/>
  <c r="AA335" i="1"/>
  <c r="U335" i="1"/>
  <c r="AC335" i="1" s="1"/>
  <c r="AB335" i="1" s="1"/>
  <c r="T335" i="1"/>
  <c r="AA334" i="1"/>
  <c r="AF334" i="1" s="1"/>
  <c r="U334" i="1"/>
  <c r="AC334" i="1" s="1"/>
  <c r="AB334" i="1" s="1"/>
  <c r="T334" i="1"/>
  <c r="AA333" i="1"/>
  <c r="U333" i="1"/>
  <c r="AC333" i="1" s="1"/>
  <c r="AB333" i="1" s="1"/>
  <c r="T333" i="1"/>
  <c r="AA332" i="1"/>
  <c r="U332" i="1"/>
  <c r="AC332" i="1" s="1"/>
  <c r="AB332" i="1" s="1"/>
  <c r="T332" i="1"/>
  <c r="AA331" i="1"/>
  <c r="AF331" i="1" s="1"/>
  <c r="U331" i="1"/>
  <c r="AC331" i="1" s="1"/>
  <c r="AB331" i="1" s="1"/>
  <c r="T331" i="1"/>
  <c r="AA330" i="1"/>
  <c r="U330" i="1"/>
  <c r="AC330" i="1" s="1"/>
  <c r="AB330" i="1" s="1"/>
  <c r="T330" i="1"/>
  <c r="AA329" i="1"/>
  <c r="AF329" i="1" s="1"/>
  <c r="U329" i="1"/>
  <c r="AC329" i="1" s="1"/>
  <c r="AB329" i="1" s="1"/>
  <c r="T329" i="1"/>
  <c r="AA328" i="1"/>
  <c r="AF328" i="1" s="1"/>
  <c r="U328" i="1"/>
  <c r="AC328" i="1" s="1"/>
  <c r="AB328" i="1" s="1"/>
  <c r="T328" i="1"/>
  <c r="AA327" i="1"/>
  <c r="AF327" i="1" s="1"/>
  <c r="U327" i="1"/>
  <c r="AC327" i="1" s="1"/>
  <c r="AB327" i="1" s="1"/>
  <c r="T327" i="1"/>
  <c r="AA326" i="1"/>
  <c r="AF326" i="1" s="1"/>
  <c r="U326" i="1"/>
  <c r="AC326" i="1" s="1"/>
  <c r="AB326" i="1" s="1"/>
  <c r="T326" i="1"/>
  <c r="AA325" i="1"/>
  <c r="U325" i="1"/>
  <c r="AC325" i="1" s="1"/>
  <c r="AB325" i="1" s="1"/>
  <c r="T325" i="1"/>
  <c r="AA324" i="1"/>
  <c r="U324" i="1"/>
  <c r="AC324" i="1" s="1"/>
  <c r="AB324" i="1" s="1"/>
  <c r="T324" i="1"/>
  <c r="AA323" i="1"/>
  <c r="U323" i="1"/>
  <c r="AC323" i="1" s="1"/>
  <c r="AB323" i="1" s="1"/>
  <c r="T323" i="1"/>
  <c r="AA322" i="1"/>
  <c r="AJ322" i="1" s="1"/>
  <c r="U322" i="1"/>
  <c r="AC322" i="1" s="1"/>
  <c r="AB322" i="1" s="1"/>
  <c r="T322" i="1"/>
  <c r="AA321" i="1"/>
  <c r="AJ321" i="1" s="1"/>
  <c r="U321" i="1"/>
  <c r="AC321" i="1" s="1"/>
  <c r="AB321" i="1" s="1"/>
  <c r="T321" i="1"/>
  <c r="AA320" i="1"/>
  <c r="AF320" i="1" s="1"/>
  <c r="U320" i="1"/>
  <c r="AC320" i="1" s="1"/>
  <c r="AB320" i="1" s="1"/>
  <c r="T320" i="1"/>
  <c r="AA319" i="1"/>
  <c r="U319" i="1"/>
  <c r="AC319" i="1" s="1"/>
  <c r="AB319" i="1" s="1"/>
  <c r="T319" i="1"/>
  <c r="AA318" i="1"/>
  <c r="U318" i="1"/>
  <c r="AC318" i="1" s="1"/>
  <c r="AB318" i="1" s="1"/>
  <c r="T318" i="1"/>
  <c r="AA317" i="1"/>
  <c r="AF317" i="1" s="1"/>
  <c r="U317" i="1"/>
  <c r="AC317" i="1" s="1"/>
  <c r="AB317" i="1" s="1"/>
  <c r="T317" i="1"/>
  <c r="AA316" i="1"/>
  <c r="AF316" i="1" s="1"/>
  <c r="U316" i="1"/>
  <c r="AC316" i="1" s="1"/>
  <c r="AB316" i="1" s="1"/>
  <c r="T316" i="1"/>
  <c r="AA315" i="1"/>
  <c r="AF315" i="1" s="1"/>
  <c r="AJ315" i="1"/>
  <c r="U315" i="1"/>
  <c r="AC315" i="1" s="1"/>
  <c r="AB315" i="1" s="1"/>
  <c r="T315" i="1"/>
  <c r="AA314" i="1"/>
  <c r="AF314" i="1" s="1"/>
  <c r="U314" i="1"/>
  <c r="AC314" i="1" s="1"/>
  <c r="AB314" i="1" s="1"/>
  <c r="T314" i="1"/>
  <c r="AA313" i="1"/>
  <c r="AF313" i="1" s="1"/>
  <c r="U313" i="1"/>
  <c r="AC313" i="1" s="1"/>
  <c r="AB313" i="1" s="1"/>
  <c r="T313" i="1"/>
  <c r="AA312" i="1"/>
  <c r="AJ312" i="1" s="1"/>
  <c r="U312" i="1"/>
  <c r="AC312" i="1" s="1"/>
  <c r="AB312" i="1" s="1"/>
  <c r="T312" i="1"/>
  <c r="AA311" i="1"/>
  <c r="U311" i="1"/>
  <c r="AC311" i="1" s="1"/>
  <c r="AB311" i="1" s="1"/>
  <c r="T311" i="1"/>
  <c r="AA310" i="1"/>
  <c r="U310" i="1"/>
  <c r="AC310" i="1" s="1"/>
  <c r="AB310" i="1" s="1"/>
  <c r="T310" i="1"/>
  <c r="AA309" i="1"/>
  <c r="AF309" i="1" s="1"/>
  <c r="U309" i="1"/>
  <c r="AC309" i="1" s="1"/>
  <c r="AB309" i="1" s="1"/>
  <c r="T309" i="1"/>
  <c r="AA308" i="1"/>
  <c r="U308" i="1"/>
  <c r="AC308" i="1" s="1"/>
  <c r="AB308" i="1" s="1"/>
  <c r="T308" i="1"/>
  <c r="AA307" i="1"/>
  <c r="U307" i="1"/>
  <c r="AC307" i="1" s="1"/>
  <c r="AB307" i="1" s="1"/>
  <c r="T307" i="1"/>
  <c r="AA306" i="1"/>
  <c r="U306" i="1"/>
  <c r="AC306" i="1" s="1"/>
  <c r="AB306" i="1" s="1"/>
  <c r="T306" i="1"/>
  <c r="AA305" i="1"/>
  <c r="AI305" i="1" s="1"/>
  <c r="U305" i="1"/>
  <c r="AC305" i="1" s="1"/>
  <c r="AB305" i="1" s="1"/>
  <c r="T305" i="1"/>
  <c r="AA304" i="1"/>
  <c r="U304" i="1"/>
  <c r="AC304" i="1" s="1"/>
  <c r="AB304" i="1" s="1"/>
  <c r="T304" i="1"/>
  <c r="AA303" i="1"/>
  <c r="U303" i="1"/>
  <c r="AC303" i="1" s="1"/>
  <c r="AB303" i="1" s="1"/>
  <c r="T303" i="1"/>
  <c r="AA302" i="1"/>
  <c r="AF302" i="1" s="1"/>
  <c r="U302" i="1"/>
  <c r="AC302" i="1" s="1"/>
  <c r="AB302" i="1" s="1"/>
  <c r="T302" i="1"/>
  <c r="AA301" i="1"/>
  <c r="AF301" i="1" s="1"/>
  <c r="U301" i="1"/>
  <c r="AC301" i="1" s="1"/>
  <c r="AB301" i="1" s="1"/>
  <c r="T301" i="1"/>
  <c r="AA300" i="1"/>
  <c r="U300" i="1"/>
  <c r="AC300" i="1" s="1"/>
  <c r="AB300" i="1" s="1"/>
  <c r="T300" i="1"/>
  <c r="AA299" i="1"/>
  <c r="AF299" i="1" s="1"/>
  <c r="U299" i="1"/>
  <c r="AC299" i="1" s="1"/>
  <c r="AB299" i="1" s="1"/>
  <c r="T299" i="1"/>
  <c r="AA298" i="1"/>
  <c r="U298" i="1"/>
  <c r="AC298" i="1" s="1"/>
  <c r="AB298" i="1" s="1"/>
  <c r="T298" i="1"/>
  <c r="AA297" i="1"/>
  <c r="AF297" i="1" s="1"/>
  <c r="U297" i="1"/>
  <c r="AC297" i="1" s="1"/>
  <c r="AB297" i="1" s="1"/>
  <c r="T297" i="1"/>
  <c r="AA296" i="1"/>
  <c r="AF296" i="1" s="1"/>
  <c r="U296" i="1"/>
  <c r="AC296" i="1" s="1"/>
  <c r="AB296" i="1" s="1"/>
  <c r="T296" i="1"/>
  <c r="AA295" i="1"/>
  <c r="U295" i="1"/>
  <c r="AC295" i="1" s="1"/>
  <c r="AB295" i="1" s="1"/>
  <c r="T295" i="1"/>
  <c r="AA294" i="1"/>
  <c r="AF294" i="1" s="1"/>
  <c r="U294" i="1"/>
  <c r="AC294" i="1" s="1"/>
  <c r="AB294" i="1" s="1"/>
  <c r="T294" i="1"/>
  <c r="AA293" i="1"/>
  <c r="AF293" i="1" s="1"/>
  <c r="U293" i="1"/>
  <c r="AC293" i="1" s="1"/>
  <c r="AB293" i="1" s="1"/>
  <c r="T293" i="1"/>
  <c r="AA292" i="1"/>
  <c r="U292" i="1"/>
  <c r="AC292" i="1" s="1"/>
  <c r="AB292" i="1" s="1"/>
  <c r="T292" i="1"/>
  <c r="AA291" i="1"/>
  <c r="U291" i="1"/>
  <c r="AC291" i="1" s="1"/>
  <c r="AB291" i="1" s="1"/>
  <c r="T291" i="1"/>
  <c r="AA290" i="1"/>
  <c r="AJ290" i="1" s="1"/>
  <c r="U290" i="1"/>
  <c r="AC290" i="1" s="1"/>
  <c r="AB290" i="1" s="1"/>
  <c r="T290" i="1"/>
  <c r="AA289" i="1"/>
  <c r="U289" i="1"/>
  <c r="AC289" i="1" s="1"/>
  <c r="AB289" i="1" s="1"/>
  <c r="T289" i="1"/>
  <c r="AA288" i="1"/>
  <c r="U288" i="1"/>
  <c r="AC288" i="1" s="1"/>
  <c r="AB288" i="1" s="1"/>
  <c r="T288" i="1"/>
  <c r="AA287" i="1"/>
  <c r="U287" i="1"/>
  <c r="AC287" i="1" s="1"/>
  <c r="AB287" i="1" s="1"/>
  <c r="T287" i="1"/>
  <c r="AA286" i="1"/>
  <c r="AF286" i="1" s="1"/>
  <c r="U286" i="1"/>
  <c r="AC286" i="1" s="1"/>
  <c r="AB286" i="1" s="1"/>
  <c r="T286" i="1"/>
  <c r="AA285" i="1"/>
  <c r="U285" i="1"/>
  <c r="AC285" i="1" s="1"/>
  <c r="AB285" i="1" s="1"/>
  <c r="T285" i="1"/>
  <c r="AA284" i="1"/>
  <c r="U284" i="1"/>
  <c r="AC284" i="1" s="1"/>
  <c r="AB284" i="1" s="1"/>
  <c r="T284" i="1"/>
  <c r="AA283" i="1"/>
  <c r="AF283" i="1" s="1"/>
  <c r="U283" i="1"/>
  <c r="AC283" i="1" s="1"/>
  <c r="AB283" i="1" s="1"/>
  <c r="T283" i="1"/>
  <c r="AA282" i="1"/>
  <c r="AF282" i="1" s="1"/>
  <c r="U282" i="1"/>
  <c r="AC282" i="1" s="1"/>
  <c r="AB282" i="1" s="1"/>
  <c r="T282" i="1"/>
  <c r="AA281" i="1"/>
  <c r="U281" i="1"/>
  <c r="AC281" i="1" s="1"/>
  <c r="AB281" i="1" s="1"/>
  <c r="T281" i="1"/>
  <c r="AA280" i="1"/>
  <c r="U280" i="1"/>
  <c r="AC280" i="1" s="1"/>
  <c r="AB280" i="1" s="1"/>
  <c r="T280" i="1"/>
  <c r="AA279" i="1"/>
  <c r="AF279" i="1" s="1"/>
  <c r="U279" i="1"/>
  <c r="AC279" i="1" s="1"/>
  <c r="AB279" i="1" s="1"/>
  <c r="T279" i="1"/>
  <c r="AA278" i="1"/>
  <c r="AF278" i="1" s="1"/>
  <c r="U278" i="1"/>
  <c r="AC278" i="1" s="1"/>
  <c r="AB278" i="1" s="1"/>
  <c r="T278" i="1"/>
  <c r="AA277" i="1"/>
  <c r="AI277" i="1" s="1"/>
  <c r="U277" i="1"/>
  <c r="AC277" i="1" s="1"/>
  <c r="AB277" i="1" s="1"/>
  <c r="T277" i="1"/>
  <c r="AA276" i="1"/>
  <c r="U276" i="1"/>
  <c r="AC276" i="1" s="1"/>
  <c r="AB276" i="1" s="1"/>
  <c r="T276" i="1"/>
  <c r="AA275" i="1"/>
  <c r="AF275" i="1" s="1"/>
  <c r="U275" i="1"/>
  <c r="AC275" i="1" s="1"/>
  <c r="AB275" i="1" s="1"/>
  <c r="T275" i="1"/>
  <c r="AA274" i="1"/>
  <c r="AF274" i="1" s="1"/>
  <c r="U274" i="1"/>
  <c r="AC274" i="1" s="1"/>
  <c r="AB274" i="1" s="1"/>
  <c r="T274" i="1"/>
  <c r="AA273" i="1"/>
  <c r="AJ273" i="1" s="1"/>
  <c r="U273" i="1"/>
  <c r="AC273" i="1" s="1"/>
  <c r="AB273" i="1" s="1"/>
  <c r="T273" i="1"/>
  <c r="AA272" i="1"/>
  <c r="AF272" i="1" s="1"/>
  <c r="U272" i="1"/>
  <c r="AC272" i="1" s="1"/>
  <c r="AB272" i="1" s="1"/>
  <c r="T272" i="1"/>
  <c r="AA271" i="1"/>
  <c r="U271" i="1"/>
  <c r="AC271" i="1" s="1"/>
  <c r="AB271" i="1" s="1"/>
  <c r="T271" i="1"/>
  <c r="AA270" i="1"/>
  <c r="AF270" i="1" s="1"/>
  <c r="U270" i="1"/>
  <c r="AC270" i="1" s="1"/>
  <c r="AB270" i="1" s="1"/>
  <c r="T270" i="1"/>
  <c r="AA269" i="1"/>
  <c r="AF269" i="1" s="1"/>
  <c r="U269" i="1"/>
  <c r="AC269" i="1" s="1"/>
  <c r="AB269" i="1" s="1"/>
  <c r="T269" i="1"/>
  <c r="AA268" i="1"/>
  <c r="U268" i="1"/>
  <c r="AC268" i="1" s="1"/>
  <c r="AB268" i="1" s="1"/>
  <c r="T268" i="1"/>
  <c r="AA267" i="1"/>
  <c r="AF267" i="1" s="1"/>
  <c r="U267" i="1"/>
  <c r="AC267" i="1" s="1"/>
  <c r="AB267" i="1" s="1"/>
  <c r="T267" i="1"/>
  <c r="AA266" i="1"/>
  <c r="AF266" i="1" s="1"/>
  <c r="U266" i="1"/>
  <c r="AC266" i="1" s="1"/>
  <c r="AB266" i="1" s="1"/>
  <c r="T266" i="1"/>
  <c r="AA265" i="1"/>
  <c r="AF265" i="1" s="1"/>
  <c r="U265" i="1"/>
  <c r="AC265" i="1" s="1"/>
  <c r="AB265" i="1" s="1"/>
  <c r="T265" i="1"/>
  <c r="AA264" i="1"/>
  <c r="AF264" i="1" s="1"/>
  <c r="U264" i="1"/>
  <c r="AC264" i="1" s="1"/>
  <c r="AB264" i="1" s="1"/>
  <c r="T264" i="1"/>
  <c r="AA263" i="1"/>
  <c r="U263" i="1"/>
  <c r="AC263" i="1" s="1"/>
  <c r="AB263" i="1" s="1"/>
  <c r="T263" i="1"/>
  <c r="AA262" i="1"/>
  <c r="U262" i="1"/>
  <c r="AC262" i="1" s="1"/>
  <c r="AB262" i="1" s="1"/>
  <c r="T262" i="1"/>
  <c r="AA261" i="1"/>
  <c r="AF261" i="1" s="1"/>
  <c r="U261" i="1"/>
  <c r="AC261" i="1" s="1"/>
  <c r="AB261" i="1" s="1"/>
  <c r="T261" i="1"/>
  <c r="AA260" i="1"/>
  <c r="U260" i="1"/>
  <c r="AC260" i="1" s="1"/>
  <c r="AB260" i="1" s="1"/>
  <c r="T260" i="1"/>
  <c r="AA259" i="1"/>
  <c r="U259" i="1"/>
  <c r="AC259" i="1" s="1"/>
  <c r="AB259" i="1" s="1"/>
  <c r="T259" i="1"/>
  <c r="AA258" i="1"/>
  <c r="U258" i="1"/>
  <c r="AC258" i="1" s="1"/>
  <c r="AB258" i="1" s="1"/>
  <c r="T258" i="1"/>
  <c r="AA257" i="1"/>
  <c r="AJ257" i="1" s="1"/>
  <c r="U257" i="1"/>
  <c r="AC257" i="1" s="1"/>
  <c r="AB257" i="1" s="1"/>
  <c r="T257" i="1"/>
  <c r="AA256" i="1"/>
  <c r="AF256" i="1" s="1"/>
  <c r="U256" i="1"/>
  <c r="AC256" i="1" s="1"/>
  <c r="AB256" i="1" s="1"/>
  <c r="T256" i="1"/>
  <c r="AA255" i="1"/>
  <c r="AI255" i="1" s="1"/>
  <c r="U255" i="1"/>
  <c r="AC255" i="1" s="1"/>
  <c r="AB255" i="1" s="1"/>
  <c r="T255" i="1"/>
  <c r="AA254" i="1"/>
  <c r="U254" i="1"/>
  <c r="AC254" i="1" s="1"/>
  <c r="AB254" i="1" s="1"/>
  <c r="T254" i="1"/>
  <c r="AA253" i="1"/>
  <c r="U253" i="1"/>
  <c r="AC253" i="1" s="1"/>
  <c r="AB253" i="1" s="1"/>
  <c r="T253" i="1"/>
  <c r="AA252" i="1"/>
  <c r="AF252" i="1" s="1"/>
  <c r="U252" i="1"/>
  <c r="AC252" i="1" s="1"/>
  <c r="AB252" i="1" s="1"/>
  <c r="T252" i="1"/>
  <c r="AA251" i="1"/>
  <c r="AF251" i="1" s="1"/>
  <c r="U251" i="1"/>
  <c r="AC251" i="1" s="1"/>
  <c r="AB251" i="1" s="1"/>
  <c r="T251" i="1"/>
  <c r="AA250" i="1"/>
  <c r="AF250" i="1" s="1"/>
  <c r="U250" i="1"/>
  <c r="AC250" i="1" s="1"/>
  <c r="AB250" i="1" s="1"/>
  <c r="T250" i="1"/>
  <c r="AA249" i="1"/>
  <c r="U249" i="1"/>
  <c r="AC249" i="1" s="1"/>
  <c r="AB249" i="1" s="1"/>
  <c r="T249" i="1"/>
  <c r="AA248" i="1"/>
  <c r="AF248" i="1" s="1"/>
  <c r="U248" i="1"/>
  <c r="AC248" i="1" s="1"/>
  <c r="AB248" i="1" s="1"/>
  <c r="T248" i="1"/>
  <c r="AA247" i="1"/>
  <c r="U247" i="1"/>
  <c r="AC247" i="1" s="1"/>
  <c r="AB247" i="1" s="1"/>
  <c r="T247" i="1"/>
  <c r="AA246" i="1"/>
  <c r="U246" i="1"/>
  <c r="AC246" i="1" s="1"/>
  <c r="AB246" i="1" s="1"/>
  <c r="T246" i="1"/>
  <c r="AA245" i="1"/>
  <c r="AF245" i="1" s="1"/>
  <c r="U245" i="1"/>
  <c r="AC245" i="1" s="1"/>
  <c r="AB245" i="1" s="1"/>
  <c r="T245" i="1"/>
  <c r="AA244" i="1"/>
  <c r="AF244" i="1" s="1"/>
  <c r="U244" i="1"/>
  <c r="AC244" i="1" s="1"/>
  <c r="AB244" i="1" s="1"/>
  <c r="T244" i="1"/>
  <c r="AA243" i="1"/>
  <c r="U243" i="1"/>
  <c r="AC243" i="1" s="1"/>
  <c r="AB243" i="1" s="1"/>
  <c r="T243" i="1"/>
  <c r="AA242" i="1"/>
  <c r="U242" i="1"/>
  <c r="AC242" i="1" s="1"/>
  <c r="AB242" i="1" s="1"/>
  <c r="T242" i="1"/>
  <c r="AA241" i="1"/>
  <c r="U241" i="1"/>
  <c r="AC241" i="1" s="1"/>
  <c r="AB241" i="1" s="1"/>
  <c r="T241" i="1"/>
  <c r="AA240" i="1"/>
  <c r="U240" i="1"/>
  <c r="AC240" i="1" s="1"/>
  <c r="AB240" i="1" s="1"/>
  <c r="T240" i="1"/>
  <c r="AA239" i="1"/>
  <c r="AI239" i="1" s="1"/>
  <c r="U239" i="1"/>
  <c r="AC239" i="1" s="1"/>
  <c r="AB239" i="1" s="1"/>
  <c r="T239" i="1"/>
  <c r="AA238" i="1"/>
  <c r="AF238" i="1" s="1"/>
  <c r="U238" i="1"/>
  <c r="AC238" i="1" s="1"/>
  <c r="AB238" i="1" s="1"/>
  <c r="T238" i="1"/>
  <c r="AA237" i="1"/>
  <c r="U237" i="1"/>
  <c r="AC237" i="1" s="1"/>
  <c r="AB237" i="1" s="1"/>
  <c r="T237" i="1"/>
  <c r="AA236" i="1"/>
  <c r="AF236" i="1" s="1"/>
  <c r="U236" i="1"/>
  <c r="AC236" i="1" s="1"/>
  <c r="AB236" i="1" s="1"/>
  <c r="T236" i="1"/>
  <c r="AA235" i="1"/>
  <c r="AF235" i="1" s="1"/>
  <c r="U235" i="1"/>
  <c r="AC235" i="1" s="1"/>
  <c r="AB235" i="1" s="1"/>
  <c r="T235" i="1"/>
  <c r="AA234" i="1"/>
  <c r="AF234" i="1" s="1"/>
  <c r="U234" i="1"/>
  <c r="AC234" i="1" s="1"/>
  <c r="AB234" i="1" s="1"/>
  <c r="T234" i="1"/>
  <c r="AA233" i="1"/>
  <c r="AF233" i="1" s="1"/>
  <c r="U233" i="1"/>
  <c r="AC233" i="1" s="1"/>
  <c r="AB233" i="1" s="1"/>
  <c r="T233" i="1"/>
  <c r="AA232" i="1"/>
  <c r="AF232" i="1" s="1"/>
  <c r="U232" i="1"/>
  <c r="AC232" i="1" s="1"/>
  <c r="AB232" i="1" s="1"/>
  <c r="T232" i="1"/>
  <c r="AA231" i="1"/>
  <c r="AF231" i="1" s="1"/>
  <c r="U231" i="1"/>
  <c r="AC231" i="1" s="1"/>
  <c r="AB231" i="1" s="1"/>
  <c r="T231" i="1"/>
  <c r="AA230" i="1"/>
  <c r="AI230" i="1" s="1"/>
  <c r="U230" i="1"/>
  <c r="AC230" i="1" s="1"/>
  <c r="AB230" i="1" s="1"/>
  <c r="T230" i="1"/>
  <c r="AA229" i="1"/>
  <c r="AI229" i="1" s="1"/>
  <c r="U229" i="1"/>
  <c r="AC229" i="1" s="1"/>
  <c r="AB229" i="1" s="1"/>
  <c r="T229" i="1"/>
  <c r="AA228" i="1"/>
  <c r="U228" i="1"/>
  <c r="AC228" i="1" s="1"/>
  <c r="AB228" i="1" s="1"/>
  <c r="T228" i="1"/>
  <c r="AA227" i="1"/>
  <c r="AF227" i="1" s="1"/>
  <c r="U227" i="1"/>
  <c r="AC227" i="1" s="1"/>
  <c r="AB227" i="1" s="1"/>
  <c r="T227" i="1"/>
  <c r="AA226" i="1"/>
  <c r="AF226" i="1" s="1"/>
  <c r="U226" i="1"/>
  <c r="AC226" i="1" s="1"/>
  <c r="AB226" i="1" s="1"/>
  <c r="T226" i="1"/>
  <c r="AA225" i="1"/>
  <c r="U225" i="1"/>
  <c r="AC225" i="1" s="1"/>
  <c r="AB225" i="1" s="1"/>
  <c r="T225" i="1"/>
  <c r="AA224" i="1"/>
  <c r="AI224" i="1" s="1"/>
  <c r="U224" i="1"/>
  <c r="AC224" i="1" s="1"/>
  <c r="AB224" i="1" s="1"/>
  <c r="T224" i="1"/>
  <c r="AA223" i="1"/>
  <c r="U223" i="1"/>
  <c r="AC223" i="1" s="1"/>
  <c r="AB223" i="1" s="1"/>
  <c r="T223" i="1"/>
  <c r="AA222" i="1"/>
  <c r="AI222" i="1" s="1"/>
  <c r="U222" i="1"/>
  <c r="AC222" i="1" s="1"/>
  <c r="AB222" i="1" s="1"/>
  <c r="T222" i="1"/>
  <c r="AA221" i="1"/>
  <c r="AF221" i="1" s="1"/>
  <c r="U221" i="1"/>
  <c r="AC221" i="1" s="1"/>
  <c r="AB221" i="1" s="1"/>
  <c r="T221" i="1"/>
  <c r="AA220" i="1"/>
  <c r="AI220" i="1" s="1"/>
  <c r="U220" i="1"/>
  <c r="AC220" i="1" s="1"/>
  <c r="AB220" i="1" s="1"/>
  <c r="T220" i="1"/>
  <c r="AA219" i="1"/>
  <c r="AF219" i="1" s="1"/>
  <c r="U219" i="1"/>
  <c r="AC219" i="1" s="1"/>
  <c r="AB219" i="1" s="1"/>
  <c r="T219" i="1"/>
  <c r="AA218" i="1"/>
  <c r="U218" i="1"/>
  <c r="AC218" i="1" s="1"/>
  <c r="AB218" i="1" s="1"/>
  <c r="T218" i="1"/>
  <c r="AA217" i="1"/>
  <c r="AF217" i="1" s="1"/>
  <c r="U217" i="1"/>
  <c r="AC217" i="1" s="1"/>
  <c r="AB217" i="1" s="1"/>
  <c r="T217" i="1"/>
  <c r="AA216" i="1"/>
  <c r="AF216" i="1" s="1"/>
  <c r="U216" i="1"/>
  <c r="AC216" i="1" s="1"/>
  <c r="AB216" i="1" s="1"/>
  <c r="T216" i="1"/>
  <c r="AA215" i="1"/>
  <c r="AI215" i="1" s="1"/>
  <c r="U215" i="1"/>
  <c r="AC215" i="1" s="1"/>
  <c r="AB215" i="1" s="1"/>
  <c r="T215" i="1"/>
  <c r="AA214" i="1"/>
  <c r="U214" i="1"/>
  <c r="AC214" i="1" s="1"/>
  <c r="AB214" i="1" s="1"/>
  <c r="T214" i="1"/>
  <c r="AA213" i="1"/>
  <c r="AF213" i="1" s="1"/>
  <c r="U213" i="1"/>
  <c r="AC213" i="1" s="1"/>
  <c r="AB213" i="1" s="1"/>
  <c r="T213" i="1"/>
  <c r="AA212" i="1"/>
  <c r="U212" i="1"/>
  <c r="AC212" i="1" s="1"/>
  <c r="AB212" i="1" s="1"/>
  <c r="T212" i="1"/>
  <c r="AA211" i="1"/>
  <c r="AF211" i="1" s="1"/>
  <c r="U211" i="1"/>
  <c r="AC211" i="1" s="1"/>
  <c r="AB211" i="1" s="1"/>
  <c r="T211" i="1"/>
  <c r="AA210" i="1"/>
  <c r="AF210" i="1" s="1"/>
  <c r="U210" i="1"/>
  <c r="AC210" i="1" s="1"/>
  <c r="AB210" i="1" s="1"/>
  <c r="T210" i="1"/>
  <c r="AA209" i="1"/>
  <c r="U209" i="1"/>
  <c r="AC209" i="1" s="1"/>
  <c r="AB209" i="1" s="1"/>
  <c r="T209" i="1"/>
  <c r="AA208" i="1"/>
  <c r="U208" i="1"/>
  <c r="AC208" i="1" s="1"/>
  <c r="AB208" i="1" s="1"/>
  <c r="T208" i="1"/>
  <c r="AA207" i="1"/>
  <c r="AJ207" i="1" s="1"/>
  <c r="U207" i="1"/>
  <c r="AC207" i="1" s="1"/>
  <c r="AB207" i="1" s="1"/>
  <c r="T207" i="1"/>
  <c r="AA206" i="1"/>
  <c r="AF206" i="1" s="1"/>
  <c r="U206" i="1"/>
  <c r="AC206" i="1" s="1"/>
  <c r="AB206" i="1" s="1"/>
  <c r="T206" i="1"/>
  <c r="AA205" i="1"/>
  <c r="AF205" i="1" s="1"/>
  <c r="U205" i="1"/>
  <c r="AC205" i="1" s="1"/>
  <c r="AB205" i="1" s="1"/>
  <c r="T205" i="1"/>
  <c r="AA204" i="1"/>
  <c r="AF204" i="1" s="1"/>
  <c r="U204" i="1"/>
  <c r="AC204" i="1" s="1"/>
  <c r="AB204" i="1" s="1"/>
  <c r="T204" i="1"/>
  <c r="AA203" i="1"/>
  <c r="AF203" i="1" s="1"/>
  <c r="U203" i="1"/>
  <c r="AC203" i="1" s="1"/>
  <c r="AB203" i="1" s="1"/>
  <c r="T203" i="1"/>
  <c r="AA202" i="1"/>
  <c r="U202" i="1"/>
  <c r="AC202" i="1" s="1"/>
  <c r="AB202" i="1" s="1"/>
  <c r="T202" i="1"/>
  <c r="AA201" i="1"/>
  <c r="U201" i="1"/>
  <c r="AC201" i="1" s="1"/>
  <c r="AB201" i="1" s="1"/>
  <c r="T201" i="1"/>
  <c r="AA200" i="1"/>
  <c r="U200" i="1"/>
  <c r="AC200" i="1" s="1"/>
  <c r="AB200" i="1" s="1"/>
  <c r="T200" i="1"/>
  <c r="AA199" i="1"/>
  <c r="AI199" i="1" s="1"/>
  <c r="U199" i="1"/>
  <c r="AC199" i="1" s="1"/>
  <c r="AB199" i="1" s="1"/>
  <c r="T199" i="1"/>
  <c r="AA198" i="1"/>
  <c r="U198" i="1"/>
  <c r="AC198" i="1" s="1"/>
  <c r="AB198" i="1" s="1"/>
  <c r="T198" i="1"/>
  <c r="AA197" i="1"/>
  <c r="AJ197" i="1" s="1"/>
  <c r="U197" i="1"/>
  <c r="AC197" i="1" s="1"/>
  <c r="AB197" i="1" s="1"/>
  <c r="T197" i="1"/>
  <c r="AA196" i="1"/>
  <c r="U196" i="1"/>
  <c r="AC196" i="1" s="1"/>
  <c r="AB196" i="1" s="1"/>
  <c r="T196" i="1"/>
  <c r="AA195" i="1"/>
  <c r="AF195" i="1" s="1"/>
  <c r="U195" i="1"/>
  <c r="AC195" i="1" s="1"/>
  <c r="AB195" i="1" s="1"/>
  <c r="T195" i="1"/>
  <c r="AA194" i="1"/>
  <c r="U194" i="1"/>
  <c r="AC194" i="1" s="1"/>
  <c r="AB194" i="1" s="1"/>
  <c r="T194" i="1"/>
  <c r="AA193" i="1"/>
  <c r="AI193" i="1" s="1"/>
  <c r="U193" i="1"/>
  <c r="AC193" i="1" s="1"/>
  <c r="AB193" i="1" s="1"/>
  <c r="T193" i="1"/>
  <c r="AA192" i="1"/>
  <c r="U192" i="1"/>
  <c r="AC192" i="1" s="1"/>
  <c r="AB192" i="1" s="1"/>
  <c r="T192" i="1"/>
  <c r="AA191" i="1"/>
  <c r="AJ191" i="1" s="1"/>
  <c r="U191" i="1"/>
  <c r="AC191" i="1" s="1"/>
  <c r="AB191" i="1" s="1"/>
  <c r="T191" i="1"/>
  <c r="AA190" i="1"/>
  <c r="U190" i="1"/>
  <c r="AC190" i="1" s="1"/>
  <c r="AB190" i="1" s="1"/>
  <c r="T190" i="1"/>
  <c r="AA189" i="1"/>
  <c r="U189" i="1"/>
  <c r="AC189" i="1" s="1"/>
  <c r="AB189" i="1" s="1"/>
  <c r="T189" i="1"/>
  <c r="AA188" i="1"/>
  <c r="AF188" i="1" s="1"/>
  <c r="U188" i="1"/>
  <c r="AC188" i="1" s="1"/>
  <c r="AB188" i="1" s="1"/>
  <c r="T188" i="1"/>
  <c r="AA187" i="1"/>
  <c r="AF187" i="1" s="1"/>
  <c r="U187" i="1"/>
  <c r="AC187" i="1" s="1"/>
  <c r="AB187" i="1" s="1"/>
  <c r="T187" i="1"/>
  <c r="AA186" i="1"/>
  <c r="AJ186" i="1" s="1"/>
  <c r="U186" i="1"/>
  <c r="AC186" i="1" s="1"/>
  <c r="AB186" i="1" s="1"/>
  <c r="T186" i="1"/>
  <c r="AA185" i="1"/>
  <c r="AJ185" i="1" s="1"/>
  <c r="U185" i="1"/>
  <c r="AC185" i="1" s="1"/>
  <c r="AB185" i="1" s="1"/>
  <c r="T185" i="1"/>
  <c r="AA184" i="1"/>
  <c r="U184" i="1"/>
  <c r="AC184" i="1" s="1"/>
  <c r="AB184" i="1" s="1"/>
  <c r="T184" i="1"/>
  <c r="AA183" i="1"/>
  <c r="U183" i="1"/>
  <c r="AC183" i="1" s="1"/>
  <c r="AB183" i="1" s="1"/>
  <c r="T183" i="1"/>
  <c r="AA182" i="1"/>
  <c r="AF182" i="1" s="1"/>
  <c r="U182" i="1"/>
  <c r="AC182" i="1" s="1"/>
  <c r="AB182" i="1" s="1"/>
  <c r="T182" i="1"/>
  <c r="AA181" i="1"/>
  <c r="AI181" i="1" s="1"/>
  <c r="U181" i="1"/>
  <c r="AC181" i="1" s="1"/>
  <c r="AB181" i="1" s="1"/>
  <c r="T181" i="1"/>
  <c r="AA180" i="1"/>
  <c r="U180" i="1"/>
  <c r="AC180" i="1" s="1"/>
  <c r="AB180" i="1" s="1"/>
  <c r="T180" i="1"/>
  <c r="AA179" i="1"/>
  <c r="AF179" i="1" s="1"/>
  <c r="U179" i="1"/>
  <c r="AC179" i="1" s="1"/>
  <c r="AB179" i="1" s="1"/>
  <c r="T179" i="1"/>
  <c r="AA178" i="1"/>
  <c r="U178" i="1"/>
  <c r="AC178" i="1" s="1"/>
  <c r="AB178" i="1" s="1"/>
  <c r="T178" i="1"/>
  <c r="AA177" i="1"/>
  <c r="U177" i="1"/>
  <c r="AC177" i="1" s="1"/>
  <c r="AB177" i="1" s="1"/>
  <c r="T177" i="1"/>
  <c r="AA176" i="1"/>
  <c r="U176" i="1"/>
  <c r="AC176" i="1" s="1"/>
  <c r="AB176" i="1" s="1"/>
  <c r="T176" i="1"/>
  <c r="AA175" i="1"/>
  <c r="AI175" i="1" s="1"/>
  <c r="U175" i="1"/>
  <c r="AC175" i="1" s="1"/>
  <c r="AB175" i="1" s="1"/>
  <c r="T175" i="1"/>
  <c r="AA174" i="1"/>
  <c r="AJ174" i="1" s="1"/>
  <c r="U174" i="1"/>
  <c r="AC174" i="1" s="1"/>
  <c r="AB174" i="1" s="1"/>
  <c r="T174" i="1"/>
  <c r="AA173" i="1"/>
  <c r="AF173" i="1" s="1"/>
  <c r="U173" i="1"/>
  <c r="AC173" i="1" s="1"/>
  <c r="AB173" i="1" s="1"/>
  <c r="T173" i="1"/>
  <c r="AA172" i="1"/>
  <c r="AF172" i="1" s="1"/>
  <c r="U172" i="1"/>
  <c r="AC172" i="1" s="1"/>
  <c r="AB172" i="1" s="1"/>
  <c r="T172" i="1"/>
  <c r="AA171" i="1"/>
  <c r="AF171" i="1" s="1"/>
  <c r="U171" i="1"/>
  <c r="AC171" i="1" s="1"/>
  <c r="AB171" i="1" s="1"/>
  <c r="T171" i="1"/>
  <c r="AA170" i="1"/>
  <c r="U170" i="1"/>
  <c r="AC170" i="1" s="1"/>
  <c r="AB170" i="1" s="1"/>
  <c r="T170" i="1"/>
  <c r="AA169" i="1"/>
  <c r="AF169" i="1" s="1"/>
  <c r="U169" i="1"/>
  <c r="AC169" i="1" s="1"/>
  <c r="AB169" i="1" s="1"/>
  <c r="T169" i="1"/>
  <c r="AA168" i="1"/>
  <c r="AF168" i="1" s="1"/>
  <c r="U168" i="1"/>
  <c r="AC168" i="1" s="1"/>
  <c r="AB168" i="1" s="1"/>
  <c r="T168" i="1"/>
  <c r="AA167" i="1"/>
  <c r="U167" i="1"/>
  <c r="AC167" i="1" s="1"/>
  <c r="AB167" i="1" s="1"/>
  <c r="T167" i="1"/>
  <c r="AA166" i="1"/>
  <c r="AF166" i="1" s="1"/>
  <c r="U166" i="1"/>
  <c r="AC166" i="1" s="1"/>
  <c r="AB166" i="1" s="1"/>
  <c r="T166" i="1"/>
  <c r="AA165" i="1"/>
  <c r="AF165" i="1" s="1"/>
  <c r="U165" i="1"/>
  <c r="AC165" i="1" s="1"/>
  <c r="AB165" i="1" s="1"/>
  <c r="T165" i="1"/>
  <c r="AA164" i="1"/>
  <c r="U164" i="1"/>
  <c r="AC164" i="1" s="1"/>
  <c r="AB164" i="1" s="1"/>
  <c r="T164" i="1"/>
  <c r="AA163" i="1"/>
  <c r="AF163" i="1" s="1"/>
  <c r="U163" i="1"/>
  <c r="AC163" i="1" s="1"/>
  <c r="AB163" i="1" s="1"/>
  <c r="T163" i="1"/>
  <c r="AA162" i="1"/>
  <c r="U162" i="1"/>
  <c r="AC162" i="1" s="1"/>
  <c r="AB162" i="1" s="1"/>
  <c r="T162" i="1"/>
  <c r="AA161" i="1"/>
  <c r="U161" i="1"/>
  <c r="AC161" i="1" s="1"/>
  <c r="AB161" i="1" s="1"/>
  <c r="T161" i="1"/>
  <c r="AA160" i="1"/>
  <c r="U160" i="1"/>
  <c r="AC160" i="1" s="1"/>
  <c r="AB160" i="1" s="1"/>
  <c r="T160" i="1"/>
  <c r="AA159" i="1"/>
  <c r="AF159" i="1" s="1"/>
  <c r="U159" i="1"/>
  <c r="AC159" i="1" s="1"/>
  <c r="AB159" i="1" s="1"/>
  <c r="T159" i="1"/>
  <c r="AA158" i="1"/>
  <c r="U158" i="1"/>
  <c r="AC158" i="1" s="1"/>
  <c r="AB158" i="1" s="1"/>
  <c r="T158" i="1"/>
  <c r="AA157" i="1"/>
  <c r="U157" i="1"/>
  <c r="AC157" i="1" s="1"/>
  <c r="AB157" i="1" s="1"/>
  <c r="T157" i="1"/>
  <c r="AA156" i="1"/>
  <c r="U156" i="1"/>
  <c r="AC156" i="1" s="1"/>
  <c r="AB156" i="1" s="1"/>
  <c r="T156" i="1"/>
  <c r="AA155" i="1"/>
  <c r="U155" i="1"/>
  <c r="AC155" i="1" s="1"/>
  <c r="AB155" i="1" s="1"/>
  <c r="T155" i="1"/>
  <c r="AA154" i="1"/>
  <c r="U154" i="1"/>
  <c r="AC154" i="1" s="1"/>
  <c r="AB154" i="1" s="1"/>
  <c r="T154" i="1"/>
  <c r="AA153" i="1"/>
  <c r="AF153" i="1" s="1"/>
  <c r="U153" i="1"/>
  <c r="AC153" i="1" s="1"/>
  <c r="AB153" i="1" s="1"/>
  <c r="T153" i="1"/>
  <c r="AA152" i="1"/>
  <c r="AF152" i="1" s="1"/>
  <c r="U152" i="1"/>
  <c r="AC152" i="1" s="1"/>
  <c r="AB152" i="1" s="1"/>
  <c r="T152" i="1"/>
  <c r="AA151" i="1"/>
  <c r="AF151" i="1" s="1"/>
  <c r="U151" i="1"/>
  <c r="AC151" i="1" s="1"/>
  <c r="AB151" i="1" s="1"/>
  <c r="T151" i="1"/>
  <c r="AA150" i="1"/>
  <c r="AF150" i="1" s="1"/>
  <c r="U150" i="1"/>
  <c r="AC150" i="1" s="1"/>
  <c r="AB150" i="1" s="1"/>
  <c r="T150" i="1"/>
  <c r="AA149" i="1"/>
  <c r="AF149" i="1" s="1"/>
  <c r="U149" i="1"/>
  <c r="AC149" i="1" s="1"/>
  <c r="AB149" i="1" s="1"/>
  <c r="T149" i="1"/>
  <c r="AA148" i="1"/>
  <c r="U148" i="1"/>
  <c r="AC148" i="1" s="1"/>
  <c r="AB148" i="1" s="1"/>
  <c r="T148" i="1"/>
  <c r="AA147" i="1"/>
  <c r="U147" i="1"/>
  <c r="AC147" i="1" s="1"/>
  <c r="AB147" i="1" s="1"/>
  <c r="T147" i="1"/>
  <c r="AA146" i="1"/>
  <c r="U146" i="1"/>
  <c r="AC146" i="1" s="1"/>
  <c r="AB146" i="1" s="1"/>
  <c r="T146" i="1"/>
  <c r="AA145" i="1"/>
  <c r="AF145" i="1" s="1"/>
  <c r="U145" i="1"/>
  <c r="AC145" i="1" s="1"/>
  <c r="AB145" i="1" s="1"/>
  <c r="T145" i="1"/>
  <c r="AA144" i="1"/>
  <c r="U144" i="1"/>
  <c r="AC144" i="1" s="1"/>
  <c r="AB144" i="1" s="1"/>
  <c r="T144" i="1"/>
  <c r="AA143" i="1"/>
  <c r="AF143" i="1" s="1"/>
  <c r="U143" i="1"/>
  <c r="AC143" i="1" s="1"/>
  <c r="AB143" i="1" s="1"/>
  <c r="T143" i="1"/>
  <c r="AA142" i="1"/>
  <c r="AF142" i="1" s="1"/>
  <c r="U142" i="1"/>
  <c r="AC142" i="1" s="1"/>
  <c r="AB142" i="1" s="1"/>
  <c r="T142" i="1"/>
  <c r="AA141" i="1"/>
  <c r="AJ141" i="1" s="1"/>
  <c r="U141" i="1"/>
  <c r="AC141" i="1" s="1"/>
  <c r="AB141" i="1" s="1"/>
  <c r="T141" i="1"/>
  <c r="AA140" i="1"/>
  <c r="AF140" i="1" s="1"/>
  <c r="U140" i="1"/>
  <c r="AC140" i="1" s="1"/>
  <c r="AB140" i="1" s="1"/>
  <c r="T140" i="1"/>
  <c r="AA139" i="1"/>
  <c r="AJ139" i="1" s="1"/>
  <c r="U139" i="1"/>
  <c r="AC139" i="1" s="1"/>
  <c r="AB139" i="1" s="1"/>
  <c r="T139" i="1"/>
  <c r="AA138" i="1"/>
  <c r="AF138" i="1" s="1"/>
  <c r="U138" i="1"/>
  <c r="AC138" i="1" s="1"/>
  <c r="AB138" i="1" s="1"/>
  <c r="T138" i="1"/>
  <c r="AA137" i="1"/>
  <c r="AF137" i="1" s="1"/>
  <c r="U137" i="1"/>
  <c r="AC137" i="1" s="1"/>
  <c r="AB137" i="1" s="1"/>
  <c r="T137" i="1"/>
  <c r="AA136" i="1"/>
  <c r="U136" i="1"/>
  <c r="AC136" i="1" s="1"/>
  <c r="AB136" i="1" s="1"/>
  <c r="T136" i="1"/>
  <c r="AA135" i="1"/>
  <c r="AF135" i="1" s="1"/>
  <c r="U135" i="1"/>
  <c r="AC135" i="1" s="1"/>
  <c r="AB135" i="1" s="1"/>
  <c r="T135" i="1"/>
  <c r="AA134" i="1"/>
  <c r="AI134" i="1" s="1"/>
  <c r="U134" i="1"/>
  <c r="AC134" i="1" s="1"/>
  <c r="AB134" i="1" s="1"/>
  <c r="T134" i="1"/>
  <c r="AA133" i="1"/>
  <c r="AF133" i="1" s="1"/>
  <c r="U133" i="1"/>
  <c r="AC133" i="1" s="1"/>
  <c r="AB133" i="1" s="1"/>
  <c r="T133" i="1"/>
  <c r="AA132" i="1"/>
  <c r="AJ132" i="1" s="1"/>
  <c r="U132" i="1"/>
  <c r="AC132" i="1" s="1"/>
  <c r="AB132" i="1" s="1"/>
  <c r="T132" i="1"/>
  <c r="AA131" i="1"/>
  <c r="AF131" i="1" s="1"/>
  <c r="U131" i="1"/>
  <c r="AC131" i="1" s="1"/>
  <c r="AB131" i="1" s="1"/>
  <c r="T131" i="1"/>
  <c r="AA130" i="1"/>
  <c r="AJ130" i="1" s="1"/>
  <c r="U130" i="1"/>
  <c r="AC130" i="1" s="1"/>
  <c r="AB130" i="1" s="1"/>
  <c r="T130" i="1"/>
  <c r="AA129" i="1"/>
  <c r="AF129" i="1" s="1"/>
  <c r="U129" i="1"/>
  <c r="AC129" i="1" s="1"/>
  <c r="AB129" i="1" s="1"/>
  <c r="T129" i="1"/>
  <c r="AA128" i="1"/>
  <c r="U128" i="1"/>
  <c r="AC128" i="1" s="1"/>
  <c r="AB128" i="1" s="1"/>
  <c r="T128" i="1"/>
  <c r="AA127" i="1"/>
  <c r="U127" i="1"/>
  <c r="AC127" i="1" s="1"/>
  <c r="AB127" i="1" s="1"/>
  <c r="T127" i="1"/>
  <c r="AA126" i="1"/>
  <c r="AF126" i="1" s="1"/>
  <c r="U126" i="1"/>
  <c r="AC126" i="1" s="1"/>
  <c r="AB126" i="1" s="1"/>
  <c r="T126" i="1"/>
  <c r="AA125" i="1"/>
  <c r="U125" i="1"/>
  <c r="AC125" i="1" s="1"/>
  <c r="AB125" i="1" s="1"/>
  <c r="T125" i="1"/>
  <c r="AA124" i="1"/>
  <c r="AF124" i="1" s="1"/>
  <c r="U124" i="1"/>
  <c r="AC124" i="1" s="1"/>
  <c r="AB124" i="1" s="1"/>
  <c r="T124" i="1"/>
  <c r="AA123" i="1"/>
  <c r="U123" i="1"/>
  <c r="AC123" i="1" s="1"/>
  <c r="AB123" i="1" s="1"/>
  <c r="T123" i="1"/>
  <c r="AA122" i="1"/>
  <c r="AF122" i="1" s="1"/>
  <c r="U122" i="1"/>
  <c r="AC122" i="1" s="1"/>
  <c r="AB122" i="1" s="1"/>
  <c r="T122" i="1"/>
  <c r="AA121" i="1"/>
  <c r="U121" i="1"/>
  <c r="AC121" i="1" s="1"/>
  <c r="AB121" i="1" s="1"/>
  <c r="T121" i="1"/>
  <c r="AA120" i="1"/>
  <c r="AI120" i="1" s="1"/>
  <c r="U120" i="1"/>
  <c r="AC120" i="1" s="1"/>
  <c r="AB120" i="1" s="1"/>
  <c r="T120" i="1"/>
  <c r="AA119" i="1"/>
  <c r="AF119" i="1" s="1"/>
  <c r="U119" i="1"/>
  <c r="AC119" i="1" s="1"/>
  <c r="AB119" i="1" s="1"/>
  <c r="T119" i="1"/>
  <c r="AA118" i="1"/>
  <c r="AJ118" i="1" s="1"/>
  <c r="U118" i="1"/>
  <c r="AC118" i="1" s="1"/>
  <c r="AB118" i="1" s="1"/>
  <c r="T118" i="1"/>
  <c r="AA117" i="1"/>
  <c r="AI117" i="1" s="1"/>
  <c r="U117" i="1"/>
  <c r="AC117" i="1" s="1"/>
  <c r="AB117" i="1" s="1"/>
  <c r="T117" i="1"/>
  <c r="AA116" i="1"/>
  <c r="AJ116" i="1" s="1"/>
  <c r="U116" i="1"/>
  <c r="AC116" i="1" s="1"/>
  <c r="AB116" i="1" s="1"/>
  <c r="T116" i="1"/>
  <c r="AA115" i="1"/>
  <c r="AI115" i="1" s="1"/>
  <c r="U115" i="1"/>
  <c r="AC115" i="1" s="1"/>
  <c r="AB115" i="1" s="1"/>
  <c r="T115" i="1"/>
  <c r="AA114" i="1"/>
  <c r="AJ114" i="1" s="1"/>
  <c r="U114" i="1"/>
  <c r="AC114" i="1" s="1"/>
  <c r="AB114" i="1" s="1"/>
  <c r="T114" i="1"/>
  <c r="AA113" i="1"/>
  <c r="AJ113" i="1" s="1"/>
  <c r="U113" i="1"/>
  <c r="AC113" i="1" s="1"/>
  <c r="AB113" i="1" s="1"/>
  <c r="T113" i="1"/>
  <c r="AA112" i="1"/>
  <c r="U112" i="1"/>
  <c r="AC112" i="1" s="1"/>
  <c r="AB112" i="1" s="1"/>
  <c r="T112" i="1"/>
  <c r="AA111" i="1"/>
  <c r="AF111" i="1" s="1"/>
  <c r="U111" i="1"/>
  <c r="AC111" i="1" s="1"/>
  <c r="AB111" i="1" s="1"/>
  <c r="T111" i="1"/>
  <c r="AA110" i="1"/>
  <c r="AF110" i="1" s="1"/>
  <c r="U110" i="1"/>
  <c r="AC110" i="1" s="1"/>
  <c r="AB110" i="1" s="1"/>
  <c r="T110" i="1"/>
  <c r="AA109" i="1"/>
  <c r="U109" i="1"/>
  <c r="AC109" i="1" s="1"/>
  <c r="AB109" i="1" s="1"/>
  <c r="T109" i="1"/>
  <c r="AA108" i="1"/>
  <c r="AF108" i="1" s="1"/>
  <c r="U108" i="1"/>
  <c r="AC108" i="1" s="1"/>
  <c r="AB108" i="1" s="1"/>
  <c r="T108" i="1"/>
  <c r="AA107" i="1"/>
  <c r="AF107" i="1" s="1"/>
  <c r="U107" i="1"/>
  <c r="AC107" i="1" s="1"/>
  <c r="AB107" i="1" s="1"/>
  <c r="T107" i="1"/>
  <c r="AA106" i="1"/>
  <c r="AF106" i="1" s="1"/>
  <c r="U106" i="1"/>
  <c r="AC106" i="1" s="1"/>
  <c r="AB106" i="1" s="1"/>
  <c r="T106" i="1"/>
  <c r="AA105" i="1"/>
  <c r="AF105" i="1" s="1"/>
  <c r="U105" i="1"/>
  <c r="AC105" i="1" s="1"/>
  <c r="AB105" i="1" s="1"/>
  <c r="T105" i="1"/>
  <c r="AA104" i="1"/>
  <c r="AF104" i="1" s="1"/>
  <c r="U104" i="1"/>
  <c r="AC104" i="1" s="1"/>
  <c r="AB104" i="1" s="1"/>
  <c r="T104" i="1"/>
  <c r="AA103" i="1"/>
  <c r="AF103" i="1" s="1"/>
  <c r="U103" i="1"/>
  <c r="AC103" i="1" s="1"/>
  <c r="AB103" i="1" s="1"/>
  <c r="T103" i="1"/>
  <c r="AA102" i="1"/>
  <c r="AI102" i="1" s="1"/>
  <c r="U102" i="1"/>
  <c r="AC102" i="1" s="1"/>
  <c r="AB102" i="1" s="1"/>
  <c r="T102" i="1"/>
  <c r="AA101" i="1"/>
  <c r="AF101" i="1" s="1"/>
  <c r="U101" i="1"/>
  <c r="AC101" i="1" s="1"/>
  <c r="AB101" i="1" s="1"/>
  <c r="T101" i="1"/>
  <c r="AA100" i="1"/>
  <c r="AJ100" i="1" s="1"/>
  <c r="U100" i="1"/>
  <c r="AC100" i="1" s="1"/>
  <c r="AB100" i="1" s="1"/>
  <c r="T100" i="1"/>
  <c r="AA99" i="1"/>
  <c r="AF99" i="1" s="1"/>
  <c r="U99" i="1"/>
  <c r="AC99" i="1" s="1"/>
  <c r="AB99" i="1" s="1"/>
  <c r="T99" i="1"/>
  <c r="AA98" i="1"/>
  <c r="U98" i="1"/>
  <c r="AC98" i="1" s="1"/>
  <c r="AB98" i="1" s="1"/>
  <c r="T98" i="1"/>
  <c r="AA97" i="1"/>
  <c r="AF97" i="1" s="1"/>
  <c r="U97" i="1"/>
  <c r="AC97" i="1" s="1"/>
  <c r="AB97" i="1" s="1"/>
  <c r="T97" i="1"/>
  <c r="AA96" i="1"/>
  <c r="AI96" i="1" s="1"/>
  <c r="U96" i="1"/>
  <c r="AC96" i="1" s="1"/>
  <c r="AB96" i="1" s="1"/>
  <c r="T96" i="1"/>
  <c r="AA95" i="1"/>
  <c r="U95" i="1"/>
  <c r="AC95" i="1" s="1"/>
  <c r="AB95" i="1" s="1"/>
  <c r="T95" i="1"/>
  <c r="AA94" i="1"/>
  <c r="AF94" i="1" s="1"/>
  <c r="U94" i="1"/>
  <c r="AC94" i="1" s="1"/>
  <c r="AB94" i="1" s="1"/>
  <c r="T94" i="1"/>
  <c r="AA93" i="1"/>
  <c r="AI93" i="1" s="1"/>
  <c r="U93" i="1"/>
  <c r="AC93" i="1" s="1"/>
  <c r="AB93" i="1" s="1"/>
  <c r="T93" i="1"/>
  <c r="AA92" i="1"/>
  <c r="AJ92" i="1" s="1"/>
  <c r="U92" i="1"/>
  <c r="AC92" i="1" s="1"/>
  <c r="AB92" i="1" s="1"/>
  <c r="T92" i="1"/>
  <c r="AA91" i="1"/>
  <c r="AJ91" i="1" s="1"/>
  <c r="U91" i="1"/>
  <c r="AC91" i="1" s="1"/>
  <c r="AB91" i="1" s="1"/>
  <c r="T91" i="1"/>
  <c r="AA90" i="1"/>
  <c r="U90" i="1"/>
  <c r="AC90" i="1" s="1"/>
  <c r="AB90" i="1" s="1"/>
  <c r="T90" i="1"/>
  <c r="AA89" i="1"/>
  <c r="AJ89" i="1" s="1"/>
  <c r="U89" i="1"/>
  <c r="AC89" i="1" s="1"/>
  <c r="AB89" i="1" s="1"/>
  <c r="T89" i="1"/>
  <c r="AA88" i="1"/>
  <c r="AF88" i="1" s="1"/>
  <c r="U88" i="1"/>
  <c r="AC88" i="1" s="1"/>
  <c r="AB88" i="1" s="1"/>
  <c r="T88" i="1"/>
  <c r="AA87" i="1"/>
  <c r="U87" i="1"/>
  <c r="AC87" i="1" s="1"/>
  <c r="AB87" i="1" s="1"/>
  <c r="T87" i="1"/>
  <c r="AA86" i="1"/>
  <c r="AF86" i="1" s="1"/>
  <c r="U86" i="1"/>
  <c r="AC86" i="1" s="1"/>
  <c r="AB86" i="1" s="1"/>
  <c r="T86" i="1"/>
  <c r="AA85" i="1"/>
  <c r="AF85" i="1" s="1"/>
  <c r="U85" i="1"/>
  <c r="AC85" i="1" s="1"/>
  <c r="AB85" i="1" s="1"/>
  <c r="T85" i="1"/>
  <c r="AA84" i="1"/>
  <c r="AJ84" i="1" s="1"/>
  <c r="U84" i="1"/>
  <c r="AC84" i="1" s="1"/>
  <c r="AB84" i="1" s="1"/>
  <c r="T84" i="1"/>
  <c r="AA83" i="1"/>
  <c r="AI83" i="1" s="1"/>
  <c r="U83" i="1"/>
  <c r="AC83" i="1" s="1"/>
  <c r="AB83" i="1" s="1"/>
  <c r="T83" i="1"/>
  <c r="AA82" i="1"/>
  <c r="AI82" i="1" s="1"/>
  <c r="U82" i="1"/>
  <c r="AC82" i="1" s="1"/>
  <c r="AB82" i="1" s="1"/>
  <c r="T82" i="1"/>
  <c r="AA81" i="1"/>
  <c r="AF81" i="1" s="1"/>
  <c r="U81" i="1"/>
  <c r="AC81" i="1" s="1"/>
  <c r="AB81" i="1" s="1"/>
  <c r="T81" i="1"/>
  <c r="AA80" i="1"/>
  <c r="AJ80" i="1" s="1"/>
  <c r="U80" i="1"/>
  <c r="AC80" i="1" s="1"/>
  <c r="AB80" i="1" s="1"/>
  <c r="T80" i="1"/>
  <c r="AA79" i="1"/>
  <c r="U79" i="1"/>
  <c r="AC79" i="1" s="1"/>
  <c r="AB79" i="1" s="1"/>
  <c r="T79" i="1"/>
  <c r="AA78" i="1"/>
  <c r="AF78" i="1" s="1"/>
  <c r="U78" i="1"/>
  <c r="AC78" i="1" s="1"/>
  <c r="AB78" i="1" s="1"/>
  <c r="T78" i="1"/>
  <c r="AA77" i="1"/>
  <c r="AF77" i="1" s="1"/>
  <c r="U77" i="1"/>
  <c r="AC77" i="1" s="1"/>
  <c r="AB77" i="1" s="1"/>
  <c r="T77" i="1"/>
  <c r="AA76" i="1"/>
  <c r="AF76" i="1" s="1"/>
  <c r="U76" i="1"/>
  <c r="AC76" i="1" s="1"/>
  <c r="AB76" i="1" s="1"/>
  <c r="T76" i="1"/>
  <c r="AA75" i="1"/>
  <c r="U75" i="1"/>
  <c r="AC75" i="1" s="1"/>
  <c r="AB75" i="1" s="1"/>
  <c r="T75" i="1"/>
  <c r="AA74" i="1"/>
  <c r="AF74" i="1" s="1"/>
  <c r="U74" i="1"/>
  <c r="AC74" i="1" s="1"/>
  <c r="AB74" i="1" s="1"/>
  <c r="T74" i="1"/>
  <c r="AA73" i="1"/>
  <c r="AF73" i="1" s="1"/>
  <c r="U73" i="1"/>
  <c r="AC73" i="1" s="1"/>
  <c r="AB73" i="1" s="1"/>
  <c r="T73" i="1"/>
  <c r="AA72" i="1"/>
  <c r="U72" i="1"/>
  <c r="AC72" i="1" s="1"/>
  <c r="AB72" i="1" s="1"/>
  <c r="T72" i="1"/>
  <c r="AA71" i="1"/>
  <c r="AF71" i="1" s="1"/>
  <c r="U71" i="1"/>
  <c r="AC71" i="1" s="1"/>
  <c r="AB71" i="1" s="1"/>
  <c r="T71" i="1"/>
  <c r="AA70" i="1"/>
  <c r="U70" i="1"/>
  <c r="AC70" i="1" s="1"/>
  <c r="AB70" i="1" s="1"/>
  <c r="T70" i="1"/>
  <c r="AA69" i="1"/>
  <c r="U69" i="1"/>
  <c r="AC69" i="1" s="1"/>
  <c r="AB69" i="1" s="1"/>
  <c r="T69" i="1"/>
  <c r="AA68" i="1"/>
  <c r="AF68" i="1" s="1"/>
  <c r="U68" i="1"/>
  <c r="AC68" i="1" s="1"/>
  <c r="AB68" i="1" s="1"/>
  <c r="T68" i="1"/>
  <c r="AA67" i="1"/>
  <c r="AF67" i="1" s="1"/>
  <c r="U67" i="1"/>
  <c r="AC67" i="1" s="1"/>
  <c r="AB67" i="1" s="1"/>
  <c r="T67" i="1"/>
  <c r="AA66" i="1"/>
  <c r="U66" i="1"/>
  <c r="AC66" i="1" s="1"/>
  <c r="AB66" i="1" s="1"/>
  <c r="T66" i="1"/>
  <c r="AA65" i="1"/>
  <c r="AF65" i="1" s="1"/>
  <c r="U65" i="1"/>
  <c r="AC65" i="1" s="1"/>
  <c r="AB65" i="1" s="1"/>
  <c r="T65" i="1"/>
  <c r="AA64" i="1"/>
  <c r="AF64" i="1" s="1"/>
  <c r="U64" i="1"/>
  <c r="AC64" i="1" s="1"/>
  <c r="AB64" i="1" s="1"/>
  <c r="T64" i="1"/>
  <c r="AA63" i="1"/>
  <c r="AF63" i="1" s="1"/>
  <c r="U63" i="1"/>
  <c r="AC63" i="1" s="1"/>
  <c r="AB63" i="1" s="1"/>
  <c r="T63" i="1"/>
  <c r="AA62" i="1"/>
  <c r="U62" i="1"/>
  <c r="AC62" i="1" s="1"/>
  <c r="AB62" i="1" s="1"/>
  <c r="T62" i="1"/>
  <c r="AA61" i="1"/>
  <c r="AF61" i="1" s="1"/>
  <c r="U61" i="1"/>
  <c r="AC61" i="1" s="1"/>
  <c r="AB61" i="1" s="1"/>
  <c r="T61" i="1"/>
  <c r="AA60" i="1"/>
  <c r="AF60" i="1" s="1"/>
  <c r="U60" i="1"/>
  <c r="AC60" i="1" s="1"/>
  <c r="AB60" i="1" s="1"/>
  <c r="T60" i="1"/>
  <c r="AA59" i="1"/>
  <c r="AF59" i="1" s="1"/>
  <c r="U59" i="1"/>
  <c r="AC59" i="1" s="1"/>
  <c r="AB59" i="1" s="1"/>
  <c r="T59" i="1"/>
  <c r="AA58" i="1"/>
  <c r="U58" i="1"/>
  <c r="AC58" i="1" s="1"/>
  <c r="AB58" i="1" s="1"/>
  <c r="T58" i="1"/>
  <c r="AA57" i="1"/>
  <c r="AF57" i="1" s="1"/>
  <c r="U57" i="1"/>
  <c r="AC57" i="1" s="1"/>
  <c r="AB57" i="1" s="1"/>
  <c r="T57" i="1"/>
  <c r="AA56" i="1"/>
  <c r="AF56" i="1" s="1"/>
  <c r="U56" i="1"/>
  <c r="AC56" i="1" s="1"/>
  <c r="AB56" i="1" s="1"/>
  <c r="T56" i="1"/>
  <c r="AA55" i="1"/>
  <c r="AF55" i="1" s="1"/>
  <c r="U55" i="1"/>
  <c r="AC55" i="1" s="1"/>
  <c r="AB55" i="1" s="1"/>
  <c r="T55" i="1"/>
  <c r="AA54" i="1"/>
  <c r="U54" i="1"/>
  <c r="AC54" i="1" s="1"/>
  <c r="AB54" i="1" s="1"/>
  <c r="T54" i="1"/>
  <c r="AA53" i="1"/>
  <c r="AI53" i="1" s="1"/>
  <c r="U53" i="1"/>
  <c r="AC53" i="1" s="1"/>
  <c r="AB53" i="1" s="1"/>
  <c r="T53" i="1"/>
  <c r="AA52" i="1"/>
  <c r="AF52" i="1" s="1"/>
  <c r="U52" i="1"/>
  <c r="AC52" i="1" s="1"/>
  <c r="AB52" i="1" s="1"/>
  <c r="T52" i="1"/>
  <c r="AA51" i="1"/>
  <c r="U51" i="1"/>
  <c r="AC51" i="1" s="1"/>
  <c r="AB51" i="1" s="1"/>
  <c r="T51" i="1"/>
  <c r="AA50" i="1"/>
  <c r="AJ50" i="1" s="1"/>
  <c r="U50" i="1"/>
  <c r="AC50" i="1" s="1"/>
  <c r="AB50" i="1" s="1"/>
  <c r="T50" i="1"/>
  <c r="AA49" i="1"/>
  <c r="U49" i="1"/>
  <c r="AC49" i="1" s="1"/>
  <c r="AB49" i="1" s="1"/>
  <c r="T49" i="1"/>
  <c r="AA48" i="1"/>
  <c r="AF48" i="1" s="1"/>
  <c r="U48" i="1"/>
  <c r="AC48" i="1" s="1"/>
  <c r="AB48" i="1" s="1"/>
  <c r="T48" i="1"/>
  <c r="AA47" i="1"/>
  <c r="AF47" i="1" s="1"/>
  <c r="U47" i="1"/>
  <c r="AC47" i="1" s="1"/>
  <c r="AB47" i="1" s="1"/>
  <c r="T47" i="1"/>
  <c r="AA46" i="1"/>
  <c r="AF46" i="1" s="1"/>
  <c r="U46" i="1"/>
  <c r="AC46" i="1" s="1"/>
  <c r="AB46" i="1" s="1"/>
  <c r="T46" i="1"/>
  <c r="AA45" i="1"/>
  <c r="AF45" i="1" s="1"/>
  <c r="U45" i="1"/>
  <c r="AC45" i="1" s="1"/>
  <c r="AB45" i="1" s="1"/>
  <c r="T45" i="1"/>
  <c r="AA44" i="1"/>
  <c r="AJ44" i="1" s="1"/>
  <c r="U44" i="1"/>
  <c r="AC44" i="1" s="1"/>
  <c r="AB44" i="1" s="1"/>
  <c r="T44" i="1"/>
  <c r="AA43" i="1"/>
  <c r="AF43" i="1" s="1"/>
  <c r="U43" i="1"/>
  <c r="AC43" i="1" s="1"/>
  <c r="AB43" i="1" s="1"/>
  <c r="T43" i="1"/>
  <c r="AA42" i="1"/>
  <c r="U42" i="1"/>
  <c r="AC42" i="1" s="1"/>
  <c r="AB42" i="1" s="1"/>
  <c r="T42" i="1"/>
  <c r="AA41" i="1"/>
  <c r="AF41" i="1" s="1"/>
  <c r="U41" i="1"/>
  <c r="AC41" i="1" s="1"/>
  <c r="AB41" i="1" s="1"/>
  <c r="T41" i="1"/>
  <c r="AA40" i="1"/>
  <c r="AF40" i="1" s="1"/>
  <c r="U40" i="1"/>
  <c r="AC40" i="1" s="1"/>
  <c r="AB40" i="1" s="1"/>
  <c r="T40" i="1"/>
  <c r="AA39" i="1"/>
  <c r="AI39" i="1" s="1"/>
  <c r="U39" i="1"/>
  <c r="AC39" i="1" s="1"/>
  <c r="AB39" i="1" s="1"/>
  <c r="T39" i="1"/>
  <c r="AA38" i="1"/>
  <c r="U38" i="1"/>
  <c r="AC38" i="1" s="1"/>
  <c r="AB38" i="1" s="1"/>
  <c r="T38" i="1"/>
  <c r="AA37" i="1"/>
  <c r="AF37" i="1" s="1"/>
  <c r="U37" i="1"/>
  <c r="AC37" i="1" s="1"/>
  <c r="AB37" i="1" s="1"/>
  <c r="T37" i="1"/>
  <c r="AA36" i="1"/>
  <c r="AF36" i="1" s="1"/>
  <c r="U36" i="1"/>
  <c r="AC36" i="1" s="1"/>
  <c r="AB36" i="1" s="1"/>
  <c r="T36" i="1"/>
  <c r="AA35" i="1"/>
  <c r="AF35" i="1" s="1"/>
  <c r="U35" i="1"/>
  <c r="AC35" i="1" s="1"/>
  <c r="AB35" i="1" s="1"/>
  <c r="T35" i="1"/>
  <c r="AA34" i="1"/>
  <c r="U34" i="1"/>
  <c r="AC34" i="1" s="1"/>
  <c r="AB34" i="1" s="1"/>
  <c r="T34" i="1"/>
  <c r="AA33" i="1"/>
  <c r="AJ33" i="1" s="1"/>
  <c r="U33" i="1"/>
  <c r="AC33" i="1" s="1"/>
  <c r="AB33" i="1" s="1"/>
  <c r="T33" i="1"/>
  <c r="AA32" i="1"/>
  <c r="AF32" i="1" s="1"/>
  <c r="U32" i="1"/>
  <c r="AC32" i="1" s="1"/>
  <c r="AB32" i="1" s="1"/>
  <c r="T32" i="1"/>
  <c r="AA31" i="1"/>
  <c r="AJ31" i="1" s="1"/>
  <c r="U31" i="1"/>
  <c r="AC31" i="1" s="1"/>
  <c r="AB31" i="1" s="1"/>
  <c r="T31" i="1"/>
  <c r="AA30" i="1"/>
  <c r="AF30" i="1" s="1"/>
  <c r="U30" i="1"/>
  <c r="AC30" i="1" s="1"/>
  <c r="AB30" i="1" s="1"/>
  <c r="T30" i="1"/>
  <c r="AA29" i="1"/>
  <c r="AI29" i="1" s="1"/>
  <c r="U29" i="1"/>
  <c r="AC29" i="1" s="1"/>
  <c r="AB29" i="1" s="1"/>
  <c r="T29" i="1"/>
  <c r="AA28" i="1"/>
  <c r="U28" i="1"/>
  <c r="AC28" i="1" s="1"/>
  <c r="AB28" i="1" s="1"/>
  <c r="T28" i="1"/>
  <c r="AA27" i="1"/>
  <c r="U27" i="1"/>
  <c r="AC27" i="1" s="1"/>
  <c r="AB27" i="1" s="1"/>
  <c r="T27" i="1"/>
  <c r="AA26" i="1"/>
  <c r="AF26" i="1" s="1"/>
  <c r="U26" i="1"/>
  <c r="AC26" i="1" s="1"/>
  <c r="AB26" i="1" s="1"/>
  <c r="T26" i="1"/>
  <c r="AA25" i="1"/>
  <c r="U25" i="1"/>
  <c r="AC25" i="1" s="1"/>
  <c r="AB25" i="1" s="1"/>
  <c r="T25" i="1"/>
  <c r="AA24" i="1"/>
  <c r="AF24" i="1" s="1"/>
  <c r="U24" i="1"/>
  <c r="AC24" i="1" s="1"/>
  <c r="AB24" i="1" s="1"/>
  <c r="T24" i="1"/>
  <c r="AA23" i="1"/>
  <c r="AF23" i="1" s="1"/>
  <c r="U23" i="1"/>
  <c r="AC23" i="1" s="1"/>
  <c r="AB23" i="1" s="1"/>
  <c r="T23" i="1"/>
  <c r="AA22" i="1"/>
  <c r="AF22" i="1" s="1"/>
  <c r="U22" i="1"/>
  <c r="AC22" i="1" s="1"/>
  <c r="AB22" i="1" s="1"/>
  <c r="T22" i="1"/>
  <c r="AA21" i="1"/>
  <c r="AF21" i="1" s="1"/>
  <c r="U21" i="1"/>
  <c r="AC21" i="1" s="1"/>
  <c r="AB21" i="1" s="1"/>
  <c r="T21" i="1"/>
  <c r="AA20" i="1"/>
  <c r="AI20" i="1" s="1"/>
  <c r="U20" i="1"/>
  <c r="AC20" i="1" s="1"/>
  <c r="AB20" i="1" s="1"/>
  <c r="T20" i="1"/>
  <c r="AA19" i="1"/>
  <c r="U19" i="1"/>
  <c r="AC19" i="1" s="1"/>
  <c r="AB19" i="1" s="1"/>
  <c r="T19" i="1"/>
  <c r="AA18" i="1"/>
  <c r="U18" i="1"/>
  <c r="AC18" i="1" s="1"/>
  <c r="AB18" i="1" s="1"/>
  <c r="T18" i="1"/>
  <c r="AA17" i="1"/>
  <c r="AJ17" i="1" s="1"/>
  <c r="U17" i="1"/>
  <c r="AC17" i="1" s="1"/>
  <c r="AB17" i="1" s="1"/>
  <c r="T17" i="1"/>
  <c r="AA16" i="1"/>
  <c r="AF16" i="1" s="1"/>
  <c r="U16" i="1"/>
  <c r="AC16" i="1" s="1"/>
  <c r="AB16" i="1" s="1"/>
  <c r="T16" i="1"/>
  <c r="AA15" i="1"/>
  <c r="AJ15" i="1" s="1"/>
  <c r="U15" i="1"/>
  <c r="AC15" i="1" s="1"/>
  <c r="AB15" i="1" s="1"/>
  <c r="T15" i="1"/>
  <c r="AA14" i="1"/>
  <c r="AF14" i="1" s="1"/>
  <c r="U14" i="1"/>
  <c r="AC14" i="1" s="1"/>
  <c r="AB14" i="1" s="1"/>
  <c r="T14" i="1"/>
  <c r="AA13" i="1"/>
  <c r="AF13" i="1" s="1"/>
  <c r="U13" i="1"/>
  <c r="AC13" i="1" s="1"/>
  <c r="AB13" i="1" s="1"/>
  <c r="T13" i="1"/>
  <c r="AA12" i="1"/>
  <c r="AF12" i="1" s="1"/>
  <c r="U12" i="1"/>
  <c r="AC12" i="1" s="1"/>
  <c r="AB12" i="1" s="1"/>
  <c r="T12" i="1"/>
  <c r="AA11" i="1"/>
  <c r="U11" i="1"/>
  <c r="AC11" i="1" s="1"/>
  <c r="AB11" i="1" s="1"/>
  <c r="T11" i="1"/>
  <c r="AA10" i="1"/>
  <c r="AF10" i="1" s="1"/>
  <c r="U10" i="1"/>
  <c r="AC10" i="1" s="1"/>
  <c r="AB10" i="1" s="1"/>
  <c r="T10" i="1"/>
  <c r="AA9" i="1"/>
  <c r="AF9" i="1" s="1"/>
  <c r="U9" i="1"/>
  <c r="AC9" i="1" s="1"/>
  <c r="AB9" i="1" s="1"/>
  <c r="T9" i="1"/>
  <c r="AA8" i="1"/>
  <c r="AF8" i="1" s="1"/>
  <c r="U8" i="1"/>
  <c r="AC8" i="1" s="1"/>
  <c r="AB8" i="1" s="1"/>
  <c r="T8" i="1"/>
  <c r="AA7" i="1"/>
  <c r="U7" i="1"/>
  <c r="AC7" i="1" s="1"/>
  <c r="AB7" i="1" s="1"/>
  <c r="T7" i="1"/>
  <c r="AA6" i="1"/>
  <c r="U6" i="1"/>
  <c r="AC6" i="1" s="1"/>
  <c r="AB6" i="1" s="1"/>
  <c r="T6" i="1"/>
  <c r="AA5" i="1"/>
  <c r="AF5" i="1" s="1"/>
  <c r="U5" i="1"/>
  <c r="AC5" i="1" s="1"/>
  <c r="AB5" i="1" s="1"/>
  <c r="T5" i="1"/>
  <c r="AA444" i="1" l="1"/>
  <c r="AF444" i="1" s="1"/>
  <c r="V444" i="1"/>
  <c r="AA445" i="1"/>
  <c r="AF445" i="1" s="1"/>
  <c r="AJ351" i="1"/>
  <c r="AJ437" i="1"/>
  <c r="AJ442" i="1"/>
  <c r="AI169" i="1"/>
  <c r="AI502" i="1"/>
  <c r="AJ349" i="1"/>
  <c r="AF466" i="1"/>
  <c r="AJ23" i="1"/>
  <c r="AF91" i="1"/>
  <c r="AI107" i="1"/>
  <c r="AJ498" i="1"/>
  <c r="AJ82" i="1"/>
  <c r="AJ414" i="1"/>
  <c r="AI321" i="1"/>
  <c r="AJ219" i="1"/>
  <c r="AJ277" i="1"/>
  <c r="AJ430" i="1"/>
  <c r="AJ63" i="1"/>
  <c r="AJ48" i="1"/>
  <c r="AJ346" i="1"/>
  <c r="AJ55" i="1"/>
  <c r="AI433" i="1"/>
  <c r="AF118" i="1"/>
  <c r="AI266" i="1"/>
  <c r="AI211" i="1"/>
  <c r="AJ226" i="1"/>
  <c r="AI313" i="1"/>
  <c r="AJ378" i="1"/>
  <c r="AI171" i="1"/>
  <c r="AJ328" i="1"/>
  <c r="AJ431" i="1"/>
  <c r="AI278" i="1"/>
  <c r="AJ396" i="1"/>
  <c r="AI152" i="1"/>
  <c r="AJ188" i="1"/>
  <c r="AJ265" i="1"/>
  <c r="AI294" i="1"/>
  <c r="AJ329" i="1"/>
  <c r="AJ403" i="1"/>
  <c r="AJ224" i="1"/>
  <c r="AI56" i="1"/>
  <c r="AJ71" i="1"/>
  <c r="AJ76" i="1"/>
  <c r="AJ275" i="1"/>
  <c r="AI315" i="1"/>
  <c r="AJ429" i="1"/>
  <c r="AJ465" i="1"/>
  <c r="AJ67" i="1"/>
  <c r="AI133" i="1"/>
  <c r="AI60" i="1"/>
  <c r="AI143" i="1"/>
  <c r="AI168" i="1"/>
  <c r="AI172" i="1"/>
  <c r="AJ231" i="1"/>
  <c r="AI279" i="1"/>
  <c r="AJ331" i="1"/>
  <c r="AI345" i="1"/>
  <c r="AI118" i="1"/>
  <c r="AJ222" i="1"/>
  <c r="AF341" i="1"/>
  <c r="AF80" i="1"/>
  <c r="AJ124" i="1"/>
  <c r="AF242" i="1"/>
  <c r="AI360" i="1"/>
  <c r="AJ301" i="1"/>
  <c r="AI101" i="1"/>
  <c r="AF174" i="1"/>
  <c r="AF31" i="1"/>
  <c r="AJ111" i="1"/>
  <c r="AI297" i="1"/>
  <c r="AJ316" i="1"/>
  <c r="AJ361" i="1"/>
  <c r="AJ387" i="1"/>
  <c r="AF491" i="1"/>
  <c r="AJ496" i="1"/>
  <c r="AF255" i="1"/>
  <c r="AF260" i="1"/>
  <c r="AF330" i="1"/>
  <c r="AF344" i="1"/>
  <c r="AJ122" i="1"/>
  <c r="AJ235" i="1"/>
  <c r="AF464" i="1"/>
  <c r="AJ489" i="1"/>
  <c r="AF460" i="1"/>
  <c r="AF493" i="1"/>
  <c r="AF186" i="1"/>
  <c r="AF190" i="1"/>
  <c r="AF199" i="1"/>
  <c r="AI14" i="1"/>
  <c r="AI119" i="1"/>
  <c r="AI132" i="1"/>
  <c r="AJ137" i="1"/>
  <c r="AI151" i="1"/>
  <c r="AI195" i="1"/>
  <c r="AJ199" i="1"/>
  <c r="AJ204" i="1"/>
  <c r="AF230" i="1"/>
  <c r="AI234" i="1"/>
  <c r="AJ338" i="1"/>
  <c r="AJ402" i="1"/>
  <c r="AF498" i="1"/>
  <c r="AJ39" i="1"/>
  <c r="AJ57" i="1"/>
  <c r="AJ142" i="1"/>
  <c r="AJ187" i="1"/>
  <c r="AI267" i="1"/>
  <c r="AF347" i="1"/>
  <c r="AJ386" i="1"/>
  <c r="AI447" i="1"/>
  <c r="AI114" i="1"/>
  <c r="AI116" i="1"/>
  <c r="AJ129" i="1"/>
  <c r="AI210" i="1"/>
  <c r="AI245" i="1"/>
  <c r="AJ250" i="1"/>
  <c r="AJ420" i="1"/>
  <c r="AI36" i="1"/>
  <c r="AJ232" i="1"/>
  <c r="AJ255" i="1"/>
  <c r="AF372" i="1"/>
  <c r="AF458" i="1"/>
  <c r="AI68" i="1"/>
  <c r="AI410" i="1"/>
  <c r="AI444" i="1"/>
  <c r="AF467" i="1"/>
  <c r="AJ13" i="1"/>
  <c r="AI64" i="1"/>
  <c r="AF82" i="1"/>
  <c r="AJ105" i="1"/>
  <c r="AJ126" i="1"/>
  <c r="AJ175" i="1"/>
  <c r="AJ256" i="1"/>
  <c r="AJ283" i="1"/>
  <c r="AJ363" i="1"/>
  <c r="AF421" i="1"/>
  <c r="AI436" i="1"/>
  <c r="AJ216" i="1"/>
  <c r="AJ233" i="1"/>
  <c r="AI261" i="1"/>
  <c r="AI293" i="1"/>
  <c r="AJ400" i="1"/>
  <c r="AJ347" i="1"/>
  <c r="AI347" i="1"/>
  <c r="AJ466" i="1"/>
  <c r="AI466" i="1"/>
  <c r="AF27" i="1"/>
  <c r="AF84" i="1"/>
  <c r="AF160" i="1"/>
  <c r="AF284" i="1"/>
  <c r="AF92" i="1"/>
  <c r="AF130" i="1"/>
  <c r="AF200" i="1"/>
  <c r="AI130" i="1"/>
  <c r="AF197" i="1"/>
  <c r="AF273" i="1"/>
  <c r="AF277" i="1"/>
  <c r="AJ362" i="1"/>
  <c r="AJ419" i="1"/>
  <c r="AJ428" i="1"/>
  <c r="AJ490" i="1"/>
  <c r="AI61" i="1"/>
  <c r="AJ86" i="1"/>
  <c r="AJ182" i="1"/>
  <c r="AF258" i="1"/>
  <c r="AJ286" i="1"/>
  <c r="AI384" i="1"/>
  <c r="AF483" i="1"/>
  <c r="AJ74" i="1"/>
  <c r="AI135" i="1"/>
  <c r="AJ238" i="1"/>
  <c r="AI274" i="1"/>
  <c r="AJ305" i="1"/>
  <c r="AJ314" i="1"/>
  <c r="AF474" i="1"/>
  <c r="AJ483" i="1"/>
  <c r="AI463" i="1"/>
  <c r="AF113" i="1"/>
  <c r="AI59" i="1"/>
  <c r="AJ103" i="1"/>
  <c r="AJ110" i="1"/>
  <c r="AI113" i="1"/>
  <c r="AF154" i="1"/>
  <c r="AI174" i="1"/>
  <c r="AJ252" i="1"/>
  <c r="AF259" i="1"/>
  <c r="AI296" i="1"/>
  <c r="AI326" i="1"/>
  <c r="AJ381" i="1"/>
  <c r="AF322" i="1"/>
  <c r="AF121" i="1"/>
  <c r="AF139" i="1"/>
  <c r="AI207" i="1"/>
  <c r="AI322" i="1"/>
  <c r="AJ88" i="1"/>
  <c r="AF114" i="1"/>
  <c r="AI139" i="1"/>
  <c r="AF155" i="1"/>
  <c r="AF175" i="1"/>
  <c r="AJ264" i="1"/>
  <c r="AJ395" i="1"/>
  <c r="AJ399" i="1"/>
  <c r="AJ408" i="1"/>
  <c r="AI451" i="1"/>
  <c r="AI492" i="1"/>
  <c r="AI413" i="1"/>
  <c r="AJ96" i="1"/>
  <c r="AI185" i="1"/>
  <c r="AF369" i="1"/>
  <c r="AF482" i="1"/>
  <c r="AJ486" i="1"/>
  <c r="AF257" i="1"/>
  <c r="AF280" i="1"/>
  <c r="AF418" i="1"/>
  <c r="AF93" i="1"/>
  <c r="AF307" i="1"/>
  <c r="AJ53" i="1"/>
  <c r="AF69" i="1"/>
  <c r="AI69" i="1"/>
  <c r="AJ93" i="1"/>
  <c r="AJ117" i="1"/>
  <c r="AF156" i="1"/>
  <c r="AJ156" i="1"/>
  <c r="AI160" i="1"/>
  <c r="AJ160" i="1"/>
  <c r="AF189" i="1"/>
  <c r="AF263" i="1"/>
  <c r="AF448" i="1"/>
  <c r="AJ448" i="1"/>
  <c r="AF19" i="1"/>
  <c r="AI19" i="1"/>
  <c r="AF42" i="1"/>
  <c r="AJ42" i="1"/>
  <c r="AJ73" i="1"/>
  <c r="AF83" i="1"/>
  <c r="AJ120" i="1"/>
  <c r="AF123" i="1"/>
  <c r="AF136" i="1"/>
  <c r="AF146" i="1"/>
  <c r="AI150" i="1"/>
  <c r="AJ230" i="1"/>
  <c r="AF246" i="1"/>
  <c r="AF271" i="1"/>
  <c r="AF343" i="1"/>
  <c r="AF394" i="1"/>
  <c r="AI394" i="1"/>
  <c r="AF469" i="1"/>
  <c r="AJ469" i="1"/>
  <c r="AF15" i="1"/>
  <c r="AF98" i="1"/>
  <c r="AJ121" i="1"/>
  <c r="AI121" i="1"/>
  <c r="AI290" i="1"/>
  <c r="AF364" i="1"/>
  <c r="AJ364" i="1"/>
  <c r="AF379" i="1"/>
  <c r="AF449" i="1"/>
  <c r="AF87" i="1"/>
  <c r="AF157" i="1"/>
  <c r="AF254" i="1"/>
  <c r="AF304" i="1"/>
  <c r="AJ304" i="1"/>
  <c r="AF312" i="1"/>
  <c r="AF39" i="1"/>
  <c r="AI212" i="1"/>
  <c r="AF212" i="1"/>
  <c r="AF243" i="1"/>
  <c r="AI243" i="1"/>
  <c r="AF268" i="1"/>
  <c r="AJ268" i="1"/>
  <c r="AI312" i="1"/>
  <c r="AI379" i="1"/>
  <c r="AJ445" i="1"/>
  <c r="AF70" i="1"/>
  <c r="AF54" i="1"/>
  <c r="AF147" i="1"/>
  <c r="AF298" i="1"/>
  <c r="AF340" i="1"/>
  <c r="AI403" i="1"/>
  <c r="AI21" i="1"/>
  <c r="AJ166" i="1"/>
  <c r="AF180" i="1"/>
  <c r="AI180" i="1"/>
  <c r="AF184" i="1"/>
  <c r="AF198" i="1"/>
  <c r="AF201" i="1"/>
  <c r="AJ201" i="1"/>
  <c r="AJ225" i="1"/>
  <c r="AF225" i="1"/>
  <c r="AF291" i="1"/>
  <c r="AJ309" i="1"/>
  <c r="AJ280" i="1"/>
  <c r="AI280" i="1"/>
  <c r="AF412" i="1"/>
  <c r="AJ438" i="1"/>
  <c r="AF438" i="1"/>
  <c r="AF462" i="1"/>
  <c r="AJ462" i="1"/>
  <c r="AF389" i="1"/>
  <c r="AJ389" i="1"/>
  <c r="AF25" i="1"/>
  <c r="AF158" i="1"/>
  <c r="AJ158" i="1"/>
  <c r="AF29" i="1"/>
  <c r="AF134" i="1"/>
  <c r="AF58" i="1"/>
  <c r="AF191" i="1"/>
  <c r="AF354" i="1"/>
  <c r="AF373" i="1"/>
  <c r="AJ467" i="1"/>
  <c r="AI467" i="1"/>
  <c r="AF481" i="1"/>
  <c r="AF148" i="1"/>
  <c r="AF391" i="1"/>
  <c r="AJ391" i="1"/>
  <c r="AF416" i="1"/>
  <c r="AF17" i="1"/>
  <c r="AI191" i="1"/>
  <c r="AF310" i="1"/>
  <c r="AJ310" i="1"/>
  <c r="AJ354" i="1"/>
  <c r="AF439" i="1"/>
  <c r="AJ439" i="1"/>
  <c r="AI443" i="1"/>
  <c r="AF95" i="1"/>
  <c r="AJ95" i="1"/>
  <c r="AF262" i="1"/>
  <c r="AF432" i="1"/>
  <c r="AF435" i="1"/>
  <c r="AF446" i="1"/>
  <c r="AJ446" i="1"/>
  <c r="AF125" i="1"/>
  <c r="AJ284" i="1"/>
  <c r="AI284" i="1"/>
  <c r="AF455" i="1"/>
  <c r="AJ455" i="1"/>
  <c r="AF79" i="1"/>
  <c r="AF229" i="1"/>
  <c r="AJ259" i="1"/>
  <c r="AI259" i="1"/>
  <c r="AJ61" i="1"/>
  <c r="AF72" i="1"/>
  <c r="AF89" i="1"/>
  <c r="AF96" i="1"/>
  <c r="AJ155" i="1"/>
  <c r="AI155" i="1"/>
  <c r="AI159" i="1"/>
  <c r="AF181" i="1"/>
  <c r="AF214" i="1"/>
  <c r="AJ249" i="1"/>
  <c r="AF249" i="1"/>
  <c r="AJ306" i="1"/>
  <c r="AF306" i="1"/>
  <c r="AJ404" i="1"/>
  <c r="AF404" i="1"/>
  <c r="AI263" i="1"/>
  <c r="AJ263" i="1"/>
  <c r="AJ281" i="1"/>
  <c r="AI281" i="1"/>
  <c r="AI385" i="1"/>
  <c r="AJ385" i="1"/>
  <c r="AF456" i="1"/>
  <c r="AJ482" i="1"/>
  <c r="AI482" i="1"/>
  <c r="AI11" i="1"/>
  <c r="AF11" i="1"/>
  <c r="AJ127" i="1"/>
  <c r="AF127" i="1"/>
  <c r="AF367" i="1"/>
  <c r="AJ325" i="1"/>
  <c r="AF325" i="1"/>
  <c r="AF376" i="1"/>
  <c r="AF406" i="1"/>
  <c r="AJ406" i="1"/>
  <c r="AF167" i="1"/>
  <c r="AI167" i="1"/>
  <c r="AF192" i="1"/>
  <c r="AJ192" i="1"/>
  <c r="AI200" i="1"/>
  <c r="AJ200" i="1"/>
  <c r="AJ196" i="1"/>
  <c r="AF196" i="1"/>
  <c r="AF218" i="1"/>
  <c r="AF18" i="1"/>
  <c r="AI18" i="1"/>
  <c r="AF281" i="1"/>
  <c r="AF49" i="1"/>
  <c r="AF90" i="1"/>
  <c r="AJ90" i="1"/>
  <c r="AI100" i="1"/>
  <c r="AF393" i="1"/>
  <c r="AJ393" i="1"/>
  <c r="AI401" i="1"/>
  <c r="AF440" i="1"/>
  <c r="AI440" i="1"/>
  <c r="AF34" i="1"/>
  <c r="AF253" i="1"/>
  <c r="AF385" i="1"/>
  <c r="AF401" i="1"/>
  <c r="AF53" i="1"/>
  <c r="AF237" i="1"/>
  <c r="AI237" i="1"/>
  <c r="AF370" i="1"/>
  <c r="AJ488" i="1"/>
  <c r="AI227" i="1"/>
  <c r="AJ270" i="1"/>
  <c r="AJ427" i="1"/>
  <c r="AI474" i="1"/>
  <c r="AF405" i="1"/>
  <c r="AF132" i="1"/>
  <c r="AF338" i="1"/>
  <c r="AJ405" i="1"/>
  <c r="AJ494" i="1"/>
  <c r="AI257" i="1"/>
  <c r="AI369" i="1"/>
  <c r="AJ372" i="1"/>
  <c r="AI418" i="1"/>
  <c r="AJ460" i="1"/>
  <c r="AF500" i="1"/>
  <c r="AF308" i="1"/>
  <c r="AJ505" i="1"/>
  <c r="AJ87" i="1"/>
  <c r="AI87" i="1"/>
  <c r="AJ27" i="1"/>
  <c r="AI27" i="1"/>
  <c r="AJ28" i="1"/>
  <c r="AI28" i="1"/>
  <c r="AJ190" i="1"/>
  <c r="AI190" i="1"/>
  <c r="AI58" i="1"/>
  <c r="AJ58" i="1"/>
  <c r="AJ54" i="1"/>
  <c r="AI54" i="1"/>
  <c r="AI6" i="1"/>
  <c r="AJ6" i="1"/>
  <c r="AF6" i="1"/>
  <c r="AJ20" i="1"/>
  <c r="AF28" i="1"/>
  <c r="AF62" i="1"/>
  <c r="AJ83" i="1"/>
  <c r="AF100" i="1"/>
  <c r="AJ102" i="1"/>
  <c r="AF116" i="1"/>
  <c r="AJ123" i="1"/>
  <c r="AI123" i="1"/>
  <c r="AJ134" i="1"/>
  <c r="AF162" i="1"/>
  <c r="AF178" i="1"/>
  <c r="AJ193" i="1"/>
  <c r="AF222" i="1"/>
  <c r="AF289" i="1"/>
  <c r="AF300" i="1"/>
  <c r="AF358" i="1"/>
  <c r="AF33" i="1"/>
  <c r="AF112" i="1"/>
  <c r="AI141" i="1"/>
  <c r="AF215" i="1"/>
  <c r="AF220" i="1"/>
  <c r="AF223" i="1"/>
  <c r="AF228" i="1"/>
  <c r="AF339" i="1"/>
  <c r="AF342" i="1"/>
  <c r="AI33" i="1"/>
  <c r="AF50" i="1"/>
  <c r="AI92" i="1"/>
  <c r="AF144" i="1"/>
  <c r="AF176" i="1"/>
  <c r="AJ215" i="1"/>
  <c r="AJ220" i="1"/>
  <c r="AI242" i="1"/>
  <c r="AJ242" i="1"/>
  <c r="AF324" i="1"/>
  <c r="AF332" i="1"/>
  <c r="AF335" i="1"/>
  <c r="AF424" i="1"/>
  <c r="AF7" i="1"/>
  <c r="AI31" i="1"/>
  <c r="AI50" i="1"/>
  <c r="AF117" i="1"/>
  <c r="AI186" i="1"/>
  <c r="AI260" i="1"/>
  <c r="AJ260" i="1"/>
  <c r="AF409" i="1"/>
  <c r="AF141" i="1"/>
  <c r="AI84" i="1"/>
  <c r="AF287" i="1"/>
  <c r="AI330" i="1"/>
  <c r="AJ330" i="1"/>
  <c r="AF371" i="1"/>
  <c r="AF109" i="1"/>
  <c r="AI17" i="1"/>
  <c r="AJ29" i="1"/>
  <c r="AF44" i="1"/>
  <c r="AF239" i="1"/>
  <c r="AI258" i="1"/>
  <c r="AJ258" i="1"/>
  <c r="AF336" i="1"/>
  <c r="AF350" i="1"/>
  <c r="AF425" i="1"/>
  <c r="AF276" i="1"/>
  <c r="AI15" i="1"/>
  <c r="AJ36" i="1"/>
  <c r="AI44" i="1"/>
  <c r="AI80" i="1"/>
  <c r="AF115" i="1"/>
  <c r="AJ154" i="1"/>
  <c r="AI154" i="1"/>
  <c r="AJ239" i="1"/>
  <c r="AF374" i="1"/>
  <c r="AF407" i="1"/>
  <c r="AF75" i="1"/>
  <c r="AF128" i="1"/>
  <c r="AF170" i="1"/>
  <c r="AF194" i="1"/>
  <c r="AF38" i="1"/>
  <c r="AF51" i="1"/>
  <c r="AJ115" i="1"/>
  <c r="AF161" i="1"/>
  <c r="AI197" i="1"/>
  <c r="AF202" i="1"/>
  <c r="AF208" i="1"/>
  <c r="AF224" i="1"/>
  <c r="AJ421" i="1"/>
  <c r="AI421" i="1"/>
  <c r="AI228" i="1"/>
  <c r="AJ228" i="1"/>
  <c r="AJ49" i="1"/>
  <c r="AI49" i="1"/>
  <c r="AF120" i="1"/>
  <c r="AJ229" i="1"/>
  <c r="AF285" i="1"/>
  <c r="AF337" i="1"/>
  <c r="AF355" i="1"/>
  <c r="AJ14" i="1"/>
  <c r="AF164" i="1"/>
  <c r="AI182" i="1"/>
  <c r="AF240" i="1"/>
  <c r="AF357" i="1"/>
  <c r="AF392" i="1"/>
  <c r="AF411" i="1"/>
  <c r="AF366" i="1"/>
  <c r="AF20" i="1"/>
  <c r="AI89" i="1"/>
  <c r="AI91" i="1"/>
  <c r="AF102" i="1"/>
  <c r="AJ125" i="1"/>
  <c r="AI125" i="1"/>
  <c r="AJ266" i="1"/>
  <c r="AJ289" i="1"/>
  <c r="AI289" i="1"/>
  <c r="AF295" i="1"/>
  <c r="AF303" i="1"/>
  <c r="AI316" i="1"/>
  <c r="AJ341" i="1"/>
  <c r="AI341" i="1"/>
  <c r="AF66" i="1"/>
  <c r="AJ272" i="1"/>
  <c r="AI272" i="1"/>
  <c r="AJ300" i="1"/>
  <c r="AI300" i="1"/>
  <c r="AF183" i="1"/>
  <c r="AF193" i="1"/>
  <c r="AF209" i="1"/>
  <c r="AJ344" i="1"/>
  <c r="AI344" i="1"/>
  <c r="AF459" i="1"/>
  <c r="AF375" i="1"/>
  <c r="AF247" i="1"/>
  <c r="AJ380" i="1"/>
  <c r="AI380" i="1"/>
  <c r="AF383" i="1"/>
  <c r="AF422" i="1"/>
  <c r="AF475" i="1"/>
  <c r="AI308" i="1"/>
  <c r="AJ308" i="1"/>
  <c r="AF323" i="1"/>
  <c r="AF333" i="1"/>
  <c r="AF453" i="1"/>
  <c r="AJ464" i="1"/>
  <c r="AI464" i="1"/>
  <c r="AF311" i="1"/>
  <c r="AI370" i="1"/>
  <c r="AF380" i="1"/>
  <c r="AJ415" i="1"/>
  <c r="AI415" i="1"/>
  <c r="AF423" i="1"/>
  <c r="AI430" i="1"/>
  <c r="AF185" i="1"/>
  <c r="AF207" i="1"/>
  <c r="AI273" i="1"/>
  <c r="AF352" i="1"/>
  <c r="AJ373" i="1"/>
  <c r="AI373" i="1"/>
  <c r="AF454" i="1"/>
  <c r="AJ181" i="1"/>
  <c r="AF241" i="1"/>
  <c r="AF288" i="1"/>
  <c r="AF390" i="1"/>
  <c r="AF177" i="1"/>
  <c r="AF319" i="1"/>
  <c r="AF353" i="1"/>
  <c r="AJ458" i="1"/>
  <c r="AI458" i="1"/>
  <c r="AF461" i="1"/>
  <c r="AF292" i="1"/>
  <c r="AF452" i="1"/>
  <c r="AF318" i="1"/>
  <c r="AI340" i="1"/>
  <c r="AJ340" i="1"/>
  <c r="AF356" i="1"/>
  <c r="AF365" i="1"/>
  <c r="AF473" i="1"/>
  <c r="AA476" i="1"/>
  <c r="AF476" i="1" s="1"/>
  <c r="AF321" i="1"/>
  <c r="AF413" i="1"/>
  <c r="AJ463" i="1"/>
  <c r="AF468" i="1"/>
  <c r="AF457" i="1"/>
  <c r="AJ478" i="1"/>
  <c r="AI478" i="1"/>
  <c r="AF484" i="1"/>
  <c r="AI491" i="1"/>
  <c r="AJ500" i="1"/>
  <c r="AI500" i="1"/>
  <c r="AJ485" i="1"/>
  <c r="AI485" i="1"/>
  <c r="AF290" i="1"/>
  <c r="AF305" i="1"/>
  <c r="AF443" i="1"/>
  <c r="AF501" i="1"/>
  <c r="AF485" i="1"/>
  <c r="AJ493" i="1"/>
  <c r="AI493" i="1"/>
  <c r="AJ444" i="1" l="1"/>
  <c r="AI414" i="1"/>
  <c r="AI76" i="1"/>
  <c r="AI486" i="1"/>
  <c r="AJ267" i="1"/>
  <c r="AJ313" i="1"/>
  <c r="AI275" i="1"/>
  <c r="AI283" i="1"/>
  <c r="AJ133" i="1"/>
  <c r="AI378" i="1"/>
  <c r="AJ169" i="1"/>
  <c r="AJ451" i="1"/>
  <c r="AJ326" i="1"/>
  <c r="AI469" i="1"/>
  <c r="AJ171" i="1"/>
  <c r="AI137" i="1"/>
  <c r="AI250" i="1"/>
  <c r="AI351" i="1"/>
  <c r="AI437" i="1"/>
  <c r="AI442" i="1"/>
  <c r="AI391" i="1"/>
  <c r="AI187" i="1"/>
  <c r="AI256" i="1"/>
  <c r="AI55" i="1"/>
  <c r="AI226" i="1"/>
  <c r="AI465" i="1"/>
  <c r="AI67" i="1"/>
  <c r="AI111" i="1"/>
  <c r="AI233" i="1"/>
  <c r="AI225" i="1"/>
  <c r="AJ172" i="1"/>
  <c r="AI57" i="1"/>
  <c r="AI219" i="1"/>
  <c r="AI402" i="1"/>
  <c r="AJ294" i="1"/>
  <c r="AI331" i="1"/>
  <c r="AI23" i="1"/>
  <c r="AI431" i="1"/>
  <c r="AI268" i="1"/>
  <c r="AJ56" i="1"/>
  <c r="AJ502" i="1"/>
  <c r="AI204" i="1"/>
  <c r="AI396" i="1"/>
  <c r="AJ60" i="1"/>
  <c r="AJ360" i="1"/>
  <c r="AI235" i="1"/>
  <c r="AI129" i="1"/>
  <c r="AI63" i="1"/>
  <c r="AI158" i="1"/>
  <c r="AI122" i="1"/>
  <c r="AJ261" i="1"/>
  <c r="AJ394" i="1"/>
  <c r="AI496" i="1"/>
  <c r="AJ274" i="1"/>
  <c r="AJ433" i="1"/>
  <c r="AI346" i="1"/>
  <c r="AI48" i="1"/>
  <c r="AI361" i="1"/>
  <c r="AI265" i="1"/>
  <c r="AI13" i="1"/>
  <c r="AI387" i="1"/>
  <c r="AI71" i="1"/>
  <c r="AJ150" i="1"/>
  <c r="AI400" i="1"/>
  <c r="AI349" i="1"/>
  <c r="AI166" i="1"/>
  <c r="AJ245" i="1"/>
  <c r="AJ107" i="1"/>
  <c r="AI438" i="1"/>
  <c r="AI127" i="1"/>
  <c r="AJ152" i="1"/>
  <c r="AI362" i="1"/>
  <c r="AJ243" i="1"/>
  <c r="AJ11" i="1"/>
  <c r="AJ293" i="1"/>
  <c r="AI429" i="1"/>
  <c r="AJ64" i="1"/>
  <c r="AI325" i="1"/>
  <c r="AI238" i="1"/>
  <c r="AI301" i="1"/>
  <c r="AI328" i="1"/>
  <c r="AI188" i="1"/>
  <c r="AI448" i="1"/>
  <c r="AI329" i="1"/>
  <c r="AI399" i="1"/>
  <c r="AJ279" i="1"/>
  <c r="AJ101" i="1"/>
  <c r="AI364" i="1"/>
  <c r="AJ211" i="1"/>
  <c r="AJ297" i="1"/>
  <c r="AI455" i="1"/>
  <c r="AJ19" i="1"/>
  <c r="AI201" i="1"/>
  <c r="AI105" i="1"/>
  <c r="AI86" i="1"/>
  <c r="AJ119" i="1"/>
  <c r="AI231" i="1"/>
  <c r="AJ278" i="1"/>
  <c r="AJ59" i="1"/>
  <c r="AI142" i="1"/>
  <c r="AJ69" i="1"/>
  <c r="AJ68" i="1"/>
  <c r="AJ143" i="1"/>
  <c r="AJ180" i="1"/>
  <c r="AI381" i="1"/>
  <c r="AI252" i="1"/>
  <c r="AI428" i="1"/>
  <c r="AI124" i="1"/>
  <c r="AI126" i="1"/>
  <c r="AJ345" i="1"/>
  <c r="AJ168" i="1"/>
  <c r="AI408" i="1"/>
  <c r="AI232" i="1"/>
  <c r="AI270" i="1"/>
  <c r="AJ210" i="1"/>
  <c r="AJ447" i="1"/>
  <c r="AJ195" i="1"/>
  <c r="AJ234" i="1"/>
  <c r="AJ426" i="1"/>
  <c r="AI426" i="1"/>
  <c r="AI153" i="1"/>
  <c r="AJ153" i="1"/>
  <c r="AI434" i="1"/>
  <c r="AJ434" i="1"/>
  <c r="AI420" i="1"/>
  <c r="AJ151" i="1"/>
  <c r="AI196" i="1"/>
  <c r="AJ436" i="1"/>
  <c r="AI446" i="1"/>
  <c r="AI427" i="1"/>
  <c r="AI110" i="1"/>
  <c r="AI216" i="1"/>
  <c r="AI445" i="1"/>
  <c r="AI489" i="1"/>
  <c r="AI393" i="1"/>
  <c r="AJ296" i="1"/>
  <c r="AI103" i="1"/>
  <c r="AI163" i="1"/>
  <c r="AJ163" i="1"/>
  <c r="AI264" i="1"/>
  <c r="AI439" i="1"/>
  <c r="AI363" i="1"/>
  <c r="AI386" i="1"/>
  <c r="AJ212" i="1"/>
  <c r="AJ410" i="1"/>
  <c r="AI306" i="1"/>
  <c r="AI192" i="1"/>
  <c r="AJ18" i="1"/>
  <c r="AI90" i="1"/>
  <c r="AI286" i="1"/>
  <c r="AJ388" i="1"/>
  <c r="AI388" i="1"/>
  <c r="AI462" i="1"/>
  <c r="AI389" i="1"/>
  <c r="AI310" i="1"/>
  <c r="AJ21" i="1"/>
  <c r="AJ384" i="1"/>
  <c r="AI304" i="1"/>
  <c r="AI494" i="1"/>
  <c r="AI406" i="1"/>
  <c r="AI88" i="1"/>
  <c r="AJ159" i="1"/>
  <c r="AI156" i="1"/>
  <c r="AI395" i="1"/>
  <c r="AI419" i="1"/>
  <c r="AI398" i="1"/>
  <c r="AJ398" i="1"/>
  <c r="AJ299" i="1"/>
  <c r="AI299" i="1"/>
  <c r="AI309" i="1"/>
  <c r="AI74" i="1"/>
  <c r="AJ135" i="1"/>
  <c r="AI314" i="1"/>
  <c r="AJ397" i="1"/>
  <c r="AI397" i="1"/>
  <c r="AJ320" i="1"/>
  <c r="AI320" i="1"/>
  <c r="AJ497" i="1"/>
  <c r="AI497" i="1"/>
  <c r="AI173" i="1"/>
  <c r="AJ173" i="1"/>
  <c r="AJ377" i="1"/>
  <c r="AI377" i="1"/>
  <c r="AI343" i="1"/>
  <c r="AJ343" i="1"/>
  <c r="AJ450" i="1"/>
  <c r="AI450" i="1"/>
  <c r="AJ148" i="1"/>
  <c r="AI148" i="1"/>
  <c r="AI131" i="1"/>
  <c r="AJ131" i="1"/>
  <c r="AI282" i="1"/>
  <c r="AJ282" i="1"/>
  <c r="AJ417" i="1"/>
  <c r="AI417" i="1"/>
  <c r="AI214" i="1"/>
  <c r="AJ214" i="1"/>
  <c r="AI435" i="1"/>
  <c r="AJ435" i="1"/>
  <c r="AI481" i="1"/>
  <c r="AJ481" i="1"/>
  <c r="AJ291" i="1"/>
  <c r="AI291" i="1"/>
  <c r="AJ472" i="1"/>
  <c r="AI472" i="1"/>
  <c r="AI95" i="1"/>
  <c r="AJ376" i="1"/>
  <c r="AI376" i="1"/>
  <c r="AI79" i="1"/>
  <c r="AJ79" i="1"/>
  <c r="AI432" i="1"/>
  <c r="AJ432" i="1"/>
  <c r="AI248" i="1"/>
  <c r="AJ248" i="1"/>
  <c r="AJ271" i="1"/>
  <c r="AI271" i="1"/>
  <c r="AI73" i="1"/>
  <c r="AJ440" i="1"/>
  <c r="AI404" i="1"/>
  <c r="AJ167" i="1"/>
  <c r="AJ254" i="1"/>
  <c r="AI254" i="1"/>
  <c r="AI246" i="1"/>
  <c r="AJ246" i="1"/>
  <c r="AI505" i="1"/>
  <c r="AI42" i="1"/>
  <c r="AJ253" i="1"/>
  <c r="AI253" i="1"/>
  <c r="AJ298" i="1"/>
  <c r="AI298" i="1"/>
  <c r="AJ98" i="1"/>
  <c r="AI98" i="1"/>
  <c r="AI189" i="1"/>
  <c r="AJ189" i="1"/>
  <c r="AI249" i="1"/>
  <c r="AJ237" i="1"/>
  <c r="AI367" i="1"/>
  <c r="AJ367" i="1"/>
  <c r="AI262" i="1"/>
  <c r="AJ262" i="1"/>
  <c r="AI179" i="1"/>
  <c r="AJ179" i="1"/>
  <c r="AJ218" i="1"/>
  <c r="AI218" i="1"/>
  <c r="AI198" i="1"/>
  <c r="AJ198" i="1"/>
  <c r="AI147" i="1"/>
  <c r="AJ147" i="1"/>
  <c r="AJ157" i="1"/>
  <c r="AI157" i="1"/>
  <c r="AJ416" i="1"/>
  <c r="AI416" i="1"/>
  <c r="AJ34" i="1"/>
  <c r="AI34" i="1"/>
  <c r="AI412" i="1"/>
  <c r="AJ412" i="1"/>
  <c r="AJ184" i="1"/>
  <c r="AI184" i="1"/>
  <c r="AJ146" i="1"/>
  <c r="AI146" i="1"/>
  <c r="AJ456" i="1"/>
  <c r="AI456" i="1"/>
  <c r="AJ449" i="1"/>
  <c r="AI449" i="1"/>
  <c r="AJ41" i="1"/>
  <c r="AI41" i="1"/>
  <c r="AI25" i="1"/>
  <c r="AJ25" i="1"/>
  <c r="AJ227" i="1"/>
  <c r="AJ72" i="1"/>
  <c r="AI72" i="1"/>
  <c r="AJ70" i="1"/>
  <c r="AI70" i="1"/>
  <c r="AI81" i="1"/>
  <c r="AJ81" i="1"/>
  <c r="AJ136" i="1"/>
  <c r="AI136" i="1"/>
  <c r="AI307" i="1"/>
  <c r="AJ307" i="1"/>
  <c r="AJ251" i="1"/>
  <c r="AI251" i="1"/>
  <c r="AJ43" i="1"/>
  <c r="AI43" i="1"/>
  <c r="AJ422" i="1"/>
  <c r="AI422" i="1"/>
  <c r="AJ441" i="1"/>
  <c r="AI441" i="1"/>
  <c r="AJ206" i="1"/>
  <c r="AI206" i="1"/>
  <c r="AI164" i="1"/>
  <c r="AJ164" i="1"/>
  <c r="AJ217" i="1"/>
  <c r="AI217" i="1"/>
  <c r="AJ382" i="1"/>
  <c r="AI382" i="1"/>
  <c r="AJ318" i="1"/>
  <c r="AI318" i="1"/>
  <c r="AI292" i="1"/>
  <c r="AJ292" i="1"/>
  <c r="AI327" i="1"/>
  <c r="AJ327" i="1"/>
  <c r="AJ392" i="1"/>
  <c r="AI392" i="1"/>
  <c r="AI16" i="1"/>
  <c r="AJ16" i="1"/>
  <c r="AJ138" i="1"/>
  <c r="AI138" i="1"/>
  <c r="AJ108" i="1"/>
  <c r="AI108" i="1"/>
  <c r="AI336" i="1"/>
  <c r="AJ336" i="1"/>
  <c r="AI287" i="1"/>
  <c r="AJ287" i="1"/>
  <c r="AJ78" i="1"/>
  <c r="AI78" i="1"/>
  <c r="AI324" i="1"/>
  <c r="AJ324" i="1"/>
  <c r="AI77" i="1"/>
  <c r="AJ77" i="1"/>
  <c r="AI359" i="1"/>
  <c r="AJ359" i="1"/>
  <c r="AJ40" i="1"/>
  <c r="AI40" i="1"/>
  <c r="AJ459" i="1"/>
  <c r="AI459" i="1"/>
  <c r="AI128" i="1"/>
  <c r="AJ128" i="1"/>
  <c r="AJ62" i="1"/>
  <c r="AI62" i="1"/>
  <c r="AI503" i="1"/>
  <c r="AJ503" i="1"/>
  <c r="AJ480" i="1"/>
  <c r="AI480" i="1"/>
  <c r="AJ302" i="1"/>
  <c r="AI302" i="1"/>
  <c r="AI311" i="1"/>
  <c r="AJ311" i="1"/>
  <c r="AI295" i="1"/>
  <c r="AJ295" i="1"/>
  <c r="AI355" i="1"/>
  <c r="AJ355" i="1"/>
  <c r="AJ205" i="1"/>
  <c r="AI205" i="1"/>
  <c r="AJ334" i="1"/>
  <c r="AI334" i="1"/>
  <c r="AI75" i="1"/>
  <c r="AJ75" i="1"/>
  <c r="AJ499" i="1"/>
  <c r="AI499" i="1"/>
  <c r="AJ366" i="1"/>
  <c r="AI366" i="1"/>
  <c r="AJ240" i="1"/>
  <c r="AI240" i="1"/>
  <c r="AI109" i="1"/>
  <c r="AJ109" i="1"/>
  <c r="AI7" i="1"/>
  <c r="AJ7" i="1"/>
  <c r="AI342" i="1"/>
  <c r="AJ342" i="1"/>
  <c r="AJ165" i="1"/>
  <c r="AI165" i="1"/>
  <c r="AJ208" i="1"/>
  <c r="AI208" i="1"/>
  <c r="AI223" i="1"/>
  <c r="AJ223" i="1"/>
  <c r="AI85" i="1"/>
  <c r="AJ85" i="1"/>
  <c r="AJ213" i="1"/>
  <c r="AI213" i="1"/>
  <c r="AI487" i="1"/>
  <c r="AJ487" i="1"/>
  <c r="AJ348" i="1"/>
  <c r="AI348" i="1"/>
  <c r="AJ32" i="1"/>
  <c r="AI32" i="1"/>
  <c r="AJ407" i="1"/>
  <c r="AI407" i="1"/>
  <c r="AI162" i="1"/>
  <c r="AJ162" i="1"/>
  <c r="AJ52" i="1"/>
  <c r="AI52" i="1"/>
  <c r="AJ288" i="1"/>
  <c r="AI288" i="1"/>
  <c r="AJ106" i="1"/>
  <c r="AI106" i="1"/>
  <c r="AJ303" i="1"/>
  <c r="AI303" i="1"/>
  <c r="AI178" i="1"/>
  <c r="AJ178" i="1"/>
  <c r="AJ476" i="1"/>
  <c r="AI476" i="1"/>
  <c r="AJ353" i="1"/>
  <c r="AI353" i="1"/>
  <c r="AI30" i="1"/>
  <c r="AJ30" i="1"/>
  <c r="AI24" i="1"/>
  <c r="AJ24" i="1"/>
  <c r="AI424" i="1"/>
  <c r="AJ424" i="1"/>
  <c r="AI244" i="1"/>
  <c r="AJ244" i="1"/>
  <c r="AI37" i="1"/>
  <c r="AJ37" i="1"/>
  <c r="AJ473" i="1"/>
  <c r="AI473" i="1"/>
  <c r="AJ241" i="1"/>
  <c r="AI241" i="1"/>
  <c r="AJ470" i="1"/>
  <c r="AI470" i="1"/>
  <c r="AJ452" i="1"/>
  <c r="AI452" i="1"/>
  <c r="AJ319" i="1"/>
  <c r="AI319" i="1"/>
  <c r="AJ453" i="1"/>
  <c r="AI453" i="1"/>
  <c r="AI66" i="1"/>
  <c r="AJ66" i="1"/>
  <c r="AJ337" i="1"/>
  <c r="AI337" i="1"/>
  <c r="AJ26" i="1"/>
  <c r="AI26" i="1"/>
  <c r="AI22" i="1"/>
  <c r="AJ22" i="1"/>
  <c r="AJ236" i="1"/>
  <c r="AI236" i="1"/>
  <c r="AI339" i="1"/>
  <c r="AJ339" i="1"/>
  <c r="AJ112" i="1"/>
  <c r="AI112" i="1"/>
  <c r="AJ35" i="1"/>
  <c r="AI35" i="1"/>
  <c r="AJ475" i="1"/>
  <c r="AI475" i="1"/>
  <c r="AJ269" i="1"/>
  <c r="AI269" i="1"/>
  <c r="AI352" i="1"/>
  <c r="AJ352" i="1"/>
  <c r="AJ202" i="1"/>
  <c r="AI202" i="1"/>
  <c r="AI471" i="1"/>
  <c r="AJ471" i="1"/>
  <c r="AJ479" i="1"/>
  <c r="AI479" i="1"/>
  <c r="AJ501" i="1"/>
  <c r="AI501" i="1"/>
  <c r="AJ365" i="1"/>
  <c r="AI365" i="1"/>
  <c r="AJ221" i="1"/>
  <c r="AI221" i="1"/>
  <c r="AJ285" i="1"/>
  <c r="AI285" i="1"/>
  <c r="AI12" i="1"/>
  <c r="AJ12" i="1"/>
  <c r="AJ161" i="1"/>
  <c r="AI161" i="1"/>
  <c r="AI38" i="1"/>
  <c r="AJ38" i="1"/>
  <c r="AI374" i="1"/>
  <c r="AJ374" i="1"/>
  <c r="AI276" i="1"/>
  <c r="AJ276" i="1"/>
  <c r="AJ176" i="1"/>
  <c r="AI176" i="1"/>
  <c r="AJ317" i="1"/>
  <c r="AI317" i="1"/>
  <c r="AJ357" i="1"/>
  <c r="AI357" i="1"/>
  <c r="AI383" i="1"/>
  <c r="AJ383" i="1"/>
  <c r="AI51" i="1"/>
  <c r="AJ51" i="1"/>
  <c r="AJ203" i="1"/>
  <c r="AI203" i="1"/>
  <c r="AJ333" i="1"/>
  <c r="AI333" i="1"/>
  <c r="AI247" i="1"/>
  <c r="AJ247" i="1"/>
  <c r="AJ209" i="1"/>
  <c r="AI209" i="1"/>
  <c r="AI10" i="1"/>
  <c r="AJ10" i="1"/>
  <c r="AI149" i="1"/>
  <c r="AJ149" i="1"/>
  <c r="AJ335" i="1"/>
  <c r="AI335" i="1"/>
  <c r="AJ65" i="1"/>
  <c r="AI65" i="1"/>
  <c r="AI104" i="1"/>
  <c r="AJ104" i="1"/>
  <c r="AI358" i="1"/>
  <c r="AJ358" i="1"/>
  <c r="AJ8" i="1"/>
  <c r="AI8" i="1"/>
  <c r="AJ495" i="1"/>
  <c r="AI495" i="1"/>
  <c r="AI356" i="1"/>
  <c r="AJ356" i="1"/>
  <c r="AJ140" i="1"/>
  <c r="AI140" i="1"/>
  <c r="AI371" i="1"/>
  <c r="AJ371" i="1"/>
  <c r="AJ332" i="1"/>
  <c r="AI332" i="1"/>
  <c r="AI368" i="1"/>
  <c r="AJ368" i="1"/>
  <c r="AJ457" i="1"/>
  <c r="AI457" i="1"/>
  <c r="AJ177" i="1"/>
  <c r="AI177" i="1"/>
  <c r="AJ144" i="1"/>
  <c r="AI144" i="1"/>
  <c r="AJ46" i="1"/>
  <c r="AI46" i="1"/>
  <c r="AJ477" i="1"/>
  <c r="AI477" i="1"/>
  <c r="AJ484" i="1"/>
  <c r="AI484" i="1"/>
  <c r="AJ390" i="1"/>
  <c r="AI390" i="1"/>
  <c r="AI94" i="1"/>
  <c r="AJ94" i="1"/>
  <c r="AJ423" i="1"/>
  <c r="AI423" i="1"/>
  <c r="AJ323" i="1"/>
  <c r="AI323" i="1"/>
  <c r="AJ183" i="1"/>
  <c r="AI183" i="1"/>
  <c r="AJ411" i="1"/>
  <c r="AI411" i="1"/>
  <c r="AJ47" i="1"/>
  <c r="AI47" i="1"/>
  <c r="AJ350" i="1"/>
  <c r="AI350" i="1"/>
  <c r="AI99" i="1"/>
  <c r="AJ99" i="1"/>
  <c r="AJ9" i="1"/>
  <c r="AI9" i="1"/>
  <c r="AJ461" i="1"/>
  <c r="AI461" i="1"/>
  <c r="AI170" i="1"/>
  <c r="AJ170" i="1"/>
  <c r="AJ468" i="1"/>
  <c r="AI468" i="1"/>
  <c r="AJ425" i="1"/>
  <c r="AI425" i="1"/>
  <c r="AJ454" i="1"/>
  <c r="AI454" i="1"/>
  <c r="AI375" i="1"/>
  <c r="AJ375" i="1"/>
  <c r="AJ45" i="1"/>
  <c r="AI45" i="1"/>
  <c r="AJ145" i="1"/>
  <c r="AI145" i="1"/>
  <c r="AI194" i="1"/>
  <c r="AJ194" i="1"/>
  <c r="AJ409" i="1"/>
  <c r="AI409" i="1"/>
  <c r="AJ97" i="1"/>
  <c r="AI97" i="1"/>
  <c r="AJ5" i="1"/>
  <c r="AI5" i="1"/>
</calcChain>
</file>

<file path=xl/sharedStrings.xml><?xml version="1.0" encoding="utf-8"?>
<sst xmlns="http://schemas.openxmlformats.org/spreadsheetml/2006/main" count="13576" uniqueCount="3326">
  <si>
    <t>CONTRALORÍA INTELIGENTE GOH — REGISTRO MAESTRO DE AUDITORÍAS</t>
  </si>
  <si>
    <t>Actualizado automáticamente por Sistema IA — v2.5 | 30/03/2026</t>
  </si>
  <si>
    <t>IDENTIFICACIÓN</t>
  </si>
  <si>
    <t>RESULTADOS AUDITORÍA (PVP)</t>
  </si>
  <si>
    <t>AJUSTES (COSTO)</t>
  </si>
  <si>
    <t>CLASIFICACIÓN Y CONTROL</t>
  </si>
  <si>
    <t>No.</t>
  </si>
  <si>
    <t>ALMACÉN</t>
  </si>
  <si>
    <t>SOCIEDAD</t>
  </si>
  <si>
    <t>LÍNEA</t>
  </si>
  <si>
    <t>ZONA</t>
  </si>
  <si>
    <t>CE.</t>
  </si>
  <si>
    <t>AUDITOR</t>
  </si>
  <si>
    <t>TIPO
AUDITORÍA</t>
  </si>
  <si>
    <t>REF.
INFORME</t>
  </si>
  <si>
    <t>FECHA
AUDITORÍA</t>
  </si>
  <si>
    <t>FECHA
ENVÍO</t>
  </si>
  <si>
    <t>VERSIÓN</t>
  </si>
  <si>
    <t>TOTAL
INVENTARIO
COSTO</t>
  </si>
  <si>
    <t>SOBRANTES
PVP</t>
  </si>
  <si>
    <t>FALTANTES
PVP</t>
  </si>
  <si>
    <t>DIF.
CRUCES
PVP</t>
  </si>
  <si>
    <t>MAL ESTADO
CADUCADOS
PVP</t>
  </si>
  <si>
    <t>DEFECTOS
FÁBRICA
PVP</t>
  </si>
  <si>
    <t>OTROS
PVP</t>
  </si>
  <si>
    <t>RESULT.
NETO
PVP</t>
  </si>
  <si>
    <t>RESULT.
A COBRAR PVP</t>
  </si>
  <si>
    <t>RESULT.
A COBRAR COSTO</t>
  </si>
  <si>
    <t>AJUSTE
EGRESO
COSTO</t>
  </si>
  <si>
    <t>AJUSTE EGRESO
MAL ESTADO</t>
  </si>
  <si>
    <t>AJUSTE EGRESO
DEFECTO FAB.</t>
  </si>
  <si>
    <t>AJUSTE
INGRESO
COSTO</t>
  </si>
  <si>
    <t>TOTAL
COSTO
NETO</t>
  </si>
  <si>
    <t>RIESGO</t>
  </si>
  <si>
    <t>SCORE
(0/100)</t>
  </si>
  <si>
    <t>PEND.
FACTURAR
COSTO</t>
  </si>
  <si>
    <t>ESTADO
REGISTRO</t>
  </si>
  <si>
    <t>Ajuste (Si/No)</t>
  </si>
  <si>
    <t>OBSERVACIONES</t>
  </si>
  <si>
    <t>VALOR COBRADO</t>
  </si>
  <si>
    <t>% COBRO VS A COBRAR COSTO</t>
  </si>
  <si>
    <t>ESTADO COBRO</t>
  </si>
  <si>
    <t>BIKE SHOP CENTRO</t>
  </si>
  <si>
    <t>ECUACYCLO</t>
  </si>
  <si>
    <t>Bike Shop</t>
  </si>
  <si>
    <t>Austro</t>
  </si>
  <si>
    <t>PABLO ALVARADO</t>
  </si>
  <si>
    <t>General</t>
  </si>
  <si>
    <t>0001</t>
  </si>
  <si>
    <t>Procesado - Cobrado</t>
  </si>
  <si>
    <t>MOTOSHOP CARLOS JULIO</t>
  </si>
  <si>
    <t>MOTSUR</t>
  </si>
  <si>
    <t>MOTOSHOP</t>
  </si>
  <si>
    <t>Costa</t>
  </si>
  <si>
    <t xml:space="preserve">JOSHUE REMACHE </t>
  </si>
  <si>
    <t xml:space="preserve">No se identifico novedades </t>
  </si>
  <si>
    <t>TCL TOMAS DE BERLANGA</t>
  </si>
  <si>
    <t>TCL</t>
  </si>
  <si>
    <t>Sierra Norte</t>
  </si>
  <si>
    <t>Eliana Quinga</t>
  </si>
  <si>
    <t>Valores a cobrar: Se identificó 5 ítems faltantes y 3 cruces de mercadería.</t>
  </si>
  <si>
    <t>BIKE SHOP SAMBORONDON</t>
  </si>
  <si>
    <t>Valores a cobrar: Se identificó 2 ítems con desperfecto de fabrica</t>
  </si>
  <si>
    <t>PIAGGIO CEIBOS</t>
  </si>
  <si>
    <t>PIAGGIO</t>
  </si>
  <si>
    <t>TCL MAGDALENA</t>
  </si>
  <si>
    <t>Valores a cobrar: Se identificó 1 ítem faltante y 2 cruces de mercadería.</t>
  </si>
  <si>
    <t>BIKE SHOP RUMIÑAHUI</t>
  </si>
  <si>
    <t>Valores a cobrar: Se identificó 24 ítems faltantes, 2 ítems sobrante, 7 cruces de mercadería y 1 ítem mal estado.</t>
  </si>
  <si>
    <t>TCL CEIBOS</t>
  </si>
  <si>
    <t xml:space="preserve">Valores a cobrar: Se identificó 5 ítems faltantes, 1 ítems sobrante, 1 ítems cruce de codigo, 1 ítems mal estado, 4 ítems con defecto de fabrica </t>
  </si>
  <si>
    <t>BIKESHOP MONAY</t>
  </si>
  <si>
    <t>BIKE SHOP 10 AGOSTO</t>
  </si>
  <si>
    <t>Valores a cobrar: Se identificó 42 ítems faltantes,  2 ítems sobrante,  14 cruces de mercadería y 7 ítems caducados.</t>
  </si>
  <si>
    <t>TCL RECREO</t>
  </si>
  <si>
    <t>Valores a cobrar: Se identificó 1 ítem faltante y 3 cruces de mercadería.</t>
  </si>
  <si>
    <t>MOTOSHOP MONAY</t>
  </si>
  <si>
    <t>BIKESHOP MAGDALENA</t>
  </si>
  <si>
    <t>Valores a cobrar: Se identificó 86 ítems faltantes, 10 ítems sobrante, 101 cruces de mercadería y 12 ítems mal estado.</t>
  </si>
  <si>
    <t>BIKE SHOP RACAR</t>
  </si>
  <si>
    <t>MOTOSHOP CARAPUNGO</t>
  </si>
  <si>
    <t>Valores a cobrar: No se identificó diferencias.</t>
  </si>
  <si>
    <t>BIKESHOP BATAN</t>
  </si>
  <si>
    <t>TCL CARAPUNGO</t>
  </si>
  <si>
    <t>Valores a cobrar: Se identificó 7 ítems faltantes, 1 ítem por sobrante, 4 cruces de mercadería y 1 ítem mal estado.</t>
  </si>
  <si>
    <t>BIKE SHOP DAULE</t>
  </si>
  <si>
    <t>Valores a cobrar: Se identificó 23 ítems faltantes, 3 ítems en mal estado, 4 ítems con desperfecto de fabrica</t>
  </si>
  <si>
    <t>NAUTICA CARAPUNGO</t>
  </si>
  <si>
    <t>GERARDO ORTIZ</t>
  </si>
  <si>
    <t>NAUTICA</t>
  </si>
  <si>
    <t>Valores a cobrar: Se identificó 15 ítems faltantes, 1 ítem sobrante, 14 cruces de mercadería y 5 ítem mal estado.</t>
  </si>
  <si>
    <t>GO SPORT ALBORADA</t>
  </si>
  <si>
    <t>Valores a cobrar: Se identificó 1 ítems caducado,  y 2 ítems con defectos de fábrica.</t>
  </si>
  <si>
    <t>PIAGGIO MALL DEL RIO</t>
  </si>
  <si>
    <t>BIKE SHOP LOS CEIBOS</t>
  </si>
  <si>
    <t xml:space="preserve">Valores a cobrar: Se identificó 25 ítems faltantes,  1 ítems con cruce de codigo, 3 ítems caducados y 4 ítems defecto de fabrica </t>
  </si>
  <si>
    <t>TCL RACAR</t>
  </si>
  <si>
    <t>TCL ALBORADA</t>
  </si>
  <si>
    <t xml:space="preserve">Valores a cobrar: Se identificó 2 ítems con codigo cruzado y 13 ítems con defecto de fabrica </t>
  </si>
  <si>
    <t>BIKE SHOP CARAPUNGO</t>
  </si>
  <si>
    <t>Valores a cobrar: Se identificó 41 ítems faltantes,  3 ítems sobrante,  21 cruces de mercadería y 1 ítem en mal estado.</t>
  </si>
  <si>
    <t>PIAGGIO LA CUADRA</t>
  </si>
  <si>
    <t>TCL PORTOVIEJO CENTRO</t>
  </si>
  <si>
    <t>BIKE SHOP PORTOVIEJO</t>
  </si>
  <si>
    <t xml:space="preserve">Valores a cobrar: Se identificó 5 ítems faltante, 3 ítems sobrantes, 2 ítems en mal estado </t>
  </si>
  <si>
    <t>TCL PORTOVIEJO-LA CUADRA</t>
  </si>
  <si>
    <t xml:space="preserve">Valores a cobrar: Se identificó 1 ítems  en mal estado </t>
  </si>
  <si>
    <t>TCL MANTA</t>
  </si>
  <si>
    <t>Valores a cobrar: Se identificó 2 ítems faltantes, 1 ítems con cruce de codigos</t>
  </si>
  <si>
    <t>BIKESHOP AMBATO</t>
  </si>
  <si>
    <t>Valores a cobrar: Se identificó 19 ítems faltantes,  3 ítems sobrante,  6 cruces de mercadería y 4 ítems defectos de fábrica.</t>
  </si>
  <si>
    <t>TCL AMBATO</t>
  </si>
  <si>
    <t>Valores a cobrar: Se identificó 1 ítem sobrante y 3 cruces de mercadería.</t>
  </si>
  <si>
    <t>TCL CORAL AMBATO</t>
  </si>
  <si>
    <t>Valores a cobrar: Se identificó 2 ítems faltantes y 4 cruces de mercadería.</t>
  </si>
  <si>
    <t>TCL AMBATO FICOA</t>
  </si>
  <si>
    <t>Valores a cobrar: Se identificó 1 ítem sobrante.</t>
  </si>
  <si>
    <t>Valores a cobrar: Se identificó 42 ítems faltantes, 2 ítems sobrante, 45 cruces de mercadería y 6 ítem mal estado.</t>
  </si>
  <si>
    <t>GO SPORT CARLOS JULIO</t>
  </si>
  <si>
    <t xml:space="preserve">Valores a cobrar: Se identificó 85 ítems faltante, 24 ítems sobrantes, 22 ítems con cruce de codigos, 23 ítems vendidos ennegativo,  15 ítems mal estado, 3 ítems caducado </t>
  </si>
  <si>
    <t>BIKE SHOP CUMBAYA</t>
  </si>
  <si>
    <t>Valores a cobrar: Se identificó 7 ítems faltantes,  39 ítems sobrante y 37 cruces de mercadería.</t>
  </si>
  <si>
    <t>Valores a cobrar: Se identificó 22 ítems faltante, 1 ítems sobrantes, 4 ítems en mal estado</t>
  </si>
  <si>
    <t>PIAGGIO CENTRO COMERCIAL ESCALA</t>
  </si>
  <si>
    <t>Valores a cobrar: Se identificó 2 cruces de mercadería.</t>
  </si>
  <si>
    <t>BIKESHOP MANTA</t>
  </si>
  <si>
    <t xml:space="preserve">Valores a cobrar: Se identificó 23 ítems faltante, 9 ítems sobrantes, 3 ítems con cruce de codigos, 9 ítems caducados </t>
  </si>
  <si>
    <t>Valores a cobrar: Se identificó 55 ítems faltantes, 12 ítems sobrante, 19 cruces de mercadería y 6 ítems mal estado.</t>
  </si>
  <si>
    <t xml:space="preserve">Valores a cobrar: Se identificó 14 ítems faltante, 9 ítems sobrantes, 3 ítems con desperfecto de fabrica </t>
  </si>
  <si>
    <t>TCL RIO</t>
  </si>
  <si>
    <t>Valores a cobrar: Se identificó 7 ítems faltantes, 4 ítems sobrantes, 5 ítems con ventas en negativo, 2 ítems mal estado, 2 ítems mal caducados</t>
  </si>
  <si>
    <t>TCL BATAN</t>
  </si>
  <si>
    <t>Valores a cobrar: Se identificó 7 ítems faltantes, 2 ítem por sobrante y 4 cruces de mercadería.</t>
  </si>
  <si>
    <t>Valores a cobrar: Se identificó 21 ítems faltantes, 1 ítems sobrantes, 1 ítems mal estado, 1 ítems caducado</t>
  </si>
  <si>
    <t>BIKE SHOP RIO</t>
  </si>
  <si>
    <t>Valores a cobrar: Se identificó 2 ítems caducados</t>
  </si>
  <si>
    <t xml:space="preserve">Valores a cobrar: Se identificó 1 ítems en mal estado,  3 ítems caducados, 2 ítems con desperfectode fabrica </t>
  </si>
  <si>
    <t xml:space="preserve">Valores a cobrar: Se identificó 4 ítems defectos de fabrica </t>
  </si>
  <si>
    <t>Valores a cobrar: Se identificó 22 ítems faltantes, 11 ítems sobrante, 61 cruces de mercadería y 5 ítem mal estado.</t>
  </si>
  <si>
    <t>MOTOSHOP BATAN</t>
  </si>
  <si>
    <t>Valores a cobrar: Se identificó 5 ítems faltante,  2 ítems sobrantes, 2 ítems caducados</t>
  </si>
  <si>
    <t>Valores a cobrar: Se identificó 4 ítems faltante, 1 ítems sobrantes</t>
  </si>
  <si>
    <t>Valores a cobrar: Se identificó 2 ítems faltantes y 1 ítem mal estado.</t>
  </si>
  <si>
    <t xml:space="preserve">Valores a cobrar: Se identificó 1 ítems como mal estado (Scooter con recorrido) </t>
  </si>
  <si>
    <t>BODEGA AZOGUES</t>
  </si>
  <si>
    <t>BODEGA ECUACYCLO</t>
  </si>
  <si>
    <t>Valores a cobrar: Se identificó 29 ítems faltantes, 173 ítems sobrante, 18 cruces de mercadería y 6 ítems mal estado.</t>
  </si>
  <si>
    <t xml:space="preserve">Valores a cobrar: Se identificó 3 ítems como mal estado </t>
  </si>
  <si>
    <t>Valores a cobrar: Se identificó 18 ítems faltante, 6 ítems sobrante, 4 ítems mal estado, 6 ítems mal caducado,</t>
  </si>
  <si>
    <t xml:space="preserve">Valores a cobrar: Se identificó 6 ítems faltante, 1 ítems en mal estado </t>
  </si>
  <si>
    <t xml:space="preserve">Valores a cobrar: Se identificó 5 ítems faltante, 2 ítems sobrante, 1 ítems con cruce de codigo </t>
  </si>
  <si>
    <t>Valores a cobrar: Se identificó 100 ítems faltantes,  9 ítems sobrante,  58 cruces de mercadería, 4 ítems mal estado y 1 ítem por defecto de fábrica.</t>
  </si>
  <si>
    <t>NAUTICA RACAR</t>
  </si>
  <si>
    <t>LAMITEX</t>
  </si>
  <si>
    <t>TCL SCALA</t>
  </si>
  <si>
    <t>Valores a cobrar: Se identificó 1 ítem sobrante y 9 cruces de mercadería.</t>
  </si>
  <si>
    <t xml:space="preserve">Valores a cobrar: Se identificó 3 ítems faltante, 3 ítems sobrante, 15 ítems con cruce de codigo </t>
  </si>
  <si>
    <t>Valores a cobrar: Se identificó 1 ítems faltantes, 1 ítem por sobrante y 1 cruces de mercadería.</t>
  </si>
  <si>
    <t xml:space="preserve">Valores a cobrar: Se identificó 6 ítems faltante, 1 ítems sobrante, 1 ítems con cruce de codigo </t>
  </si>
  <si>
    <t>TCL DAULE</t>
  </si>
  <si>
    <t>MOTOSHOP DAULE</t>
  </si>
  <si>
    <t>Pago pendiente desde el mes de septiembre de 2024, se informa que el Ing. Enderica tenia pendiente resolver.</t>
  </si>
  <si>
    <t>Valores a cobrar: Se identificó 29 ítems faltantes, 1 ítem sobrante, 10 cruces de mercadería y 5 ítem mal estado.</t>
  </si>
  <si>
    <t>Valores a cobrar: Se identificó 4 ítems con defecto de fabrica</t>
  </si>
  <si>
    <t>Valores a cobrar: Se identificó 105 ítems faltantes,  48 cruces de mercadería y 19 ítem en mal estado.</t>
  </si>
  <si>
    <t>Valores a cobrar: Se identificó 3 ítems faltante, 3 ítems caducados</t>
  </si>
  <si>
    <t>Valores a cobrar: Se identificó 13 ítems faltante, 4 ítems en mal estado,  3 ítems con desperfecto</t>
  </si>
  <si>
    <t xml:space="preserve">Valores a cobrar: Se identificó 1 ítems caducado, 1 ítems en mal estado </t>
  </si>
  <si>
    <t xml:space="preserve">Valores a cobrar: Se identificó 2 ítems con defecto de fabrica </t>
  </si>
  <si>
    <t>Valores a cobrar: Se identificó 1 ítems faltante</t>
  </si>
  <si>
    <t>Valores a cobrar: Se identificó 23 ítems faltante, 8 ítems caducado, 3 ítems sobrantes, 2 ítems malestado, 1 ítems con desperfecto de fabrica</t>
  </si>
  <si>
    <t>Valores a cobrar: Se identificó 3 ítems faltantes</t>
  </si>
  <si>
    <t xml:space="preserve">Valores a cobrar: Se identificó 1 ítems faltante, 3 ítems con cruce de codigo </t>
  </si>
  <si>
    <t>Valores a cobrar: Se identificó 3 ítems faltante, 2 ítems sobrante, 1 ítems con cruce de codigo, 2 ítems con defecto de fabrica</t>
  </si>
  <si>
    <t>Valores a cobrar: Se identificó 3 ítems faltante, 2 ítems sobrantes</t>
  </si>
  <si>
    <t>MOTOSHOP TUMBACO</t>
  </si>
  <si>
    <t>Valores a cobrar: Se identificó 1 ítems por cruce de codigo</t>
  </si>
  <si>
    <t>Valores a cobrar: Se identificó 1 ítem faltante.</t>
  </si>
  <si>
    <t xml:space="preserve">Valores a cobrar: Se identificó 9 ítems faltantes, 5 ítems mal estado </t>
  </si>
  <si>
    <t>Valores a cobrar: Se identificó 73 ítems faltantes, 2 ítems sobrante, 37 cruces de mercadería y 10 ítem mal estado.</t>
  </si>
  <si>
    <t>Valores a cobrar: Se identificó 30 ítems faltantes,  2 ítem sobrante,  2 ítem mal estadoa 19 ítems caducados y 2 ítems defectos de fábrica.</t>
  </si>
  <si>
    <t>Valores a cobrar: Se identificó 19 ítems faltantes,  3 ítems sobrante,  13 cruces de mercadería y 1 ítems mal estado.</t>
  </si>
  <si>
    <t>Sin valores a cobrar: Se identificó 17 ítems faltantes, 3 ítems sobrantes, 6 cruces de mercadería.
Ajustes: 1 ajuste de egreso por 17 ítems faltantes y 6 cruces de mercadería; 1 ajuste de ingreso por 3 ítems sobrantes y 6 cruces de mercadería.</t>
  </si>
  <si>
    <t xml:space="preserve">No se identificaron novedades </t>
  </si>
  <si>
    <t>Valores a cobrar: Se identificó 8 ítems faltante,  3 ítem con cruce de codigos</t>
  </si>
  <si>
    <t>Valores a cobrar: Se identificó 5 ítems faltante,  6 ítem por defectos de fábrica.</t>
  </si>
  <si>
    <t>Valores a cobrar: Se identificó 29 ítems faltantes, 1 ítem sobrante, 7 cruces de mercadería y 1 ítem mal estado.</t>
  </si>
  <si>
    <t>Valores a cobrar: Se identificó 36 ítems faltantes, 5 ítems sobrantes  y 5 cruces de mercadería.
Ajustes: 1 ajuste de egreso por 36 ítems faltantes y 5 cruces de mercadería; 1 ajuste de ingreso por 5 ítems sobrantes y 5 cruces de mercadería.</t>
  </si>
  <si>
    <t>TCL TUMBACO</t>
  </si>
  <si>
    <t>Valores a cobrar: Se identificó 26 ítems faltantes, 4 ítems sobrantes y 14 cruces de mercadería.</t>
  </si>
  <si>
    <t>Valores a cobrar: Se identificó 1 ítem faltante.
Ajustes: 1 ajuste de egreso por 1 ítem faltante.</t>
  </si>
  <si>
    <t>Valores a cobrar: Se identificó 4 ítems faltantes,  1 ítem sobrante y  20 cruces de mercadería.</t>
  </si>
  <si>
    <t xml:space="preserve">No se procesa por robo detectado, caso 12k. </t>
  </si>
  <si>
    <t>Valores a cobrar: Se identificó 17 ítems faltantes, 4 ítems sobrantes y 3 cruces de mercadería.
Ajustes: 1 ajuste de egreso por 17 ítems faltantes y 3 cruces de mercadería; 1 ajuste de ingreso por 4 ítems sobrantes y 3 cruces de mercadería.</t>
  </si>
  <si>
    <t xml:space="preserve">Valores a cobrar: Se identificó 1 ítems faltante  4 ítems sobrante  10 ítems por cruce de codigo </t>
  </si>
  <si>
    <t>Valores a cobrar; Bibshort</t>
  </si>
  <si>
    <t>Valores a cobrar: Se identificó 4 ítems por cruce de codigo</t>
  </si>
  <si>
    <t>Valores a cobrar: Se identificó 1 ítem faltante y 4 cruces de mercadería.</t>
  </si>
  <si>
    <t>JOSHUE REMACHE PABLO ALVARADO</t>
  </si>
  <si>
    <t>Valores a cobrar: Se identificó 36 ítems faltantes,  33 ítem sobrante, 4 ítem por crucede codigo  2 ítem en mal estadoa 19 ítems caducados y 2 ítems defectos de fábrica.</t>
  </si>
  <si>
    <t>Valores a cobrar: Se identificó 1 ítem sobrante y 5 cruces de mercadería.</t>
  </si>
  <si>
    <t>Valores a cobrar: Se identificó 2 ítems faltante,  2 ítem por cruce de codigos.</t>
  </si>
  <si>
    <t>Sin valores a cobrar: Se identificó 1 ítem con defecto de fábrica y 1 ítem en almacén 0002 NC 243240 pendiente de dar de baja.
Ajustes: 1 ajuste de egreso por 1 ítem con defecto de fábrica; 1 ajuste de egreso almacén 0002 por NC 243240.</t>
  </si>
  <si>
    <t>BIKE SHOP QUICENTRO SUR</t>
  </si>
  <si>
    <t>Valores a cobrar: Se identificó 32 ítems faltantes, 4 ítems sobrante, 29 cruces de mercadería y 32 ítem mal estado.</t>
  </si>
  <si>
    <t xml:space="preserve">Valores a cobrar: Se identificó 3 ítems faltante,  5 ítem sobrante 1 ítem por cruce de codigo y 1 ítem por defecto de fabrica </t>
  </si>
  <si>
    <t>Valores a cobrar: Se identificó 60 ítems faltantes, 8 ítems sobrante, 22 cruces de mercadería y 11 ítems mal estado.</t>
  </si>
  <si>
    <t>Valores a cobrar: Se identificó 24 ítems faltantes, 6 ítems sobrantes, 18 cruces de mercadería, 7 ítems en mal estado, y 7 ítems (sin responsabilidad de personal de tienda) con smog no aptos para la venta .
Ajustes: 1 ajuste de egreso por 24 ítems faltantes, 18 cruces de mercadería, 7 ítems en mal estado y 7 ítems con smog no aptos para la venta; 1 ajuste de ingreso por 6 ítems sobrantes y 18 cruces de mercadería.</t>
  </si>
  <si>
    <t>BIKESHOP TUMBACO</t>
  </si>
  <si>
    <t>Valores a cobrar: Se identificó 52 ítems faltantes, 4 ítems sobrante, 30 cruces de mercadería y 20 ítem mal estado.</t>
  </si>
  <si>
    <t xml:space="preserve">Valores a cobrar: Se identificó 7 ítems faltante,  1 ítem sobrante 3 ítem por cruce de codigo </t>
  </si>
  <si>
    <t>Sin valores a cobrar: Se identificó 1 ítems faltantes, 1 ítems sobrantes, 7 ítems en mal estado, 1 ítem con defecto de fábrica y 6 cruce de mercadería.
Ajustes: 1 ajuste de egreso por 1 ítems faltantes, 7 ítems en mal estado, 1 ítem con defecto de fábrica y 6 cruce de mercadería; 1 ajuste de ingreso por 1 ítems sobrantes y 6 cruce de mercadería.</t>
  </si>
  <si>
    <t xml:space="preserve">Valores a cobrar: Se identificó 1 ítems  por cruce de codigo </t>
  </si>
  <si>
    <t>Sin valores a cobrar: Se identificó 2 ítems faltantes, 2 ítems sobrantes y 1 cruce de mercadería.
Ajustes: 1 ajuste de egreso por 2 ítems faltantes y 1 cruce de mercadería; 1 ajuste de ingreso por 2 ítems sobrantes y 1 cruce de mercadería.</t>
  </si>
  <si>
    <t>Sin diferencias</t>
  </si>
  <si>
    <t>Valores a cobrar: Se identificó 28 ítems faltantes,  7 ítems sobrante y 27 cruces de mercadería.</t>
  </si>
  <si>
    <t>Valores a cobrar: Se identificó 222 ítems faltantes, 20 ítems sobrante, 4 cruces de mercadería y 1 ítem mal estado.</t>
  </si>
  <si>
    <t>Valores a cobrar: Se identificó 61 ítems faltantes, 37 ítems sobrantes, 25 cruces de mercadería, 5 ítems en mal estado.
Ajustes: 1 ajuste de egreso por 61 ítems faltantes, 25 cruces de mercadería, 5 ítems en mal estado; 1 ajuste de ingreso por 37 ítems sobrantes y 25 cruces de mercadería.</t>
  </si>
  <si>
    <t>Valores a cobrar: Se identificó 3 ítems faltantes,  3 ítem sobrante</t>
  </si>
  <si>
    <t>Valores a cobrar: Se identificó 4 ítems mal estado,  3 ítem caducados,  2 ítem por defectos de fábrica.</t>
  </si>
  <si>
    <t>MOTOSHOP CORAL CENTRO</t>
  </si>
  <si>
    <t>Sin novedades</t>
  </si>
  <si>
    <t>BIKE SHOP CONCEPCIÓN</t>
  </si>
  <si>
    <t>Faltante de accesorios</t>
  </si>
  <si>
    <t>NAUTICA TUMBACO</t>
  </si>
  <si>
    <t>Valores a cobrar: Se identificó 11 ítems faltantes, 1 cruces de mercadería y 2 ítems mal estado.</t>
  </si>
  <si>
    <t>Valores a cobrar: Se identificó 21 ítems faltantes, 4 ítems sobrantes, 13 cruces de mercadería, 1 mal estado y 2 ítems defectos de fábtica (no ajustados).</t>
  </si>
  <si>
    <t>ROCKSTONE DAULE</t>
  </si>
  <si>
    <t>ROCKSTONE</t>
  </si>
  <si>
    <t>Valores a cobrar: Se identificó 17 ítems faltante,  16 ítem sobrante,  7 ítem por mal estado</t>
  </si>
  <si>
    <t xml:space="preserve">Valores a cobrar: Se identificó 3 ítems faltantes,  1 ítem caducado </t>
  </si>
  <si>
    <t>Faltante de accesorios pequeños y un TV roto por $ 233,94.</t>
  </si>
  <si>
    <t>Valores a cobrar: Se identificó 7 ítems faltantes, 1 ítem sobrante, 2 cruces de mercadería y 2 ítems defectos de fábtica (no ajustados).</t>
  </si>
  <si>
    <t>MOTOSHOP RECREO</t>
  </si>
  <si>
    <t xml:space="preserve">No existen diferencias en el inventario </t>
  </si>
  <si>
    <t xml:space="preserve">Se detecta  productos con defecto de fábricas por un valor de USD. 4614,87 al PVP (2 celulares que se encuentran como faltante ya que Motsur no retiro de LOGITECH), (2 televisores y un microonda)
</t>
  </si>
  <si>
    <t>Valores a cobrar: Se identificó 26 ítems faltantes, 2 ítem sobrante, 19 cruces de mercadería y 1 ítem mal estado.</t>
  </si>
  <si>
    <t xml:space="preserve">Valores a cobrar: Se identificó 5 ítems con defecto de fabrica </t>
  </si>
  <si>
    <t>Valores a cobrar: Se identificó 3 cruces de mercadería.</t>
  </si>
  <si>
    <t xml:space="preserve">Valores a cobrar: Se identificó 9 ítems faltantes  y 3 ítems con codigos cruzados </t>
  </si>
  <si>
    <t>Valores a cobrar: Se identificó 9 ítems faltantes  y 4 ítems sobrante</t>
  </si>
  <si>
    <t>TCL QUICENTRO SUR</t>
  </si>
  <si>
    <t>Valores a cobrar: Se identificó 4 ítems faltantes y 2 cruces de mercadería.</t>
  </si>
  <si>
    <t xml:space="preserve">Valores a cobrar: Se identificó 1 ítems con codigos cruzados </t>
  </si>
  <si>
    <t>Valores a cobrar: Se identificó 4 ítems faltantes, 3 ítem sobrante y 1 cruces de mercadería.</t>
  </si>
  <si>
    <t xml:space="preserve">Valores a cobrar: Se identificó 2 ítems con codigos cruzados </t>
  </si>
  <si>
    <t>Valores a cobrar: Se identificó 1 cruce de mercadería.</t>
  </si>
  <si>
    <t>Valores a cobrar: Robos de mercadería</t>
  </si>
  <si>
    <t xml:space="preserve">Valores a cobrar: Se identificó 8 ítems faltantes 9 ítems sobrantes 5 ítems por cruce 3 ítems pormal estado 20 ítems regular </t>
  </si>
  <si>
    <t>Valores a cobrar: Se identificó 8 ítems faltantes, 3 cruces y 3 sobrantes. Lo que más representa es producto caducado por $148,93</t>
  </si>
  <si>
    <t>No genera valores a cobrar: 2 cruces, venta de refrigeradora genera valores a favor. Sin embargo, existe un TV con defecto de fábrica, valor de $ 862,75</t>
  </si>
  <si>
    <t xml:space="preserve">No genera valores a cobrar: 1 cruce sin diferencia. </t>
  </si>
  <si>
    <t>ROCKSTONE CUENCA DON BOSCO</t>
  </si>
  <si>
    <t>Sobrantes por productos destinados a exhición, por productos sin identificación de origen y por venta de artículos no disponibles para la venta</t>
  </si>
  <si>
    <t>Valores a cobrar: Se identificó 19 ítems faltantes, 7 ítems sobrante, 9 cruces de mercadería y 4 ítem mal estado.</t>
  </si>
  <si>
    <t>Valores a cobrar: Faltantes de baterías de bicicletas ebikes. En cuanto cruces, superan los $ 33.000,00 por cambios de color en los despachos.</t>
  </si>
  <si>
    <t>Valores a cobrar: Se identificó 29 ítems faltantes, 6 cruces de mercadería y 4 ítem defectos de fábtica (no ajustados).</t>
  </si>
  <si>
    <t>Valores a cobrar: Se identificó 13 ítems faltantes y 4 cruces de mercadería.</t>
  </si>
  <si>
    <t>Valores a cobrar: Se identificó 10 ítems faltantes 2 ítems sobrantes 3 ítems con codigo cruzado 4 ítems mal estado</t>
  </si>
  <si>
    <t>Valores a cobrar: Se identificó 1 ítems con codigo sobrante</t>
  </si>
  <si>
    <t>PIAGGIO AYANCAY</t>
  </si>
  <si>
    <t>BODEGA PIAGGIO</t>
  </si>
  <si>
    <t>Faltante de importaciones no reportados por bodega.</t>
  </si>
  <si>
    <t>Pendiente pago de excolaborador. Informe no se cierra</t>
  </si>
  <si>
    <t xml:space="preserve">Se identificó la pérdida de dos nintendos swtich, total de $ 1.701,80
</t>
  </si>
  <si>
    <t>Valores a cobrar: Se identificó 15 ítems faltantes, 9 cruces de mercadería y 1 ítem mal estado.</t>
  </si>
  <si>
    <t>Valores a cobrar: Se identificó 11 ítems como faltante 1 ítems como cruce 6 ítems como mal estado</t>
  </si>
  <si>
    <t>Valores a cobrar: Se identificó 12 ítems como faltante 2 ítems sobrantes 7 ítems como cruce de mercaderia</t>
  </si>
  <si>
    <t>Valores a cobrar: Se identificó 7 ítems como faltante 5 ítems sobrantes 6 ítems como cruce de mercaderia 7 ítems mal estado 3 ítems caducados</t>
  </si>
  <si>
    <t>Ajuste por cruces  de jerseys.</t>
  </si>
  <si>
    <t>Cruce de un cascos que genera y accesorios faltantes.</t>
  </si>
  <si>
    <t xml:space="preserve">Valores a cobrar: Se identificó 1 ítems como faltante </t>
  </si>
  <si>
    <t xml:space="preserve">Valores a cobrar: Se identificó 3 ítems como faltante </t>
  </si>
  <si>
    <t xml:space="preserve">Se identifico tres items como faltantes </t>
  </si>
  <si>
    <t xml:space="preserve">No se encontraron novedades </t>
  </si>
  <si>
    <t>Valores a cobrar: Se identificó 24 ítems faltantes, 4 ítems sobrante, 10 cruces de mercadería y 1 ítem mal estado.</t>
  </si>
  <si>
    <t>Error en migración, cruce de moto</t>
  </si>
  <si>
    <t xml:space="preserve">Se identificaron items, faltantes sobrantes y en mal estado </t>
  </si>
  <si>
    <t>Faltantes de nutrición y jersey Oackley</t>
  </si>
  <si>
    <t>Faltante de accesorios, valor de bicicleta entregada a Juan Coello</t>
  </si>
  <si>
    <t>Focalizada</t>
  </si>
  <si>
    <t xml:space="preserve">Cruces que generan pérdida. </t>
  </si>
  <si>
    <t>Rango: 4gia* y 5gia*</t>
  </si>
  <si>
    <t>TCL CARLOS JULIO</t>
  </si>
  <si>
    <t>Se identifico un Items faltante, un Items sobrante y uno en mal estado</t>
  </si>
  <si>
    <t xml:space="preserve">Cierre de tienda. Faltante de accesorios y llantas. Adicional, mercadería en mal estado y caducada. </t>
  </si>
  <si>
    <t>Cobrar accesorios y batería</t>
  </si>
  <si>
    <t xml:space="preserve">Alcance a informe de cierre de tienda, por productos defectuoso. </t>
  </si>
  <si>
    <t>Faltante de ropa FILA.</t>
  </si>
  <si>
    <t>Cruces de mercaderia</t>
  </si>
  <si>
    <t>Rango: 5mon*, 53hs*  y 57PN*</t>
  </si>
  <si>
    <t>NAUTICA  CARLOS JULIO</t>
  </si>
  <si>
    <t>Cruces por cambios de código</t>
  </si>
  <si>
    <t>Stand Giro de Rigo 2025. No se procesa porque Eliana no emite el informe</t>
  </si>
  <si>
    <t>Stand Giro de Rigo 2025</t>
  </si>
  <si>
    <t>Faltan dos gafas de cascos Leatt</t>
  </si>
  <si>
    <t>No se presentan novedades</t>
  </si>
  <si>
    <t xml:space="preserve">Faltante de accesorios, refrigeradora por no cobro de saldo a favor. Mal estado: scooter, TVs, laptop y celulares. </t>
  </si>
  <si>
    <t>TCL CORAL CENTRO</t>
  </si>
  <si>
    <t>Apertura de tienda</t>
  </si>
  <si>
    <t>Bicicleta enviadas a servicio técnco desde 2022</t>
  </si>
  <si>
    <t>Faltante de una TV Miniled</t>
  </si>
  <si>
    <t>Faltante de pilas, control y audifonos</t>
  </si>
  <si>
    <t>Cruce de zapatos y bicis aro 12 por colores.</t>
  </si>
  <si>
    <t>Faltante de accesorios y cruces que generan pérdidas</t>
  </si>
  <si>
    <t xml:space="preserve">Cruces de res pares de zapatos en pérdida USD. </t>
  </si>
  <si>
    <t>cruces</t>
  </si>
  <si>
    <t>Faltante: Candados, portacaramañolas, guantes, tubos y una bici aro 12</t>
  </si>
  <si>
    <t>Faltante de TV  65 y 75</t>
  </si>
  <si>
    <t>Faltante de celular</t>
  </si>
  <si>
    <t>Revisar valores enviados a siniestros</t>
  </si>
  <si>
    <t xml:space="preserve">faltante de accesorios de computación, soportes y pulas. </t>
  </si>
  <si>
    <t>Faltante cobijas, cobertores y almohada</t>
  </si>
  <si>
    <t xml:space="preserve">No se procesa por permanecer mucho tiempo </t>
  </si>
  <si>
    <t>José Yuquilima</t>
  </si>
  <si>
    <t>Cascos y prendas descoloridas por permanecer mucho tiempo en piso</t>
  </si>
  <si>
    <t>Faltantes de nutrición y productos caducados. Se extravía el informe</t>
  </si>
  <si>
    <t xml:space="preserve">Accesorios, nutrición </t>
  </si>
  <si>
    <t>Faltante de parlantes, soportes y accesorios varios</t>
  </si>
  <si>
    <t>Cruce de mercadería- Se envía ajustar mercadería por producto facturado y no despachado. Se ingresa en inventario anterior.</t>
  </si>
  <si>
    <t>Mercadería en mal estado, guantes y bomba de pie.</t>
  </si>
  <si>
    <t xml:space="preserve">Se rechaza los ajustes por materiales que se puede solucionar con NC. </t>
  </si>
  <si>
    <t>Cruce de casco y guante por cambio de código</t>
  </si>
  <si>
    <t>No procede solicitud de la baja porque informes indican realizar NC</t>
  </si>
  <si>
    <t>Faltante de tres calefones, valorado en $ 1,173,90</t>
  </si>
  <si>
    <t>Cobro por faltante de accesorios</t>
  </si>
  <si>
    <t xml:space="preserve">Sobrantes por mercadería entregada a Coral y no entregada a Coral. </t>
  </si>
  <si>
    <t>Cruce de mercadería , audifonos, relojes y campana.</t>
  </si>
  <si>
    <t>NAUTICA MALL DEL RIO</t>
  </si>
  <si>
    <t>faltante de alfombras y cruce de mercadería cobertores, sábanas y almohadas</t>
  </si>
  <si>
    <t xml:space="preserve">Faltante por indumentaria tomada y no facturada por Bernardo Iturralde, previa autorización de Xavier Enderica.  Actualización: Se factura los productos. </t>
  </si>
  <si>
    <t>Cruce de mercadería por cambio de código. No se procesa por errores en el conteo para cruce de mercadería.</t>
  </si>
  <si>
    <t>Cruce de reloj</t>
  </si>
  <si>
    <t xml:space="preserve">Robo en tienda. Enviado a Siniestros. Se coloca "procesado" hasta la espera de confirmación de valores con Seguros. </t>
  </si>
  <si>
    <t>Audífono en mal estado</t>
  </si>
  <si>
    <t>Ajuste por cruces, existe una variación significativa en el costo por 7t10970A</t>
  </si>
  <si>
    <t>Faltantes: 2 parlantaes $ 238,02 C/U y encimera por $ 115,85.</t>
  </si>
  <si>
    <t>Cierre de tienda. Mal estado que incluye TV QLED pantalla rota $ 1072,58, showcase puerta rota $ 492,37, cocina usada por $ 390,01, Celular con tapa rota $ 214,22</t>
  </si>
  <si>
    <t xml:space="preserve">Productos caducados por baja rotación de inventario. </t>
  </si>
  <si>
    <t>Sin novedades. TV por garantía se realiza informe para XE.</t>
  </si>
  <si>
    <t xml:space="preserve">Producto en mal estado: Ventilador, congelador, dispensador de agua, tablet, TV 43" y 2 celulares. </t>
  </si>
  <si>
    <t>Faltante de productos de mecánica, accesorios y nutrición</t>
  </si>
  <si>
    <t>Faltante de ropa ALE, pedales CRB y llantas.</t>
  </si>
  <si>
    <t>Faltante de accesorios y energizantes</t>
  </si>
  <si>
    <t>Sobrante de memorias, pilas y control RCA. No genera valores a cobrar</t>
  </si>
  <si>
    <t>Por error de sistema se requiere ajustar el egreso e ingreso de una moto con chasis ZAPMD12000005882</t>
  </si>
  <si>
    <t>Caso robo Diego Torres. En proceso con Seguros</t>
  </si>
  <si>
    <t>Cruce de guantes, cascos, llantas , licras y zapatos</t>
  </si>
  <si>
    <t>Faltante de dos cascos</t>
  </si>
  <si>
    <t>Faltante de ropa , cascos y zapatos</t>
  </si>
  <si>
    <t>Cruce de bicis aro 20 y 16</t>
  </si>
  <si>
    <t>Cierre de tienda. Faltante de ropa Oakley, ropa ALE y accesorios shimano en mal estado.</t>
  </si>
  <si>
    <t>Faltante de zapatos, camisetas y llantas</t>
  </si>
  <si>
    <t>Pasado a RRHH para cobro</t>
  </si>
  <si>
    <t>Se incluye como faltantes 14 pedales de bicicletas para la venta y accesorios como calas y poste para completar bicis deshuesadas.</t>
  </si>
  <si>
    <t>No se identifica novedades. Se reporta defectos de fábrica que corresponde a TCL Centro.</t>
  </si>
  <si>
    <t>Facturas no ingresadas</t>
  </si>
  <si>
    <t>Cierre de tienda. Sin novedades</t>
  </si>
  <si>
    <t>Faltante de accesorios shimano, ropa, zapatos y accesorios crank brothers</t>
  </si>
  <si>
    <t xml:space="preserve">Faltante de un casco </t>
  </si>
  <si>
    <t>Se actualiza el informe de mal estado al detectarse un tv RCA en una caja TCL.</t>
  </si>
  <si>
    <t>TECNICENTRO-CENTRO</t>
  </si>
  <si>
    <t>TECNISHOP</t>
  </si>
  <si>
    <t>José Guachichullca</t>
  </si>
  <si>
    <t>INVENTARIO PARA IGUALAR DMS Y SAP</t>
  </si>
  <si>
    <t>TECNISHOP MAGDALENA</t>
  </si>
  <si>
    <t>Eduardo Erazo</t>
  </si>
  <si>
    <t>TECNISHOP RACAR</t>
  </si>
  <si>
    <t>BODEGA REPUESTOS FAW</t>
  </si>
  <si>
    <t>TECNISHOP CARLOS JULIO</t>
  </si>
  <si>
    <t>Jorge García</t>
  </si>
  <si>
    <t>TECNISHOP MANTA</t>
  </si>
  <si>
    <t>Luis Palma</t>
  </si>
  <si>
    <t>TECNISHOP CARAPUNGO</t>
  </si>
  <si>
    <t>Jimmy Torres</t>
  </si>
  <si>
    <t>AUD-GO-TECNISHOP-CARAPUNGO-011-001</t>
  </si>
  <si>
    <t>FAW SHANTUI AYANCAY</t>
  </si>
  <si>
    <t>FAW</t>
  </si>
  <si>
    <t>Rafael Rocano</t>
  </si>
  <si>
    <t>TECNISHOP MALL DEL RIO</t>
  </si>
  <si>
    <t>MILTON BUESTAN</t>
  </si>
  <si>
    <t>FAW TUMBACO</t>
  </si>
  <si>
    <t>Juan Diego Naranjo</t>
  </si>
  <si>
    <t>Se mantiene el faltante del caso de Diego Torres, valor de $ 6,674,76</t>
  </si>
  <si>
    <t>Cruces de mud guard y zapatos</t>
  </si>
  <si>
    <t>Cruce de cobertores por cambio de código</t>
  </si>
  <si>
    <t>Cruce de sábanas, cobertores y aflombras por cambio de código.</t>
  </si>
  <si>
    <t>JOEL CONTRERAS</t>
  </si>
  <si>
    <t>Faltante de zapatos, 3 bicis aro 12, guantes marin y licras.
No se procesa por actualización de informe, transferencias realizadas desde bike shop alborada</t>
  </si>
  <si>
    <t>JOSE LUIS ROSERO</t>
  </si>
  <si>
    <t>Faltante de aspiradora, dispensador y accesorios</t>
  </si>
  <si>
    <t>No se procesa, no se revisa origen de sobrantes</t>
  </si>
  <si>
    <t>Faltante de accesorios y mercadería en mal estado  por $ 235,09.</t>
  </si>
  <si>
    <t>Sin saldo para la baja, se rechaza req. de egreso</t>
  </si>
  <si>
    <t>Auditor de Coral no cumple con el cronograma y se penaliza  en KPI.</t>
  </si>
  <si>
    <t>Cierre de tienda. Faltante de un soporte, mal estado como celula4 $ 251,86, dispensador por $ 194,83</t>
  </si>
  <si>
    <t>Se rechaza por inconsistencia en las diferencias de inventario.</t>
  </si>
  <si>
    <t>Faltantes de accesorios como pedales, bolso giant y ropa fila</t>
  </si>
  <si>
    <t>Meidante factura No. 022-901-12229 se realiza el cobro al Sr. De la Rosa por transferir faltantes a Bike Shop Daule.</t>
  </si>
  <si>
    <t xml:space="preserve">No se procesa por robo de bicicletas. Se solicita nuevo inventario para actualizar el perjuicio. </t>
  </si>
  <si>
    <t>Pendiente baja de inventario por producto defectuoso. Informe con Ing. Xavier Enderica</t>
  </si>
  <si>
    <t>Se ajusta en inventario de enero</t>
  </si>
  <si>
    <t>No se puede procesar por falta de saldo, tienda descruza lo expuesto en informe</t>
  </si>
  <si>
    <t>Cruce de waflera. TV en la espera de tener informe técnico de TV que no prende</t>
  </si>
  <si>
    <t>Faltante de ropa alpine, ropa ALÉ, ropa fila, zapatos fizik y cascos rudy</t>
  </si>
  <si>
    <t>Faltante de pedales, ropa, guantes y tubos</t>
  </si>
  <si>
    <t>Faltante de zapatos, ropa, guantes y nutricion</t>
  </si>
  <si>
    <t>AUD-FAW-AYANCAY-01-2026-001</t>
  </si>
  <si>
    <t>Registro automático</t>
  </si>
  <si>
    <t>Auditoría realizada debido a renuncia del jefe de taller Sr. Santiago Quezada. Se encontraron items donantes utilizados para garantías y siniestros pendientes de regularización.</t>
  </si>
  <si>
    <t>FAW SHANTUI CARLOS JULIO</t>
  </si>
  <si>
    <t>AUD-FAWSHANTUI-CARLOS JULIO-01-2026-001</t>
  </si>
  <si>
    <t>Auditoría sin novedades. No se presentaron faltantes, sobrantes ni productos en mal estado. Se reportan 3 vehículos en uso de tienda.</t>
  </si>
  <si>
    <t>BIKESHOP ALBORADA</t>
  </si>
  <si>
    <t>AUD-GOSPORT-ALBORADA-01-2026-001</t>
  </si>
  <si>
    <t>Tienda con problemas de control: no realizaban inventarios periódicos, cierres de cajas pendientes, tienda desordenada, cruces de mercadería por mala codificación. Personal hacía mal uso de cupos de colaboradores. Cambio de administración durante auditoría.</t>
  </si>
  <si>
    <t>AUD-GO-TECNISHOP-MAGDALENA-001-001</t>
  </si>
  <si>
    <t>Mercadería no etiquetada correctamente. Variaciones entre sistemas SAP y DMS. Conteo realizado con nuevo encargado por renuncia del administrador. Ordenes de trabajo pendientes por $275.27.</t>
  </si>
  <si>
    <t>AUD-GO-MOTOSHOP-RECREO-001-001</t>
  </si>
  <si>
    <t>AUD-TCL-CENTRO-01-2026-001</t>
  </si>
  <si>
    <t>Problemas con procesos de envío y recepción de mercadería. Inventarios periódicos no transparentes.</t>
  </si>
  <si>
    <t>AUD- NÁUTICA-CARLOS JULIO-01-2026-001</t>
  </si>
  <si>
    <t>Auditoría con variación $0.00. Mercadería en exhibición por $1,114.05 PVP pendiente de regularizar.</t>
  </si>
  <si>
    <t>AUD-GO-TCL-BATAN-001-001</t>
  </si>
  <si>
    <t>Faltantes: AUDIFONOS TCL TW12-3AOFUS4 $-28.93, AUDIFONOS MONSTER XKT115 BEIGE $-21.42, AUDIFONOS MONSTER XKT01 WH $-20.41, AUDIFONOS RCA/K-102H/ROSADO $-16.83.</t>
  </si>
  <si>
    <t>BIKESHOP LOS CEIBOS</t>
  </si>
  <si>
    <t>AUD-BIKE-CEIBOS-01-2026-001</t>
  </si>
  <si>
    <t>Variación de $/40.85 al costo y $/74.72 al pvp por sobrantes y faltantes. Productos defectos de fábrica generan variación de $/458.27 al costo y $/706.60 al pvp. Artículos incompletos en mecánica pendientes de completar. Falta climatización en tienda.</t>
  </si>
  <si>
    <t>MOTO PLEX CEIBOS</t>
  </si>
  <si>
    <t>AUD-MOTOPLEX-CEIBOS-01-2026-001</t>
  </si>
  <si>
    <t>Auditoría sin novedades. Personal: Rosa Herminia Arevalo Luna (121937), Danny Cesar Rubio Alarcon (122027)</t>
  </si>
  <si>
    <t>AUD-TCL-BATÁN-01-2026-001</t>
  </si>
  <si>
    <t>En proceso de aprobación de ajustes</t>
  </si>
  <si>
    <t>Variación negativa de /$39.13 y /$90.92 valorada al P.V.P, producto de cruce de mercadería y artículos con defecto de fábrica.</t>
  </si>
  <si>
    <t>AUD-MOTOSHOP-DAULE-01-2026-001</t>
  </si>
  <si>
    <t>Auditoría sin variaciones. Inventarios internos periódicos coinciden con resultados obtenidos.</t>
  </si>
  <si>
    <t>AUD-GO-TCL-TUMBACO-001-001</t>
  </si>
  <si>
    <t>Requerimientos pendientes de aprobación: $45.68 / Mercadería en servicio técnico: $883.89</t>
  </si>
  <si>
    <t>AUD-GO-PIAGGIO-CENTRO-COMERCIAL-ESCALA-001-001</t>
  </si>
  <si>
    <t>Faltantes: ESCOOTER 10" RB-2RTEEN10-78-500 $-550.12, CELULAR T509A GRIS 128GB+8GB $-153.51. Sobrantes: ARANDELA EMBRAGUE APRILIA 660 1A018701 $5.54.</t>
  </si>
  <si>
    <t>FAW SHANTUI MAGDALENA</t>
  </si>
  <si>
    <t>AUD-GO-FAW-SHANTUI-MAGDALENA-001-001</t>
  </si>
  <si>
    <t>AUD-GO-MOTOSHOP-CARAPUNGO-002-001</t>
  </si>
  <si>
    <t>Auditoría sin diferencias / inventario cuadrado perfectamente</t>
  </si>
  <si>
    <t>FAW SHANTUI CARAPUNGO</t>
  </si>
  <si>
    <t>AUD-GO-FAW-SHANTUI-CARAPUNGO-002-001</t>
  </si>
  <si>
    <t>AUD-NAUTICA-TUMBACO-02-2026-001</t>
  </si>
  <si>
    <t>Se identificó mercadería sobrante que corresponde a las facturas N. 034/901/000001227 de la Sra. Elsa Cachago y la factura N. 034/901/000000988 del Sr. Ricardo Muz, en los dos casos los clientes realizaron la compra e indicaron que se les entregue en fechas posteriores.</t>
  </si>
  <si>
    <t>AUD-TCL-ALBORADA-02-2026-001</t>
  </si>
  <si>
    <t>Productos con defecto de fábrica enviados a servicio técnico. Tienda limpia y ordenada, personal correctamente uniformado.</t>
  </si>
  <si>
    <t>AUD-GO-TCL-CARAPUNGO-002-001</t>
  </si>
  <si>
    <t>Se identificó requerimientos pendientes de aprobación por $22.99 y televisores enviados a servicio técnico por $737.12</t>
  </si>
  <si>
    <t>AUD-GO-MOTOSHOP-TUMBACO-002-001</t>
  </si>
  <si>
    <t>Auditoría sin diferencias. Inventario cuadrado con sistema SAP centro 1738. Total de 123 códigos auditados sin sobrantes ni faltantes.</t>
  </si>
  <si>
    <t>AUD-TCL-MANTA-02-2026-001</t>
  </si>
  <si>
    <t>TV dañado por exposición solar. Falta instalación microperforados</t>
  </si>
  <si>
    <t>BIKESHOP CARAPUNGO</t>
  </si>
  <si>
    <t>AUD-BIKE-CARAPUNGO-02-2025-001</t>
  </si>
  <si>
    <t>Se encontró mercadería sin etiquetas por lo que se genera cruces de inventario.</t>
  </si>
  <si>
    <t>AUD-GO-NAUTICA-CARAPUNGO-002-001</t>
  </si>
  <si>
    <t>Se identificó mercadería pendiente de realizar requerimiento de consumo por promoción de almohadas. Mercadería mal etiquetada en un 90%. Se identificó mercadería en garantía.</t>
  </si>
  <si>
    <t>MOTO PLEX MANTA</t>
  </si>
  <si>
    <t>AUD-MOTOPLEX-MANTA-02-2026-001</t>
  </si>
  <si>
    <t>Cruce de código para regularizar negativo. Productos pendientes de servicio técnico y reposición de cargador.</t>
  </si>
  <si>
    <t>AUD-GO-TCL-RECREO-002-001</t>
  </si>
  <si>
    <t>Se identificó mercadería enviada a servicio técnico por $1,248.47. Se detectó 1 venta pendiente de migración al centro 1700 por $189.77.</t>
  </si>
  <si>
    <t>AUD-GO-TCL-MAGDALENA-002-001</t>
  </si>
  <si>
    <t>Defectos de fábrica reportados en auditorías anteriores (AUD/TCL/MAGDALENA/04/2025/001 y AUD/TCL/MAGDALENA/08/2025/002)</t>
  </si>
  <si>
    <t>AUD-GO-BIKESHOP-MAGDALENA-002-001</t>
  </si>
  <si>
    <t>Faltante por garantía de bicicleta enviada al Dpto. de garantías / Armando Salazar (14 dic 2022). Sustrajeron piezas sin autorización. 1 requerimiento pendiente de aprobación.</t>
  </si>
  <si>
    <t>AUD-BIKE-CONCEPCIÓN-03-2026-001</t>
  </si>
  <si>
    <t>Faltantes: $187.55. Caducados: $131.43. Informe anterior AUD/BIKE/CONCEPCIÓN/10/2025/003 sin procesar. Retraso de 25 días en envío.</t>
  </si>
  <si>
    <t>MOTOSHOP MONAY SHOPPING</t>
  </si>
  <si>
    <t>AUD-MOTOSHOP-MONAY-002-2026-001</t>
  </si>
  <si>
    <t>Auditoria con diferencias por cruces. Variación negativa de /$0.10 costo y /$1.36 PVP.</t>
  </si>
  <si>
    <t>AUD-GO-MOTOSHOP-MONAY-SHOPPING-002-001</t>
  </si>
  <si>
    <t>AUD-BIKE-AMBATO-03-2026-001</t>
  </si>
  <si>
    <t>Se identificó 2 bombas utilizada en la mecánica del almacén.</t>
  </si>
  <si>
    <t>AUD-GO-TCL-CORAL-AMBATO-003-001</t>
  </si>
  <si>
    <t>Auditoría sin variaciones significativas. Producto defectuoso excedió tiempo límite de garantía.</t>
  </si>
  <si>
    <t>AUD-BS-MONAY-03-2026-001</t>
  </si>
  <si>
    <t>Faltantes: Casco Rev Gloss $143.58, Zapato Crank $111.77, Llan/Bic ProOne $80.75. Mal estado: $180.85. Pendiente facturar Ana Mary Torres $2,783.60.</t>
  </si>
  <si>
    <t>AUD-GO-TCL-AMBATO-003-001</t>
  </si>
  <si>
    <t>Auditoría sin diferencias. Mercadería en servicio técnico y requerimientos pendientes identificados.</t>
  </si>
  <si>
    <t>AUD-GO-TCL-AMBATO-FICOA-003-001</t>
  </si>
  <si>
    <t>Se identificó mercadería enviada a servicio técnico para la revisión.</t>
  </si>
  <si>
    <t>AUD-GO-TECNISHOP-MAGDALENA-003-001</t>
  </si>
  <si>
    <t>AUD-GO-TCL-MAGDALENA-003-001</t>
  </si>
  <si>
    <t>Auditoría sin variación al costo ni al PVP. Defectos de fábrica reportados en informes anteriores (AUD/TCL/MAGDALENA/04/2025/001 y AUD/TCL/MAGDALENA/08/2025/002). Mercadería en servicio técnico identificada.</t>
  </si>
  <si>
    <t>BIKESHOP 10 AGOSTO</t>
  </si>
  <si>
    <t>AUD-BIKE-10 DE AGOSTO-03-2026-001</t>
  </si>
  <si>
    <t>Se identificó mercadería sin etiquetar</t>
  </si>
  <si>
    <t>AUD-TCL RIO-03-2026-001</t>
  </si>
  <si>
    <t>Se encontró la existencia física de una TV código 7t10966 TCL de 65" separada y al resguardo de TCL rio, entregada por Mateo Cordero sin guía.</t>
  </si>
  <si>
    <t>AUD-BIKE-TUMBACO-03-2026-002</t>
  </si>
  <si>
    <t>Se observó que poseen sobre stock de mercadería.</t>
  </si>
  <si>
    <t>AUD-GO-BIKESHOP-TUMBACO-003-001</t>
  </si>
  <si>
    <t>FAW SHANTUI CENTRO</t>
  </si>
  <si>
    <t>AUD-FAW-CENTRO-03-2026-001</t>
  </si>
  <si>
    <t>El inventario físico coincide totalmente con el Kardéx, sin diferencias. Existen ítems comprometidos para facturación en otros puntos, debidamente justificados. Se identificaron unidades en otras ubicaciones físicas, pero correctamente registradas. No se detectaron productos en mal estado ni defectos.</t>
  </si>
  <si>
    <t>AUD-GO-NAUTICA-TUMBACO-003-001</t>
  </si>
  <si>
    <t>Se identificó mercadería sobrante que corresponde a facturas pendientes de entrega.</t>
  </si>
  <si>
    <t>AUD-TCL-CENTRO-03-2026-001</t>
  </si>
  <si>
    <t>Se observa que la tienda no está cumpliendo con los procesos establecidos de envío y recepción de mercadería, dado que llega mercadería y no es ingresada lo cual retrasa la ejecución del inventario.</t>
  </si>
  <si>
    <t>AUD-GO-FAW-SHANTUI-CENTRO-003-001</t>
  </si>
  <si>
    <t>AUD-GO-MOTOSHOP-TUMBACO-003-001</t>
  </si>
  <si>
    <t>AUD-GO-TCL-TUMBACO-003-001</t>
  </si>
  <si>
    <t>AUD-GO-FAW-TUMBACO-003-001</t>
  </si>
  <si>
    <t>AUD-GO-FAW-SHANTUI-MAGDALENA-003-001</t>
  </si>
  <si>
    <t>Auditoría sin variaciones. Se identificaron 10 vehículos facturados pendientes de entrega a clientes por valor total de $165,250.46</t>
  </si>
  <si>
    <t>FAW SHANTUI RACAR</t>
  </si>
  <si>
    <t>AUD-GO-FAW-SHANTUI-RACAR-003-001</t>
  </si>
  <si>
    <t>AUD-GO-TCL-CARAPUNGO-004-001</t>
  </si>
  <si>
    <t>Faltantes: PARLANTE HP DHE-6002 $-29.64.</t>
  </si>
  <si>
    <t>AUD-GO-FAW-SHANTUI-AYANCAY-004-001</t>
  </si>
  <si>
    <t>AUD-GO-BIKESHOP-CARAPUNGO-004-001</t>
  </si>
  <si>
    <t>Faltantes: WD-40 BIKE 4 OZ CHAIN LUBRICANT WET 12 C $-10.46.</t>
  </si>
  <si>
    <t>BIKESHOP DAULE</t>
  </si>
  <si>
    <t>AUD-GO-BIKESHOP-DAULE-004-001</t>
  </si>
  <si>
    <t>AUD-GO-PIAGGIO-CENTRO-COMERCIAL-ESCALA-004-002</t>
  </si>
  <si>
    <t>Sobrantes: GUANTE 5.5 #S/EU7/US8 STEALTH 6025101681 $105.31, GUANTE LEATT L/6023046102 CAMO/1.0 GRIPR $29.46.</t>
  </si>
  <si>
    <t>AUD-GO-MOTOSHOP-RECREO-004-002</t>
  </si>
  <si>
    <t>AUD-GO-BIKESHOP-BATAN-004-001</t>
  </si>
  <si>
    <t>AUD-GO-TECNISHOP-RACAR-004-001</t>
  </si>
  <si>
    <t>AUD-GO-BIKESHOP-LA-CONCEPCION-004-002</t>
  </si>
  <si>
    <t>Faltantes: PEDAL STAMP 1 TURQUESA16386 $-46.42, BUSO 02EL FOA406171 ALL DAY LS TEE $-40.71, GLOVE MTB 6024150380 S 1.0 GRIPR #S/EU7/ $-35.35, TOOLSHED 12 600000056 $-33.66, BOLSO LGZONENEGRO OS 1493268 $-22.25, SALT CAPS GOLDNUTRITION PASTILLAS DE SAL $-19...</t>
  </si>
  <si>
    <t>AUD-GO-BIKESHOP-10-AGOSTO-004-002</t>
  </si>
  <si>
    <t>Faltantes: CASACA S DIVERSION THERMAL 850003168 $-150.19, SHORT ALPIN/1723821/1400 T34/ALPS 6.0/NE $-105.42, BUSO C/CAPUCHA ALPIN/1213-51670/1026/M/L $-65.03, ZAPATO CICLIS MRN 44 AT 1532 RIFT NEGRO $-58.00, ZAPATO CICLIS MRN 41 AT 1532 RIFT NEGRO $-58...</t>
  </si>
  <si>
    <t>AUD-GO-TCL-BATAN-004-001</t>
  </si>
  <si>
    <t>PROCESADO</t>
  </si>
  <si>
    <t>Faltantes: AUDIFONOS MONSTER XKH01 BK $-34.30. Sobrantes: FOCO LED DICROICO E27 3W 110V/60HZ 50*43 $8.10, CABLE OPTICO RCA/12FT/DV12R $7.30, FOCO LED DICROIC GU10 5W 110V/60HZ 50*43 $4.68.</t>
  </si>
  <si>
    <t>AUD-GO-BIKESHOP-MAGDALENA-004-002</t>
  </si>
  <si>
    <t>Faltantes: CAMISETA MC APG/M L21131543 OLIVE GREEN $-90.79, TUBO CST 700X25/32C FV 60MM CARTON $-17.31, TUBO VITTORIA STANDARD 700X20/28C FV PRE $-15.22, LLANTA DE BICICLETA 29X2.20 K1010 A0555 $-14.56, ABRAZADERA DEITY 36.4MM 26-CRT36-PU PURP $-14...</t>
  </si>
  <si>
    <t>AUD-GO-TECNISHOP-MANTA-004-001</t>
  </si>
  <si>
    <t>Faltante de aceite rbia de $ 29,59</t>
  </si>
  <si>
    <t>TCL MONAY</t>
  </si>
  <si>
    <t>AUD-GO-TCL-MONAY-005-001</t>
  </si>
  <si>
    <t>AUD-GO-FAW-SHANTUI-RACAR-005-001</t>
  </si>
  <si>
    <t>FAW AMBATO</t>
  </si>
  <si>
    <t>David Cisneros</t>
  </si>
  <si>
    <t>AUD-GO-FAW-SHANTUI-AMBATO-005-001</t>
  </si>
  <si>
    <t>Procesado - No Cobrado</t>
  </si>
  <si>
    <t>AUD-GO-BIKESHOP-AMBATO-005-002</t>
  </si>
  <si>
    <t>Otros: LIMA BELLOTA TRI DOBLE 9" M/PLA 094083MP $-304.92, LIMA BELLOTA TRI DOBLE 10" 104083  1/120 $-197.01.</t>
  </si>
  <si>
    <t>AUD-GO-TCL-PORTOVIEJO-LA-CUADRA-005-001</t>
  </si>
  <si>
    <t>AUD-GO-FAW-SHANTUI-CENTRO-005-001</t>
  </si>
  <si>
    <t>AUD-GO-TCL-CORAL-AMBATO-005-002</t>
  </si>
  <si>
    <t>Defecto de fabrica: QLED TV MINI LED TCL 55C825 $-722.77.</t>
  </si>
  <si>
    <t>FAW SHANTUI MAll DE RIO</t>
  </si>
  <si>
    <t>AUD-GO-FAW-SHANTUI-MAll-DE-RIO-005-001</t>
  </si>
  <si>
    <t>AUD-GO-FAW-SHANTUI-AYANCAY-005-001</t>
  </si>
  <si>
    <t>FAW SHANTUI MANTA</t>
  </si>
  <si>
    <t>AUD-GO-FAW-SHANTUI-MANTA-005-001</t>
  </si>
  <si>
    <t>AUD-GO-TCL-MANTA-005-001</t>
  </si>
  <si>
    <t>AUD-GO-TCL-AMBATO-005-002</t>
  </si>
  <si>
    <t>AUD-GO-PIAGGIO-MALL-DEL-RIO-005-001</t>
  </si>
  <si>
    <t>AUD-GO-PIAGGIO-LA-CUADRA-005-001</t>
  </si>
  <si>
    <t>Faltantes: BOTA MOTO 3.5 JR US1 NEGRO 3025450400 $-199.99, CASCO KIT MOTO 3.5 LEATT M/1024060462 RO $-185.57, PANTALON MOTO LEATT S/5024080401 FORGE/4 $-167.59, JERSEY PANTALON RIDE KIT MINI 3.5 XS ROJ $-105...</t>
  </si>
  <si>
    <t>AUD-GO-BIKESHOP-MANTA-005-001</t>
  </si>
  <si>
    <t>AUD-GO-TCL-AMBATO-FICOA-005-002</t>
  </si>
  <si>
    <t>AUD-GO-TCL-RIO-005-001</t>
  </si>
  <si>
    <t>AUD-GO-TCL-RECREO-005-002</t>
  </si>
  <si>
    <t>Defecto de fabrica: QLED TV MINI LED TCL 55C825 $-722.77. Defecto de fabrica: CELULAR TCL 30SE/6165 A1/GRIS $-251.86. Defecto de fabrica: PARLANTE/BLUETOOTH/RCA/B348/DISCO $-74.80.</t>
  </si>
  <si>
    <t>AUD-GO-TCL-MAGDALENA-005-003</t>
  </si>
  <si>
    <t>Faltantes: FLASH MEMORY MONSTER K-113U 64G $-10.60, CABLE D/CARGA RCA/T11 C A C $-2.75. Defecto de fabrica: LAPTOP TK-E140/14"/N3350 $-640.74. Sobrantes: MOUSE INALAM/P/GAMING/BY-MS-WR-103-BK $9.34, MEMORIA V168 USB 64GB BLUE $8.18.</t>
  </si>
  <si>
    <t>AUD-GO-TECNISHOP-CARAPUNGO-005-003</t>
  </si>
  <si>
    <t xml:space="preserve">Faltante de 12,18 litros de rubia óptima por $ 42,94 y sobrantes por faltantes cobrandos en auditoría anterior. </t>
  </si>
  <si>
    <t>AUD-GO-BIKESHOP-ALBORADA-005-001</t>
  </si>
  <si>
    <t>Faltantes: BICI 20 HOTWHEELS ROJO 7SP $-102.17, ZAPATO 118310GRY9.5 MEN SLIP-INS GRIS $-94.97, ZAP SKECHERS 108214BLK T:7.5 W NAM-BEJ $-81.30. Sobrantes: BICI 20 SONIC BLANCO 7V 018 $102.17, ZAPATO 150241BKWG6 WOM D'LITES NEGRO BLA $88.62, BANCO DE SENTAMIENTOS FITNESS YR1201 $61.23.</t>
  </si>
  <si>
    <t>BIKESHOP SAMBORONDON</t>
  </si>
  <si>
    <t>AUD-GO-BIKESHOP-SAMBORONDON-005-001</t>
  </si>
  <si>
    <t>AUD-GO-TECNISHOP-MAGDALENA-005-003</t>
  </si>
  <si>
    <t>Faltantes representativos PRESSURE PLATE $174,89, Front Bumper Welding Assembly por $152,83. Sobrante CLUTCH COVER - 1601310-99A por $146,91</t>
  </si>
  <si>
    <t>AUD-GO-MOTOSHOP-CARLOS-JULIO-005-001</t>
  </si>
  <si>
    <t>AUD-GO-NAUTICA--CARLOS-JULIO-005-001</t>
  </si>
  <si>
    <t>AUD-GO-TCL-TUMBACO-005-003</t>
  </si>
  <si>
    <t>Faltantes: AUDIFONOS MONSTER XKT25 BLUE $-19.73. Sobrantes: AUDIFONOS RCA/K1 ANC NEGRO $19.40.</t>
  </si>
  <si>
    <t>AUD-GO-NAUTICA-TUMBACO-005-003</t>
  </si>
  <si>
    <t>Sobrantes: COBERTOR KC SENA 2PLZ $43.70.</t>
  </si>
  <si>
    <t>AUD-GO-BIKESHOP-GUAYAQUIL-005-001</t>
  </si>
  <si>
    <t>Faltantes: BICI 26 MADROCK X NEGRO GRIS $-164.88, BICI 26 ROXY FUCSIA GM-888 $-148.73. Sobrantes: BICI 29 CAMBODIA X NEGRO AZUL $169.43, BICI 16 GLAM NINA MORADO $84.81, BICI 16 LASER NINA FUCSIA $74.37.</t>
  </si>
  <si>
    <t>AUD-GO-ROCKSTONE-CUENCA-DON-BOSCO-005-001</t>
  </si>
  <si>
    <t>AUD-GO-MOTOSHOP-TUMBACO-005-003</t>
  </si>
  <si>
    <t>AUD-GO-BIKESHOP-MONAY-005-001</t>
  </si>
  <si>
    <t>Faltantes: CASCO RUDY PROJECTSPECTRUMROJOMHL650021 $-160.25, PEDAL STAMP 7 LARGE MORADO16278 $-159.82, ZAP LIV REGALO 2020 MATTE BLACK EU38 870 $-112.62, CASACA LG/W'S MODESTO 3/PEONY/XS 10302 $-75.00, BICI 12 ALCATRAZ JR X FUCSIA NEGR GM67-3 $-72.62, GAVIA COURSE 0 700X28C 340000224 $-57...</t>
  </si>
  <si>
    <t>AUD-GO-FAW-TUMBACO-005-002</t>
  </si>
  <si>
    <t xml:space="preserve">Entrega de puesto del Sr. Johan Mendoza. Auditoria sin novedades, se entrega la caja chica por $120,00 al señor Mauricio Rosero. </t>
  </si>
  <si>
    <t>AUD-GO-FAW-SHANTUI-CARAPUNGO-006-001</t>
  </si>
  <si>
    <t>AUD-GO-FAW-SHANTUI-MAGDALENA-006-001</t>
  </si>
  <si>
    <t>Auditoría sin variaciones. Se identificaron 3 vehículos que constan en el stock de Ayancay  por valor de 134 mil dólares. Se justifica las variaciones</t>
  </si>
  <si>
    <t>AUD-GO-FAW-SHANTUI-AMBATO-006-001</t>
  </si>
  <si>
    <t>Auditoría sin variaciones. Se identificaron 2 vehículos vendidos y no entregados; el 16/04/2026 por $50,000.00 y el 2/04/2026 por $ 42,487.66</t>
  </si>
  <si>
    <t>FAW CEIBOS</t>
  </si>
  <si>
    <t>AUD-GO-FAW-CEIBOS-006-001</t>
  </si>
  <si>
    <t>AUD-GO-FAW-SHANTUI-CENTRO-006-001</t>
  </si>
  <si>
    <t>AUD-GO-FAW-SHANTUI-MAll-DE-RIO-006-001</t>
  </si>
  <si>
    <t>AUD-GO-FAW-SHANTUI-AYANCAY-006-001</t>
  </si>
  <si>
    <t>AUD-GO-FAW-SHANTUI-RACAR-006-001</t>
  </si>
  <si>
    <t>AUD-GO-BIKESHOP-MANTA-006-001</t>
  </si>
  <si>
    <t>Faltantes: GAFA RUDY SP853817-0000/KELION CRYSTAL R $-137.30, GAFAS D/SOL RUDY/SP457306-0001/FOTONYK/N $-106.02, BICI 20 SLASH MORADO ROSA SPORT $-105.34, ZAPATILLAS SHIM SH-GR500 T39 NAVY ZAP431 $-84.39, SHORT ALPINESTARSROVER PRONEGT301724619 $-77.72, JERSEY 2004 TOPLGNEGROM CABALLERO $-44...</t>
  </si>
  <si>
    <t>AUD-GO-FAW-SHANTUI-CARLOS-JULIO-006-0011</t>
  </si>
  <si>
    <t>AUD-GO-BIKESHOP-TUMBACO-006-003</t>
  </si>
  <si>
    <t>Datos correctos e informe firmado recibido</t>
  </si>
  <si>
    <t>Faltantes: SHOE FLAT 3025106360 6 2.0 #US6/UK5.5/ $-119.90, ZAP SKECHERS 303932L-BBK T:3 JR GORUN $-64.60, BUSO 24LL FOA404012 MARK II L/S TEE 2.0 $-30.54, GRIPS DEITY LOCKJAW/26-LKJAW-YL AMARILLO $-20...</t>
  </si>
  <si>
    <t>MOTOSHOP MAGDALENA</t>
  </si>
  <si>
    <t>AUD-GO-MOTOSHOP-MAGDALENA-006-003</t>
  </si>
  <si>
    <t>AUD-GO-BIKESHOP-CARAPUNGO-006-003</t>
  </si>
  <si>
    <t>Caducados: $-281.86. Sobrantes: GUANTE TOMATE-AMARILLO NEON L A1-08-889 $18.20, GUANTE NEGRO A1-08-881 M $9.12.</t>
  </si>
  <si>
    <t>AUD-GO-MOTOSHOP-CARAPUNGO-006-003</t>
  </si>
  <si>
    <t>AUD-GO-NAUTICA-MALL-DEL-RIO-006-001</t>
  </si>
  <si>
    <t>Faltantes: NAUTICA  COMFOR COOL MF 160X200X33 $-614.57, PORTA JABON RESIN-24-7010 $-60.66. Sobrantes: ALFOMBRA TOUCH TOU 400 SILVER 80X150CM $48.78, COBERTOR KC GANGES 2PLZ $43.70, SABANA KC 3PLZ $29.90, ALF SALA YT2511 120*170CM $21.16.</t>
  </si>
  <si>
    <t>BIKESHOP LA CONCEPCION</t>
  </si>
  <si>
    <t>AUD-GO-BIKESHOP-LA-CONCEPCION-005-003</t>
  </si>
  <si>
    <t>Faltantes: SHORT LG OPTIMUM NEGRO T-L 1050024 $-63.25, BILLETERA FOS9015039ZQU ELLIPSE CARD $-23.95, CAFFEINE CAPS GOLDNUTRITION PASTILLAS DE $-23.00, ACEITE WD-40 SPRAY 11OZ 52211 $-18.82. Mal estado: $-1,285.70. Caducados: $-193.78. Sobrantes: GIANT PINNER COMP FLAT PEDAL/230000103 $358...</t>
  </si>
  <si>
    <t>AUD-GO-TCL-CARAPUNGO-006-003</t>
  </si>
  <si>
    <t>Faltantes: CAMPANA EXTRACTORA RCA 76CM BLACK 76S-B $-59.54, RELOJ SMART MONSTER/AM07 BLACK/GREEN $-37.18, AUDIFONOS MONSTER XKT25 BLUE $-19.73, LUCES RGB RCA-207 WIFI LED 5M $-8.43. Sobrantes: AUDIFONOS RCA/K1 ANC BLANCO $19.39.</t>
  </si>
  <si>
    <t>AUD-GO-TCL-CEIBOS-006-001</t>
  </si>
  <si>
    <t>AUD-GO-BIKESHOP-10-AGOSTO-006-003</t>
  </si>
  <si>
    <t>Faltantes: BUSO SKECH MEN'S M/LT16 BLACK $-37.47, GUANTES ALPINESTARS YOUTH ASPENLAZUL1544 $-28.76, CASCO BICICLETA MORADO S(48-52CM) KS16 $-20.93. Caducados: $-23.64. Sobrantes: MANGAS DE CICLISMO DIVERSION L 820000676 $32.45, CAFFEINE CAPS GOLDNUTRITION PASTILLAS DE $23.00.</t>
  </si>
  <si>
    <t>AUD-GO-NAUTICA-CARAPUNGO-006-003</t>
  </si>
  <si>
    <t>Faltantes: ALFOMBRA TOUCH TOU 400 GRAPHITE 80X150CM $-24.39, PORTA JABON RESIN-24-0219 $-6.81. Sobrantes: DISPENSADOR DE JABON CEMENT-24-0117 $9.34, TAZA DE BAÑO RESIN-24-0219 $7.10.</t>
  </si>
  <si>
    <t>AUD-GO-PIAGGIO-CEIBOS-006-001</t>
  </si>
  <si>
    <t>AUD-GO-TCL-MANTA-006-001</t>
  </si>
  <si>
    <t>AUD-GO-TECNISHOP-CARLOS-JULIO-006-001</t>
  </si>
  <si>
    <t>Faltantes: ACEITE KENDALL GT-1 SAE 20W-50 1081207/1 $-92.01.</t>
  </si>
  <si>
    <t>TCL MALL DEL ALTO</t>
  </si>
  <si>
    <t>AUD-GO-TCL-MALL-DEL-ALTO-006-001</t>
  </si>
  <si>
    <t>Faltantes: SOPORTE P/TV 37"-80"/QF01-46T $-12.48.</t>
  </si>
  <si>
    <t>AUD-GO-BIKESHOP-MANTA-006-001-V1</t>
  </si>
  <si>
    <t>0002</t>
  </si>
  <si>
    <t>Faltantes: JERSEY 2004 TOPLGNEGROM CABALLERO $-44.64.</t>
  </si>
  <si>
    <t>AUD-GO-FAW-SHANTUI-AYANCAY-006-002</t>
  </si>
  <si>
    <t>AUD-GO-TECNISHOP-CARAPUNGO-006-004</t>
  </si>
  <si>
    <t>CONTRALORÍA INTELIGENTE GOH — PENDIENTES POR TIENDA</t>
  </si>
  <si>
    <t>Pendientes de facturar | Ítems en mecánica | Garantías | Requerimientos — NO son diferencias de auditoría</t>
  </si>
  <si>
    <t>RESUMEN AUDITORÍAS</t>
  </si>
  <si>
    <t>SKUS</t>
  </si>
  <si>
    <t>REF. INFORME</t>
  </si>
  <si>
    <t>RESULT. A COBRAR</t>
  </si>
  <si>
    <t>TOTAL COSTO NETO</t>
  </si>
  <si>
    <t>COSTO T.</t>
  </si>
  <si>
    <t>PRECIO T.</t>
  </si>
  <si>
    <t>DIFERENCIA COSTO</t>
  </si>
  <si>
    <t>DIFERENCIA P.V.P</t>
  </si>
  <si>
    <t>AUD-GO-BIKESHOP-10-AGOSTO-003-001</t>
  </si>
  <si>
    <t>AUD-GO-BIKESHOP-AMBATO-003-001</t>
  </si>
  <si>
    <t>AUD-GO-BIKESHOP-LA-CONCEPCION-002-001</t>
  </si>
  <si>
    <t>AUD-GO-BIKESHOP-TUMBACO-001-001</t>
  </si>
  <si>
    <t>CONTRALORÍA INTELIGENTE GOH — DETALLE DE SKUs CON DIFERENCIAS</t>
  </si>
  <si>
    <t>Una fila por SKU | Cruces: 2 filas por par (SOBRANTE CRUCE + FALTANTE CRUCE) | Fuente: Tabla 2 o Tabla 4 (Joshué Remache)</t>
  </si>
  <si>
    <t>TIPO
HALLAZGO</t>
  </si>
  <si>
    <t>MATERIAL
(SKU)</t>
  </si>
  <si>
    <t>DESCRIPCIÓN</t>
  </si>
  <si>
    <t>CENTRO
(CE)</t>
  </si>
  <si>
    <t>CANTIDAD</t>
  </si>
  <si>
    <t>COSTO
UNITARIO</t>
  </si>
  <si>
    <t>PVP
UNITARIO</t>
  </si>
  <si>
    <t>COSTO
TOTAL</t>
  </si>
  <si>
    <t>PVP
TOTAL</t>
  </si>
  <si>
    <t>FALTANTE</t>
  </si>
  <si>
    <t>5GIA05I</t>
  </si>
  <si>
    <t>CASCO REV GLOSS BLANCO-NEGRO L 59-63CM 8</t>
  </si>
  <si>
    <t>BIKE SHOP MONAY</t>
  </si>
  <si>
    <t>4SCH00E</t>
  </si>
  <si>
    <t>LLAN/BIC PROONE 28-622 SK HS493 11653975</t>
  </si>
  <si>
    <t>5CBRZ08</t>
  </si>
  <si>
    <t>ZAPATO CICLIS CRANK BROTT95 STAMP SPEEDL</t>
  </si>
  <si>
    <t>5LGAJ17</t>
  </si>
  <si>
    <t>JERSEY KNITTED LG XL NEGRO GRIS 1M20643KAB</t>
  </si>
  <si>
    <t>5RUPG69</t>
  </si>
  <si>
    <t>GAFA RUDY SP850502-0000 KELION CRYSTAL</t>
  </si>
  <si>
    <t>5LGAJ69</t>
  </si>
  <si>
    <t>JERSEY CABALLERO EQUIPE PRO LG T-L</t>
  </si>
  <si>
    <t>5LGAM24</t>
  </si>
  <si>
    <t>CALENTADOR BRAZOS LG AMARIL/S 1083111</t>
  </si>
  <si>
    <t>5FILX61</t>
  </si>
  <si>
    <t>ZAPATO 24864 T8.5 M AARON BLACK</t>
  </si>
  <si>
    <t>BZAP043</t>
  </si>
  <si>
    <t>ZAPATOS CICLISMO MARIN 42 MV720 RAMPAGE</t>
  </si>
  <si>
    <t>5LGAS01</t>
  </si>
  <si>
    <t>SHORT LG/OPTIMUM 2/NEGRO M 1050025</t>
  </si>
  <si>
    <t>9LLE00E</t>
  </si>
  <si>
    <t>LLANTA BICI NANO 2.1 29 WTB</t>
  </si>
  <si>
    <t>BGI020V</t>
  </si>
  <si>
    <t>GAVIA FONDO 0 700X28C 340000227</t>
  </si>
  <si>
    <t>9LLE006</t>
  </si>
  <si>
    <t>LLANTA KENDA BICICLETA 26X1.95 K1153</t>
  </si>
  <si>
    <t>5LEA2B2</t>
  </si>
  <si>
    <t>JERSEY MTB 5025103981 S TRAIL 1.0 X-FLOW</t>
  </si>
  <si>
    <t>5CBR003</t>
  </si>
  <si>
    <t>PEDAL STAMP 1 NARANJA 16388</t>
  </si>
  <si>
    <t>9MMB0S6</t>
  </si>
  <si>
    <t>LLANTA KENDA P/BICICLETA 29X2.40 K1214</t>
  </si>
  <si>
    <t>9LLE00C</t>
  </si>
  <si>
    <t>LLANTA BICI BEE LINE 2.2 27.5 WTB COMP</t>
  </si>
  <si>
    <t>5LGAM23</t>
  </si>
  <si>
    <t>CALENTADOR BRAZOS LG AMARIL/M 1083111</t>
  </si>
  <si>
    <t>5FILV06</t>
  </si>
  <si>
    <t>SWEATER FILA T:L FLAB-T-2123L AZUL</t>
  </si>
  <si>
    <t>4GIA195</t>
  </si>
  <si>
    <t>LIV AIRWAY SPORT AZ/BL/SIL/490000138</t>
  </si>
  <si>
    <t>4GIA211</t>
  </si>
  <si>
    <t>PROPEL AD SL DISC FRONT WHEEL THRU AXLE</t>
  </si>
  <si>
    <t>4MA000N</t>
  </si>
  <si>
    <t>BOMBA AIRE BICI DESINGMOMO MP01/M21-04</t>
  </si>
  <si>
    <t>X91006KB</t>
  </si>
  <si>
    <t>BARRA SALT PEANUT MANI CON CHOCOLATE GN</t>
  </si>
  <si>
    <t>5GIA062</t>
  </si>
  <si>
    <t>MEDIAS S ELEVATE BLANCO 820000723</t>
  </si>
  <si>
    <t>5GIA264</t>
  </si>
  <si>
    <t>LIV CONTACT SL HANDLEBAR TAPE BLACK</t>
  </si>
  <si>
    <t>XTUBO23</t>
  </si>
  <si>
    <t>TUBO CST 700X25/32C FV 60MM CARTON</t>
  </si>
  <si>
    <t>XRT0445</t>
  </si>
  <si>
    <t>CARB MAX VAINILLA CAFEINA GOLDNUTRTION</t>
  </si>
  <si>
    <t>X90005W</t>
  </si>
  <si>
    <t>ZAPATAS SHIMANO F/DISC RESIN G03A S/CART</t>
  </si>
  <si>
    <t>5LD392O</t>
  </si>
  <si>
    <t>GUANTES M MARIN AI-05-8761 LARGO AZUL</t>
  </si>
  <si>
    <t>X40741Y</t>
  </si>
  <si>
    <t>WD-40 BIKE 4 OZ CHAIN LUBRICANT WET 12C</t>
  </si>
  <si>
    <t>X40741Z</t>
  </si>
  <si>
    <t>WD-40 BIKE 4 OZ CHAIN LUBRICANT DRY 12C</t>
  </si>
  <si>
    <t>X9000ANK</t>
  </si>
  <si>
    <t>CARAMAÑOLA ELITE FLY TEAMS INEOS GRENADI</t>
  </si>
  <si>
    <t>X9000ANH</t>
  </si>
  <si>
    <t>CARAMAÑOLA ELITE FLY UCI 550ML AI-CAR019</t>
  </si>
  <si>
    <t>X9000ANG</t>
  </si>
  <si>
    <t>CARAMAÑOLA ELITE FLY AMARANTH BLACK 550</t>
  </si>
  <si>
    <t>X4063CRC</t>
  </si>
  <si>
    <t>BIKE SPRAY DE CADENAS</t>
  </si>
  <si>
    <t>XTUB058</t>
  </si>
  <si>
    <t>TUBO CST 29X1.90/2.35 V/CARRO 48MM</t>
  </si>
  <si>
    <t>X912K3NB</t>
  </si>
  <si>
    <t>JELLY BAR - GOMITAS - COLA</t>
  </si>
  <si>
    <t>X912K3NE</t>
  </si>
  <si>
    <t>JELLY BAR - GOMITAS - APPLE</t>
  </si>
  <si>
    <t>XRT0470</t>
  </si>
  <si>
    <t>HYDRA GEL MORA GOLDNUTRITION</t>
  </si>
  <si>
    <t>XRT0458</t>
  </si>
  <si>
    <t>PROFORMANCE GEL MENTA GOLDNUTRITION</t>
  </si>
  <si>
    <t>X401411</t>
  </si>
  <si>
    <t>DESENGRASANTE LIQUIDO MULTIUSO 1 LITRO</t>
  </si>
  <si>
    <t>4GIA01S</t>
  </si>
  <si>
    <t>LOGO SYTICKER PVS 3 COLORES 981600019</t>
  </si>
  <si>
    <t>X9000OC</t>
  </si>
  <si>
    <t>CABLES Y FUNDAS SHIMANO FRENOS MTB SET C</t>
  </si>
  <si>
    <t>SOBRANTE</t>
  </si>
  <si>
    <t>5GIA051</t>
  </si>
  <si>
    <t>CASACA L LIV CEFIRA WIND NEGRA 850003443</t>
  </si>
  <si>
    <t>5APG4A8</t>
  </si>
  <si>
    <t>BIBSHORTS APG M/L23092460-03 CONGO MAGIC</t>
  </si>
  <si>
    <t>5GIA286</t>
  </si>
  <si>
    <t>GIANT FLEET SLR 120000177</t>
  </si>
  <si>
    <t>5RUP039</t>
  </si>
  <si>
    <t>CASCO RUDY PROJECT VENGER CROSS AMARIL MHL6</t>
  </si>
  <si>
    <t>5SK0710</t>
  </si>
  <si>
    <t>ZAPATO 232921WBL8 MEN SLIP-INS BLANCO ME</t>
  </si>
  <si>
    <t>5SK0709</t>
  </si>
  <si>
    <t>ZAPATO 232921WBL7.5 MEN SLIP-INS BLANCO</t>
  </si>
  <si>
    <t>5SK0056</t>
  </si>
  <si>
    <t>ZAPATO SKECH W'S 5/129497 WHITE BLACK</t>
  </si>
  <si>
    <t>5GIA165</t>
  </si>
  <si>
    <t>LIV RACE DAY BIB SHORTS M/860001799</t>
  </si>
  <si>
    <t>9LLE02C</t>
  </si>
  <si>
    <t>LLANTA BICICLETA TRAIL 2.25 X 27.5</t>
  </si>
  <si>
    <t>4GIA299</t>
  </si>
  <si>
    <t>HELMET ROAD 800001684</t>
  </si>
  <si>
    <t>5ALPC44</t>
  </si>
  <si>
    <t>CASACA ALPINEST NEVADA SAMARIL 132332055</t>
  </si>
  <si>
    <t>5LEAB39</t>
  </si>
  <si>
    <t>GAFA MOTO 4.5 RUBI BRONCE 8025200630</t>
  </si>
  <si>
    <t>5LEAC0U</t>
  </si>
  <si>
    <t>CASACA LEATT M/5023038302 BLACK TRAIL 1.</t>
  </si>
  <si>
    <t>X9000DC</t>
  </si>
  <si>
    <t>PEDAL SHIMANO RUTA PD-R550 C/CLEAT SM-SH</t>
  </si>
  <si>
    <t>5FILZG0</t>
  </si>
  <si>
    <t>ZAP FILA DIJON 55285 T:9M NEGRO/AZUL</t>
  </si>
  <si>
    <t>5LGAJB4</t>
  </si>
  <si>
    <t>JERSEY LG/WS BEEZE 4 XS/1042178-917 ROSA</t>
  </si>
  <si>
    <t>5APGA14</t>
  </si>
  <si>
    <t>ALE GUANTE S L25119401-02 NEGRO</t>
  </si>
  <si>
    <t>5ALP119</t>
  </si>
  <si>
    <t>GORRA ALP 1214-81705 TU/1020-BLACK WHITE</t>
  </si>
  <si>
    <t>5LGAM28</t>
  </si>
  <si>
    <t>CALENTADOR PIERNAS LG/AMARIL/S 1083113</t>
  </si>
  <si>
    <t>5SK9617</t>
  </si>
  <si>
    <t>CAMISETA SKECH MEN'S M/MTO79 NAVY</t>
  </si>
  <si>
    <t>5DYE002</t>
  </si>
  <si>
    <t>PEGATINA P/BICI RIDE OR DIE/DBF 11187</t>
  </si>
  <si>
    <t>5OAKN93</t>
  </si>
  <si>
    <t>JERSEY FOA40044502EM FOUNDATIONAL</t>
  </si>
  <si>
    <t>4GIA055</t>
  </si>
  <si>
    <t>GIANT STRATUS LITE 3.0 BAR RED/190000188</t>
  </si>
  <si>
    <t>X912K3O</t>
  </si>
  <si>
    <t>GEL BOOST PLUS 107 CAFEINA</t>
  </si>
  <si>
    <t>5LGAJB0</t>
  </si>
  <si>
    <t>JERSEY LG BEEZE 4 XS/1042178-921 MORADO</t>
  </si>
  <si>
    <t>5OAKF99</t>
  </si>
  <si>
    <t>GORRA BFQL/XL FOS901495 TINFOIL II</t>
  </si>
  <si>
    <t>5FIL020</t>
  </si>
  <si>
    <t>GORRA FILA CH-1196 WHITE</t>
  </si>
  <si>
    <t>BGI0287</t>
  </si>
  <si>
    <t>H.WASHER/SPACER 1319-H4204A-0002</t>
  </si>
  <si>
    <t>XRT0480</t>
  </si>
  <si>
    <t>CARB MAX PINA COLADA GOLDNUTRTION</t>
  </si>
  <si>
    <t>X912JPFB</t>
  </si>
  <si>
    <t>GEL BOOST PLUS SANDIA 107 GR CAFEINA</t>
  </si>
  <si>
    <t>BGI0359</t>
  </si>
  <si>
    <t>Hanger 1159-R01630-02</t>
  </si>
  <si>
    <t>X91006KF</t>
  </si>
  <si>
    <t>ENERGY GEL FRESA LIMON STRAWBERRIES LIME</t>
  </si>
  <si>
    <t>X912K3NC</t>
  </si>
  <si>
    <t>JELLY BAR - GOMITAS - STRAWBERRY</t>
  </si>
  <si>
    <t>BGI0166</t>
  </si>
  <si>
    <t>Stud Cap 1472-OILRUB-401</t>
  </si>
  <si>
    <t>SOBRANTE CRUCE</t>
  </si>
  <si>
    <t>5LEA02T</t>
  </si>
  <si>
    <t>CASCO LEATT MTB M/1024120182 FUEL/GRAVIT</t>
  </si>
  <si>
    <t>FALTANTE CRUCE</t>
  </si>
  <si>
    <t>5LEA01T</t>
  </si>
  <si>
    <t>CASCO LEATT MTB S/1023013700 STEALTH/GRA</t>
  </si>
  <si>
    <t>5GIA074</t>
  </si>
  <si>
    <t>CASACA M PROSHIELD MTB NEGRA 850003917</t>
  </si>
  <si>
    <t>5GIA07C</t>
  </si>
  <si>
    <t>CASACA L DIVERSION THERMAL NEGRA 8500031</t>
  </si>
  <si>
    <t>5GIA02C</t>
  </si>
  <si>
    <t>CASACA S PROSHIELD RAIN NEGRA 850003282</t>
  </si>
  <si>
    <t>5GIA02D</t>
  </si>
  <si>
    <t>CASACA M PROSHIELD RAIN NEGRA 850003283</t>
  </si>
  <si>
    <t>B15A167</t>
  </si>
  <si>
    <t>BICI 16 GLAM NINA ROSADO</t>
  </si>
  <si>
    <t>B15A166</t>
  </si>
  <si>
    <t>BICI 16 GLAM NINA FUCSIA</t>
  </si>
  <si>
    <t>5RUP035</t>
  </si>
  <si>
    <t>CASCO RUDY PROJECT SPECTRUM ROJO SHL650110</t>
  </si>
  <si>
    <t>5RUP172</t>
  </si>
  <si>
    <t>CASCO RUDY HL790051 S-M/PINK FLUO-BLACK</t>
  </si>
  <si>
    <t>B15SO04</t>
  </si>
  <si>
    <t>BICI 16 SONIC AZUL 014</t>
  </si>
  <si>
    <t>B15SO05</t>
  </si>
  <si>
    <t>BICI 16 SONIC BLANCO 015</t>
  </si>
  <si>
    <t>4SCH006</t>
  </si>
  <si>
    <t>LLAN/BIC HANS/D 60-507 HS491/67 11601118</t>
  </si>
  <si>
    <t>4SCH007</t>
  </si>
  <si>
    <t>LLAN/BICI BG/B 62-622 HS608/2X50 1159152</t>
  </si>
  <si>
    <t>B15SO01</t>
  </si>
  <si>
    <t>BICI 12 SONIC AZUL 011</t>
  </si>
  <si>
    <t>B15SO02</t>
  </si>
  <si>
    <t>BICI 12 SONIC BLANCO 012</t>
  </si>
  <si>
    <t>5RUP048</t>
  </si>
  <si>
    <t>CASCO RUDY PROJECT VENGER AMARIL NEG MAT MHL6</t>
  </si>
  <si>
    <t>5RUP062</t>
  </si>
  <si>
    <t>CASCO RUDY PROJECT ROCKY NEGRO J SHL700031</t>
  </si>
  <si>
    <t>B1512M3</t>
  </si>
  <si>
    <t>BICI 12 ALCATRAZ JR GRIS NEGRO</t>
  </si>
  <si>
    <t>B1512M6</t>
  </si>
  <si>
    <t>BICI 12 ALCATRAZ JR CELESTE ROSADO</t>
  </si>
  <si>
    <t>5LEAJ1S</t>
  </si>
  <si>
    <t>JERSEY LEATT L/5023036503 ZOMBIE/GRAVITY</t>
  </si>
  <si>
    <t>5LEAJ46</t>
  </si>
  <si>
    <t>JERSEY LEATT MTB S/5024120411 BLACK/GRAV</t>
  </si>
  <si>
    <t>B15R01B</t>
  </si>
  <si>
    <t>KIT MARIN EJE ATORNILLA 100X12MM/728549</t>
  </si>
  <si>
    <t>B15R01C</t>
  </si>
  <si>
    <t>KIT MARIN EJE ATORNILLA 142X12MM/728551</t>
  </si>
  <si>
    <t>5LTW000</t>
  </si>
  <si>
    <t>PALANCA CAMBIOS 12 VEL/SLA12/DORADO</t>
  </si>
  <si>
    <t>5LTW001</t>
  </si>
  <si>
    <t>PALANCA CAMBIOS 12 VEL/SL-AT12</t>
  </si>
  <si>
    <t>B15412S</t>
  </si>
  <si>
    <t>BICI 12 RIDER X-4 NEGRO/RJ</t>
  </si>
  <si>
    <t>B15412E</t>
  </si>
  <si>
    <t>BICICLETA 12 RIDER X-5 ROJO/NEGRO</t>
  </si>
  <si>
    <t>MAL ESTADO</t>
  </si>
  <si>
    <t>—</t>
  </si>
  <si>
    <t>Mercadería dañada (ver anexo fotográfico pág. 8)</t>
  </si>
  <si>
    <t>Faltantes</t>
  </si>
  <si>
    <t>4C22126</t>
  </si>
  <si>
    <t>CANDADO P/ LLANTA 10X600MM SILICONE GTI</t>
  </si>
  <si>
    <t>57CH00I</t>
  </si>
  <si>
    <t>CAMISETA AZUL CABALLERO TL 21572</t>
  </si>
  <si>
    <t>5XED005</t>
  </si>
  <si>
    <t>BALON D/FUTBOL #5 400-420G SMTPU4071A/B/</t>
  </si>
  <si>
    <t>5XED006</t>
  </si>
  <si>
    <t>BALON D/FUTBOL  #5 PVC 2,7MM SMPVC4088</t>
  </si>
  <si>
    <t>9LLE00I</t>
  </si>
  <si>
    <t>LLANTA BICI NINE LINE 2.25 29 WTB COMP</t>
  </si>
  <si>
    <t>9TUB001</t>
  </si>
  <si>
    <t>TUBO KENDA P/BICI 16*1,75/2.125 A/V 40L</t>
  </si>
  <si>
    <t>B15A169</t>
  </si>
  <si>
    <t>BICI 16 LASER NINA FUCSIA</t>
  </si>
  <si>
    <t>BZAP07S</t>
  </si>
  <si>
    <t>ZAPATO CICLIS MRN 37 MR1385 TEAM X1 NEGR</t>
  </si>
  <si>
    <t>X9000OH</t>
  </si>
  <si>
    <t>CABLE SHIM FRENO MTB 1.6X2050 BOX 100PCS</t>
  </si>
  <si>
    <t>X9609IO</t>
  </si>
  <si>
    <t>CAMISETA JERSEY DE NINA MARIN T-6 VAR CO</t>
  </si>
  <si>
    <t>Sobrantes</t>
  </si>
  <si>
    <t>5GIA260</t>
  </si>
  <si>
    <t>LIV PDQ QUICK FIX KIT-ROAD 61000124</t>
  </si>
  <si>
    <t>5XED001</t>
  </si>
  <si>
    <t>BALON D/BASKET ESP #7 580-650G BR2838A/B</t>
  </si>
  <si>
    <t>9LLE01E</t>
  </si>
  <si>
    <t>VALVULA PRESTA ROJA 34MM 2PCS W095-0006</t>
  </si>
  <si>
    <t>5LD3820</t>
  </si>
  <si>
    <t>GUANTE ROJO NEGRO M A1-08-888</t>
  </si>
  <si>
    <t>5CBR300</t>
  </si>
  <si>
    <t>KIT CALAS NO FLOAT/15338</t>
  </si>
  <si>
    <t>4P46010</t>
  </si>
  <si>
    <t>LIMPIADOR DEASIENTOS MOTOS Y BICIC ADH</t>
  </si>
  <si>
    <t>Sobrantes cruces</t>
  </si>
  <si>
    <t>BGI0199</t>
  </si>
  <si>
    <t>TALON 29 2 M DRIED MATCHA 1095009325</t>
  </si>
  <si>
    <t>5LD3853</t>
  </si>
  <si>
    <t>GUANTE ROJO-NEGRO L A1-05-1617</t>
  </si>
  <si>
    <t>X9129GO</t>
  </si>
  <si>
    <t>LICRA DE CICLISMO T-M</t>
  </si>
  <si>
    <t>5CBRZ4A</t>
  </si>
  <si>
    <t>ZAPATO CICLIS CB 5/MAL17040S050 MALLET L</t>
  </si>
  <si>
    <t>B15326T</t>
  </si>
  <si>
    <t>BICICLETA GTI 26 ROXY GM888 GRISFUCSIA</t>
  </si>
  <si>
    <t>Faltantes cruces</t>
  </si>
  <si>
    <t>BGI0195</t>
  </si>
  <si>
    <t>Talon 29 2 M Asphalt Green 1095009125</t>
  </si>
  <si>
    <t>5LD3852</t>
  </si>
  <si>
    <t>GUANTE ROJO-NEGRO M A1-05-1617</t>
  </si>
  <si>
    <t>X912AU4</t>
  </si>
  <si>
    <t>LICRA CICLISMO HOMBRE CON BADANA2 T-P</t>
  </si>
  <si>
    <t>5CBRZ09</t>
  </si>
  <si>
    <t>ZAPATO CICLIS CRANK BROTT10 STAMP SPEEDL</t>
  </si>
  <si>
    <t>B151274</t>
  </si>
  <si>
    <t>BICI 29 SPICE ROSADO BLANCO</t>
  </si>
  <si>
    <t>BGI0192</t>
  </si>
  <si>
    <t>Talon 29 3 S Frost Silver 1095010324</t>
  </si>
  <si>
    <t>5LGAZ44</t>
  </si>
  <si>
    <t>ZAPATOS DCICLISMO BARYUMLGT43CHARCOAL 14</t>
  </si>
  <si>
    <t>BGI025T</t>
  </si>
  <si>
    <t>CHARGER 710000015</t>
  </si>
  <si>
    <t>B150361</t>
  </si>
  <si>
    <t>DISPLAY PARA BICICLETAGTIBSGC051</t>
  </si>
  <si>
    <t>5OAK867</t>
  </si>
  <si>
    <t>DRT3 TRAIL  FOS901248 GRIS MATE NEGRO SA</t>
  </si>
  <si>
    <t>B150108</t>
  </si>
  <si>
    <t>BICI 20 SLASH MTB PRO MORADO</t>
  </si>
  <si>
    <t>4WTB00B</t>
  </si>
  <si>
    <t>LLANTA WTB RANGER T 2.25X29 TCS L/FR 60T</t>
  </si>
  <si>
    <t>5ALPSDA</t>
  </si>
  <si>
    <t>SUDADERA ALP 1244-51412 S 10 BLACK</t>
  </si>
  <si>
    <t>9LLE02B</t>
  </si>
  <si>
    <t>LLANTA BICI RANGER 2.25 29''</t>
  </si>
  <si>
    <t>5RUPD01</t>
  </si>
  <si>
    <t>DISPLAY RUDY/AC101124/RULIGHT ACRILICO/P</t>
  </si>
  <si>
    <t>5LEA2X5</t>
  </si>
  <si>
    <t>GLOVE MTB 6025105641 M 5.0 ENDURANCE #M/</t>
  </si>
  <si>
    <t>5OAKF55</t>
  </si>
  <si>
    <t>SUDADERA 02ES FOA406178 MTL SOLAR RAIL C</t>
  </si>
  <si>
    <t>5OAKG33</t>
  </si>
  <si>
    <t>GUANTES 02EM FOS901675 MAVEN D3O GLOVES</t>
  </si>
  <si>
    <t>5FILY90</t>
  </si>
  <si>
    <t>ZAPATO 91968 T1 JR JR CLASSIO LOW WHITE</t>
  </si>
  <si>
    <t>BICICLETA 12" RIDER X-5 ROJO/NEGRO</t>
  </si>
  <si>
    <t>5OAKN41</t>
  </si>
  <si>
    <t>JERSEY FOA40547602EL ENDURANCE BASE</t>
  </si>
  <si>
    <t>5CBR005</t>
  </si>
  <si>
    <t>PEDAL STAMP 1 TURQUESA16386</t>
  </si>
  <si>
    <t>4GIA057</t>
  </si>
  <si>
    <t>NUMEN PLUS AERO TL 3 LED/400000032</t>
  </si>
  <si>
    <t>5FIL332</t>
  </si>
  <si>
    <t>CAMISETA FILA S/FST-T-2273M AGATE GREEN</t>
  </si>
  <si>
    <t>5FIL534</t>
  </si>
  <si>
    <t>SHORTS FILA T:M CH-1327 LT GREY</t>
  </si>
  <si>
    <t>5ALP141</t>
  </si>
  <si>
    <t>GORRA ALP 1214-81717 TU/3010-RED BLACK/D</t>
  </si>
  <si>
    <t>XMAD000</t>
  </si>
  <si>
    <t>LIQUIDO SELLANTE TUBELESS 1LTR</t>
  </si>
  <si>
    <t>9LLE01T</t>
  </si>
  <si>
    <t>VALVULA PRESTA AZUL 46 MM 2PCS W095-0010</t>
  </si>
  <si>
    <t>B150012</t>
  </si>
  <si>
    <t>TRANZX DROPPER POST 170MM</t>
  </si>
  <si>
    <t>4GIA059</t>
  </si>
  <si>
    <t>LIV DOUBLESPRING 600CC BLUE /PINK 0358</t>
  </si>
  <si>
    <t>XMAD001</t>
  </si>
  <si>
    <t>LIQUIDO SELLANTE TUBELESS 1/2 LTR</t>
  </si>
  <si>
    <t>X9000SV</t>
  </si>
  <si>
    <t>CAUCHO RUTA SHIM BR-7700 CARTRIDGE PAR C</t>
  </si>
  <si>
    <t>4GIA02U</t>
  </si>
  <si>
    <t>PORTACARAMANOLA LIV PROWAY 490000064</t>
  </si>
  <si>
    <t>5ALPM0D</t>
  </si>
  <si>
    <t>MEDIAS 15CM ALP L/1706320-7177 ATLANTIC-</t>
  </si>
  <si>
    <t>4GIA196</t>
  </si>
  <si>
    <t>LIV AIRWAY SPORT BLACK/BLUE//490000140</t>
  </si>
  <si>
    <t>5LD3807</t>
  </si>
  <si>
    <t>GUANTE ROJO M A1-05-1069</t>
  </si>
  <si>
    <t>X91006KC</t>
  </si>
  <si>
    <t>BARRA SALT HAZELNUT AVELLANACHOCOLATE</t>
  </si>
  <si>
    <t>5XED00J</t>
  </si>
  <si>
    <t>ESPINILLERA PVC+EVA T:M W9920SP AZUL</t>
  </si>
  <si>
    <t>4C22124</t>
  </si>
  <si>
    <t>CANDADO P/ LLANTA GTI 650MM</t>
  </si>
  <si>
    <t>4MA0050</t>
  </si>
  <si>
    <t>ALMOHADILLA DE BICI MOMO BR004</t>
  </si>
  <si>
    <t>5RUP049</t>
  </si>
  <si>
    <t>CASCO RUDY PROJECTVENGERAMARILNEGMATLHL6</t>
  </si>
  <si>
    <t>CASCO RUDY PROJECTVENGERAMARILNEGMATMHL6</t>
  </si>
  <si>
    <t>5SKB016</t>
  </si>
  <si>
    <t>ZAP SKECHERS 117602TPE T:7 W BOB-PUR</t>
  </si>
  <si>
    <t>B15AL71</t>
  </si>
  <si>
    <t>BICI 12 ALCATRAZ JR X NEGRO ROJO GM67-1</t>
  </si>
  <si>
    <t>5LGAJ45</t>
  </si>
  <si>
    <t>JERSEY BEEZE 3 LG AMARILLO T-S 104201402</t>
  </si>
  <si>
    <t>5DTY105</t>
  </si>
  <si>
    <t>PEDAL DEITY/26-DF TRP-TQ/DEFTRAP TURQUOI</t>
  </si>
  <si>
    <t>B150300</t>
  </si>
  <si>
    <t>PORTA BICICLETA 77*53*42CM 7212828E ECUA</t>
  </si>
  <si>
    <t>5LEAG3Q</t>
  </si>
  <si>
    <t>GUANTE MOTO 1.5 MINI US 5 AZ 6025450340</t>
  </si>
  <si>
    <t>4GIA01Z</t>
  </si>
  <si>
    <t>GIANT TUBELESS SEALANT 2OZ 330000103</t>
  </si>
  <si>
    <t>4C2212C</t>
  </si>
  <si>
    <t>CANDADO P LLANTA GTI 8X900MM 709 NEGRO</t>
  </si>
  <si>
    <t>5LD3838</t>
  </si>
  <si>
    <t>GUANTE NEGRO A1-08-881 L</t>
  </si>
  <si>
    <t>5DTY201</t>
  </si>
  <si>
    <t>TAPA VALVULA PRESTA DEITY/26-PRESTA-RED</t>
  </si>
  <si>
    <t>5DTY204</t>
  </si>
  <si>
    <t>TAPA VALVULA PRESTA DEITY/26-PRESTA-BLU/</t>
  </si>
  <si>
    <t>BGI0202</t>
  </si>
  <si>
    <t>Talon 29 1 S Metallic Blue 1095008224</t>
  </si>
  <si>
    <t>BGI0203</t>
  </si>
  <si>
    <t>Talon 29 1 M Metallic Blue 1095008225</t>
  </si>
  <si>
    <t>B15129H</t>
  </si>
  <si>
    <t>BICI 29 CAMBODIA X NEGRO AZUL</t>
  </si>
  <si>
    <t>B15A300</t>
  </si>
  <si>
    <t>BICI 29 CAMBODIA X HYDRAULIC AZUL</t>
  </si>
  <si>
    <t>BGI0197</t>
  </si>
  <si>
    <t>Talon 29 2 M Pure Red 1095009225</t>
  </si>
  <si>
    <t>Talon 29 2 M Dried Matcha 1095009325</t>
  </si>
  <si>
    <t>5ON5439</t>
  </si>
  <si>
    <t>ZAPATO CLOUDGO T: 9 W 55-98622 ROSE/MAGN</t>
  </si>
  <si>
    <t>5ON5041</t>
  </si>
  <si>
    <t>ZAPATO ON W'S 5.5/59.98836 OLIVE BLACK/C</t>
  </si>
  <si>
    <t>5ALPH20</t>
  </si>
  <si>
    <t>GORRO ALP 1037-81504 TU 10 BLACK RECEIVI</t>
  </si>
  <si>
    <t>5ALPH2O</t>
  </si>
  <si>
    <t>GORRA ALP 1244-81020 S/M 11 GREY</t>
  </si>
  <si>
    <t>4MA000O</t>
  </si>
  <si>
    <t>PORTA BICI PARA AUTOS DESING MOMO BR003</t>
  </si>
  <si>
    <t>4MA0000</t>
  </si>
  <si>
    <t>B154122</t>
  </si>
  <si>
    <t>BICI 12 RIDER X5 ROSADO FUCSIA</t>
  </si>
  <si>
    <t>B15002L</t>
  </si>
  <si>
    <t>BICI 12 RIDER RB ROJO - NEGRO</t>
  </si>
  <si>
    <t>GAFA MOTO 4.5 RUBI BRONCE 802520</t>
  </si>
  <si>
    <t>5LEAB47</t>
  </si>
  <si>
    <t>GAFA MOTO 5.5 NEGRO 8025200570</t>
  </si>
  <si>
    <t>5CBRZ43</t>
  </si>
  <si>
    <t>ZAPATO CICLIS CRANK BROTT95MEL01043A095M</t>
  </si>
  <si>
    <t>5CBRZ2R</t>
  </si>
  <si>
    <t>ZAPATO B/T10/MAS01020A100/MALLET SPEEDLA</t>
  </si>
  <si>
    <t>5ONZ041</t>
  </si>
  <si>
    <t>ZAP ON 3MF10070299 M 9.5 CLOUD 6 BL/WH</t>
  </si>
  <si>
    <t>5ON5482</t>
  </si>
  <si>
    <t>ZAPATO CLOUDMONSTER T: 9 M 61-97787 MIST</t>
  </si>
  <si>
    <t>B15A20F</t>
  </si>
  <si>
    <t>BICI 20 VIPER GTI FUCSIA GM-87-5</t>
  </si>
  <si>
    <t>B15A302</t>
  </si>
  <si>
    <t>BICI 24 SNAP NARANJA</t>
  </si>
  <si>
    <t>4MA0062</t>
  </si>
  <si>
    <t>PORTABICIS DE ENGANCHE MOMO BR001</t>
  </si>
  <si>
    <t>9LLB0S9</t>
  </si>
  <si>
    <t>"LLANTA KENDA P/BICI 20*2,25 K1041"</t>
  </si>
  <si>
    <t>9LLBL04</t>
  </si>
  <si>
    <t>LLANTA KENDA P/BICI 20X2.4 K1221</t>
  </si>
  <si>
    <t>9LLE02E</t>
  </si>
  <si>
    <t>ASIENTO WTB SILVE M/CRO W065-0579 NEGRO</t>
  </si>
  <si>
    <t>9LLE01O</t>
  </si>
  <si>
    <t>ASIENTO WTB ROCKET MEDIUM CROMOLY NEGRO</t>
  </si>
  <si>
    <t>B15A312</t>
  </si>
  <si>
    <t>BICI 12 RIDER RB ROJO</t>
  </si>
  <si>
    <t>B15412Y</t>
  </si>
  <si>
    <t>BICI 12 RIDER X3 AZUL-NARANJA</t>
  </si>
  <si>
    <t>5SKB014</t>
  </si>
  <si>
    <t>ZAP SKECHERS 117602TPE T:6 W BOB-PUR</t>
  </si>
  <si>
    <t>5SK0118</t>
  </si>
  <si>
    <t>ZAPATO SKECH W'S 8/149763 WHITE NAVY RED</t>
  </si>
  <si>
    <t>5ON5468</t>
  </si>
  <si>
    <t>ZAPATO CLOUD X3 T: 6 W 60-98097 IRON/FAD</t>
  </si>
  <si>
    <t>5ON5472</t>
  </si>
  <si>
    <t>ZAPATO CLOUD X3 T: 8 W 60-98097 IRON/FAD</t>
  </si>
  <si>
    <t>B15BA03</t>
  </si>
  <si>
    <t>BICI 12 BARBIE ROSADO 002</t>
  </si>
  <si>
    <t>B15BA02</t>
  </si>
  <si>
    <t>BICI 12 BARBIE CELESTE 001</t>
  </si>
  <si>
    <t>B1512M2</t>
  </si>
  <si>
    <t>BICI 12 ALCATRAZ JR ROJO NEGRO</t>
  </si>
  <si>
    <t>B1512M5</t>
  </si>
  <si>
    <t>BICI 12 ALCATRAZ JR NEGRO NARANJA</t>
  </si>
  <si>
    <t>B15AL66</t>
  </si>
  <si>
    <t>BICI 12 ALCATRAZ JR MORADO GM66-6</t>
  </si>
  <si>
    <t>B15AL64</t>
  </si>
  <si>
    <t>BICI 12 ALCATRAZ JR AZUL GM66-4</t>
  </si>
  <si>
    <t>5FIL121</t>
  </si>
  <si>
    <t>TOP SPORT W'S FILA M/FLAB-B-1521L GREY</t>
  </si>
  <si>
    <t>5FIL106</t>
  </si>
  <si>
    <t>TOP SPORT W'S FILA L/FLAB-B-1523L NAVY</t>
  </si>
  <si>
    <t>5LEA1F2</t>
  </si>
  <si>
    <t>HELMET MTB 1025105281 M GRAVITY 1.0 V25</t>
  </si>
  <si>
    <t>5LEA1F1</t>
  </si>
  <si>
    <t>HELMET MTB 1025105280 S GRAVITY 1.0 V25</t>
  </si>
  <si>
    <t>B15160C</t>
  </si>
  <si>
    <t>BICI MARIN 16 COAST TRAIL X TEAL/SILVER</t>
  </si>
  <si>
    <t>B15160A</t>
  </si>
  <si>
    <t>BICI MARIN 16 COAST TRAIL X SILVER/BLACK</t>
  </si>
  <si>
    <t>5LEAG2F</t>
  </si>
  <si>
    <t>GUANTE MOTO 1.5 JR US 7 AZ 6025450342</t>
  </si>
  <si>
    <t>4WTB00O</t>
  </si>
  <si>
    <t>VALVULA PRESTA ROJO W095-0006 34MM 2PCS</t>
  </si>
  <si>
    <t>4WTB00N</t>
  </si>
  <si>
    <t>VALVULA PRESTA VERDE W095-0049 34MM 2PCS</t>
  </si>
  <si>
    <t>9MMB0S4</t>
  </si>
  <si>
    <t>LLANTA KENDA P/BICI 20*2.40 K1164 BK</t>
  </si>
  <si>
    <t>9MMB0S0</t>
  </si>
  <si>
    <t>LLANTA P/BICICLETA 26*2.30 K905 BK</t>
  </si>
  <si>
    <t>B15MA01</t>
  </si>
  <si>
    <t>BICI  739088001 S TEAM MARIN 1 29 SOL-GR</t>
  </si>
  <si>
    <t>B15MA02</t>
  </si>
  <si>
    <t>BICI  739088002 M TEAM MARIN 1 29 SOL-GR</t>
  </si>
  <si>
    <t>5LD35DV</t>
  </si>
  <si>
    <t>CASCO BICICLETA NEGRO L(58-61CM)HB3-2</t>
  </si>
  <si>
    <t>5LD35CE</t>
  </si>
  <si>
    <t>CASCO BICI AZUL/NEGRO M(55-58CM)MV50 </t>
  </si>
  <si>
    <t>B15412R</t>
  </si>
  <si>
    <t>BICI 12" RIDER X-3 AZUL/AM</t>
  </si>
  <si>
    <t>B15412Q</t>
  </si>
  <si>
    <t>BICI 12" RIDER X-2 FUCSIA/NEG</t>
  </si>
  <si>
    <t>5LEAJ8U</t>
  </si>
  <si>
    <t>JERSEY PANTALON RIDE KIT 3.5 XL NEGRO 50</t>
  </si>
  <si>
    <t>5LEA171</t>
  </si>
  <si>
    <t>BUSO+PANTALON LEATT JR XL/5024080673 BLU</t>
  </si>
  <si>
    <t>5LD35CB</t>
  </si>
  <si>
    <t>CASCO BICI NEGRO/BLANCO M(54-58CM) MTV12</t>
  </si>
  <si>
    <t>5LD35C1</t>
  </si>
  <si>
    <t>CASCO PARA BICICLETA M(55-58CM) GTX MV29</t>
  </si>
  <si>
    <t>5LD35EM</t>
  </si>
  <si>
    <t>CASCO BICI AMARILLO/AZUL M(55-58CM)MV51</t>
  </si>
  <si>
    <t>5LD35FF</t>
  </si>
  <si>
    <t>CASCO BICICLETA NEGRO M(55-58CM)MV50</t>
  </si>
  <si>
    <t>5LD35EW</t>
  </si>
  <si>
    <t>CASCO BICICLETA NEGRO S(48-52CM) KS16</t>
  </si>
  <si>
    <t>B15A20C</t>
  </si>
  <si>
    <t>BICI 20 VIPER GTI GRIS</t>
  </si>
  <si>
    <t>B15A20G</t>
  </si>
  <si>
    <t>BICI 20 VIPER GTI NEGRO</t>
  </si>
  <si>
    <t>B15412B</t>
  </si>
  <si>
    <t>BICICLETA 12" RIDER X-2 FUCSIA/NEGRO</t>
  </si>
  <si>
    <t>B15412D</t>
  </si>
  <si>
    <t>BICICLETA 12" RIDER X-4 NEGRO/ROJO</t>
  </si>
  <si>
    <t>5LD3840</t>
  </si>
  <si>
    <t>GUANTE NEGRO GRIS M A1-09-6865</t>
  </si>
  <si>
    <t>5LD3803</t>
  </si>
  <si>
    <t>GUANTE NEGRO M A1-05-1457</t>
  </si>
  <si>
    <t>5LD35FJ</t>
  </si>
  <si>
    <t>CASCO BICI SONIC NIÑO S (48-52CM) KS16</t>
  </si>
  <si>
    <t>5LD35CC</t>
  </si>
  <si>
    <t>CASCO BICI NEGRO/BLANCO L(58-61CM) MTV12</t>
  </si>
  <si>
    <t>5SK0708</t>
  </si>
  <si>
    <t>ZAPATO 232921WBL7 MEN SLIP-INS BLANCO ME</t>
  </si>
  <si>
    <t>5LD35EX</t>
  </si>
  <si>
    <t>CASCO BICICLETA AZUL/NEGRO M(55-58)MV29 </t>
  </si>
  <si>
    <t>5LD35CL</t>
  </si>
  <si>
    <t>CASCO BICICLETA GTI HB3-2 M NEGRO</t>
  </si>
  <si>
    <t>B15BA08</t>
  </si>
  <si>
    <t>BICI 16 BARBIE ROSADO</t>
  </si>
  <si>
    <t>5LEA30Z</t>
  </si>
  <si>
    <t>CASCO MTB LEATT M/1024120591 SPINACH/TRA</t>
  </si>
  <si>
    <t>5LEA307</t>
  </si>
  <si>
    <t>CASCO MOTO 2.5 LEATT S/1024060541 RED V2</t>
  </si>
  <si>
    <t>5LEA006</t>
  </si>
  <si>
    <t>CASCO LEATT MTB M/1023015601 STEALTH/ALL</t>
  </si>
  <si>
    <t>5LEA011</t>
  </si>
  <si>
    <t>CASCO LEATT MTB M/1023015701 PISTACHIO/A</t>
  </si>
  <si>
    <t>B15BA06</t>
  </si>
  <si>
    <t>BICI 20 BARBIE BLANCO 005</t>
  </si>
  <si>
    <t>B15BA04</t>
  </si>
  <si>
    <t>BICI 16 BARBIE VERDE SUAVE 003</t>
  </si>
  <si>
    <t>BGI0191</t>
  </si>
  <si>
    <t>Talon 29 3 M Beeswax 1095010225</t>
  </si>
  <si>
    <t>BGI0190</t>
  </si>
  <si>
    <t>Talon 29 3 S Beeswax 1095010224</t>
  </si>
  <si>
    <t>5DYE003</t>
  </si>
  <si>
    <t>PEGATINA P/BICI OLD SCHOOL/DBF 11265</t>
  </si>
  <si>
    <t>5DYE015</t>
  </si>
  <si>
    <t>PEGATINA P/BICI ZEBRA/DBF 11257</t>
  </si>
  <si>
    <t>B15024K</t>
  </si>
  <si>
    <t>BICI 24`` SNAP BRILL NEGRO/NARANJA</t>
  </si>
  <si>
    <t>B15A241</t>
  </si>
  <si>
    <t>BICI 24 SNAP AMARILLO ROJO</t>
  </si>
  <si>
    <t>5LEA94A</t>
  </si>
  <si>
    <t>PROTEC RODILLA LEATT S-M/5017010100 CARB</t>
  </si>
  <si>
    <t>5LEA94E</t>
  </si>
  <si>
    <t>PROTEC RODILLA LEATT M/5021200101/X-FRAM</t>
  </si>
  <si>
    <t>4LL051E</t>
  </si>
  <si>
    <t>LLANTA ILK 245/70R16 LI 107 TRMX LSR1 AT</t>
  </si>
  <si>
    <t>1715</t>
  </si>
  <si>
    <t>4LL050X</t>
  </si>
  <si>
    <t>LLANTA ILK 195/65R15 LI 91 COMFORT68</t>
  </si>
  <si>
    <t>TPWMW013500971</t>
  </si>
  <si>
    <t>Dashboard assembly (12V)</t>
  </si>
  <si>
    <t>4LL051F</t>
  </si>
  <si>
    <t>LLANTA ILK 265/70R16 LI 112 TRMX LSR1 AT</t>
  </si>
  <si>
    <t>4LL050Z</t>
  </si>
  <si>
    <t>LLANTA ILK 195/60R16 LI 89 COMFORT68</t>
  </si>
  <si>
    <t>BANDA14PKJH6</t>
  </si>
  <si>
    <t>BANDA EXTERNA 14PK</t>
  </si>
  <si>
    <t>8103020BA01A</t>
  </si>
  <si>
    <t>COMPRESSOR ASSEMBLY</t>
  </si>
  <si>
    <t>B3501015BA01</t>
  </si>
  <si>
    <t>LEFT FRONT BRAKE PAD REPAIR KIT</t>
  </si>
  <si>
    <t>5001315B1554-C00</t>
  </si>
  <si>
    <t>REAR SUSP AIR SPRING - 5001315B1554-C00</t>
  </si>
  <si>
    <t>4LL051D</t>
  </si>
  <si>
    <t>LLANTA ILK 235/70R16 LI 106 TRMX LSR1 AT</t>
  </si>
  <si>
    <t>4LL051X</t>
  </si>
  <si>
    <t>LLANTA DURUN 175/70R13 A2000</t>
  </si>
  <si>
    <t>A030U369</t>
  </si>
  <si>
    <t>FILTRAR CONO SHANTUI A030U369</t>
  </si>
  <si>
    <t>1602300A70A</t>
  </si>
  <si>
    <t>CLUTCH BOOSTER PUMP AND COUPLING GROUP</t>
  </si>
  <si>
    <t>3711020-1063</t>
  </si>
  <si>
    <t>RH FRONT COMBINATION LAMP 3711020-1063</t>
  </si>
  <si>
    <t>1109060-DD051</t>
  </si>
  <si>
    <t>MAIN AIR FILTER ELEMENT - 1109060-DD051</t>
  </si>
  <si>
    <t>UBX5W30G</t>
  </si>
  <si>
    <t>FORMA SYNTHETIC 5W30 SN 6/1 - CAJA DE 6</t>
  </si>
  <si>
    <t>4LL050W</t>
  </si>
  <si>
    <t>LLANTA ILK 195/60R15 LI 88 COMFORT68</t>
  </si>
  <si>
    <t>TA975W80</t>
  </si>
  <si>
    <t>TRAXIUM AXLE 9 75W80</t>
  </si>
  <si>
    <t>1109070-20A-HY</t>
  </si>
  <si>
    <t>MAIN FILTER ELEMENT ASSEMBLY</t>
  </si>
  <si>
    <t>3972375</t>
  </si>
  <si>
    <t>BELT, V RIBBED - 3972375</t>
  </si>
  <si>
    <t>3716015-362</t>
  </si>
  <si>
    <t>LEFT REAR COMBINED LAMP - 3716015-362</t>
  </si>
  <si>
    <t>SQ99012340094</t>
  </si>
  <si>
    <t>SEAL OIL, LC300 (OUTER) - SQ99012340094</t>
  </si>
  <si>
    <t>1704755-A5K</t>
  </si>
  <si>
    <t>PRESSURE FILTER ELEMENT ASSEMBLY</t>
  </si>
  <si>
    <t>4LL1252</t>
  </si>
  <si>
    <t>LLANTA DURUN 165/65R13 T90A HG918</t>
  </si>
  <si>
    <t>3972375F</t>
  </si>
  <si>
    <t>BELT V RIBBED</t>
  </si>
  <si>
    <t>1000889414</t>
  </si>
  <si>
    <t>FUEL SECONDARY FILTER - 1000889414</t>
  </si>
  <si>
    <t>LRCA002</t>
  </si>
  <si>
    <t>COOLELF  ORGANIC GALON</t>
  </si>
  <si>
    <t>2803731B1063-MD</t>
  </si>
  <si>
    <t>FRONT BUMPER MIDDLE SPOILER  - 2803731B1</t>
  </si>
  <si>
    <t>2803721B1063-P1</t>
  </si>
  <si>
    <t>FRONT BUMPER LEFT SPOILER 2803721B1063-P</t>
  </si>
  <si>
    <t>1109070-20A</t>
  </si>
  <si>
    <t>MAIN AIR FILTER ELEMENT - 1109070-20A</t>
  </si>
  <si>
    <t>1006MC35G</t>
  </si>
  <si>
    <t>Contrapeso MC 35g 1 1/4 OZ</t>
  </si>
  <si>
    <t>5206015AA20</t>
  </si>
  <si>
    <t>FR WINDSHIELD SEAL STRIP - 5206015AA20</t>
  </si>
  <si>
    <t>5103211-Q491-MD</t>
  </si>
  <si>
    <t>FRONT DECORATIVE COVER OF LEFT FIRST STE</t>
  </si>
  <si>
    <t>9OILH68</t>
  </si>
  <si>
    <t>GULF HARMONY 68 AW</t>
  </si>
  <si>
    <t>RO15W40</t>
  </si>
  <si>
    <t>RUBIA OPTIMA 1100 15W40</t>
  </si>
  <si>
    <t>C4989106</t>
  </si>
  <si>
    <t>Fuel filter</t>
  </si>
  <si>
    <t>1006CONT028G</t>
  </si>
  <si>
    <t>CONTRAPESO MC 28g</t>
  </si>
  <si>
    <t>GCEP2</t>
  </si>
  <si>
    <t>GULF CROWN EP2</t>
  </si>
  <si>
    <t>1105010-DD051-A</t>
  </si>
  <si>
    <t>FUEL FILTER ELEMENT</t>
  </si>
  <si>
    <t>1000428205</t>
  </si>
  <si>
    <t>SPIN-ON CARTRIDGE LUBRICATING OIL  FILTE</t>
  </si>
  <si>
    <t>1105050-DP170</t>
  </si>
  <si>
    <t>FUEL COARSE FILTER - 1105050-DP170</t>
  </si>
  <si>
    <t>1006PS7G12</t>
  </si>
  <si>
    <t>PESA ADHESIVA FE 7g*12 (1/4oz*12)</t>
  </si>
  <si>
    <t>MR85-1701360A1</t>
  </si>
  <si>
    <t>SPEED SENSOR</t>
  </si>
  <si>
    <t>1071100</t>
  </si>
  <si>
    <t>CEMENTO VERMAR PARA PARCHES</t>
  </si>
  <si>
    <t>X4063BN</t>
  </si>
  <si>
    <t>PLUMILLA BOSCH AEROFIT 22" 3397006896</t>
  </si>
  <si>
    <t>3716015-DR052</t>
  </si>
  <si>
    <t>LEFT REAR COMBINED LAMP - 3716015-DR052</t>
  </si>
  <si>
    <t>7903010-D539E</t>
  </si>
  <si>
    <t>ANTENNA ASSEMBLY *</t>
  </si>
  <si>
    <t>X40605D</t>
  </si>
  <si>
    <t>ACEITE MOTOR DIESEL URSA PREM TDX 15W40</t>
  </si>
  <si>
    <t>W3104045B01D</t>
  </si>
  <si>
    <t>OIL SEAL OF REAR HUB - W3104045B01D</t>
  </si>
  <si>
    <t>13055724</t>
  </si>
  <si>
    <t>OIL FILTER ELEMENT - 13055724</t>
  </si>
  <si>
    <t>X4063B8</t>
  </si>
  <si>
    <t>PLUMA ECO BOSCH 19" 397 004 915</t>
  </si>
  <si>
    <t>5403021-E18</t>
  </si>
  <si>
    <t>WINDOW GLASS</t>
  </si>
  <si>
    <t>4LU0043C</t>
  </si>
  <si>
    <t>GULF MAX GDI SAE 10W30 12/1 14600</t>
  </si>
  <si>
    <t>4LU0043B</t>
  </si>
  <si>
    <t>Gulf Max GDI 20w50 14700 1L</t>
  </si>
  <si>
    <t>4LU0VAL</t>
  </si>
  <si>
    <t>VALVULA AUTO-CAM TR413(VAC001)</t>
  </si>
  <si>
    <t>4P4500E</t>
  </si>
  <si>
    <t>ESPUMA PARA LLANTA LEMON 650ML 65X158MM</t>
  </si>
  <si>
    <t>5103351-E98A</t>
  </si>
  <si>
    <t>REAR LOWER SOFT PLASTIC BAFFLE</t>
  </si>
  <si>
    <t>X40A00H</t>
  </si>
  <si>
    <t>FILTRO DE ACEITE SHOGUAN CHEVROLET SAIL</t>
  </si>
  <si>
    <t>GB/T9877-FB</t>
  </si>
  <si>
    <t>SEAL, OIL - GB/T9877-FB60X90X12</t>
  </si>
  <si>
    <t>Q5004030</t>
  </si>
  <si>
    <t>SPLIT PIN - Q5004030</t>
  </si>
  <si>
    <t>3539010-DR050</t>
  </si>
  <si>
    <t>VACUUM BOOSTER WITH BRAKE MASTER CYLINDE</t>
  </si>
  <si>
    <t>8103020BK01C</t>
  </si>
  <si>
    <t>AIR CONDITIONING COMPRESSOR ASSEMBLY</t>
  </si>
  <si>
    <t>3711015-1063</t>
  </si>
  <si>
    <t>LH FRONT COMBINATION LAMP 3711015-1063</t>
  </si>
  <si>
    <t>612640060176</t>
  </si>
  <si>
    <t>POLY V BELT 612640060176</t>
  </si>
  <si>
    <t>2902010-DR052</t>
  </si>
  <si>
    <t>LEFT FRONT LEAF SPRING ASSEMBLY</t>
  </si>
  <si>
    <t>1105010-DD051</t>
  </si>
  <si>
    <t>FUEL PRE-FILTER - 1105010-DD051</t>
  </si>
  <si>
    <t>8202015BA95-C00</t>
  </si>
  <si>
    <t>LH OUTER REARVIEW MIRROR ASSEMBLY - 8202</t>
  </si>
  <si>
    <t>AF26433</t>
  </si>
  <si>
    <t>MAIN AIR FILTER ELEMENT - AF26433</t>
  </si>
  <si>
    <t>C5310808</t>
  </si>
  <si>
    <t>9FLUD3C</t>
  </si>
  <si>
    <t>FLUIDMATIC DIII MV</t>
  </si>
  <si>
    <t>3732015-DR100</t>
  </si>
  <si>
    <t>LEFT FRONT FOG LAMP - 3732015-DR100</t>
  </si>
  <si>
    <t>AF26434</t>
  </si>
  <si>
    <t>SAFETY AIR FILTER ELEMENT - AF26434</t>
  </si>
  <si>
    <t>1000491060</t>
  </si>
  <si>
    <t>OIL FILTER ELEMENT - 1000491060</t>
  </si>
  <si>
    <t>TA80W90GL4</t>
  </si>
  <si>
    <t>TRANSTEC 4 SAE 80W90 GL-4</t>
  </si>
  <si>
    <t>1455-82-00024</t>
  </si>
  <si>
    <t>REPUESTO SHANTUI</t>
  </si>
  <si>
    <t>1455-82-00026</t>
  </si>
  <si>
    <t>X4063BL</t>
  </si>
  <si>
    <t>PLUMILLA BOSCH AEROFIT 19" 3397006893</t>
  </si>
  <si>
    <t>TA85W140</t>
  </si>
  <si>
    <t>TRAXIUM AXLE 7 85W140</t>
  </si>
  <si>
    <t>X4063B6</t>
  </si>
  <si>
    <t>PLUMA ECO BOSCH 22"3 397 004 918</t>
  </si>
  <si>
    <t>3408015-716</t>
  </si>
  <si>
    <t>FILTER ELEMENT - 3408015-716</t>
  </si>
  <si>
    <t>TA80W90</t>
  </si>
  <si>
    <t>TRAXIUM AXLE 7 80W90</t>
  </si>
  <si>
    <t>XSEM01C</t>
  </si>
  <si>
    <t>FILTRO DE ACEITE FMX LF3593AFMX</t>
  </si>
  <si>
    <t>J233-78A-051000</t>
  </si>
  <si>
    <t>FILTRO DE VALVULA DE RESPIRACION SHANTUI</t>
  </si>
  <si>
    <t>Mal estado</t>
  </si>
  <si>
    <t>SR2107</t>
  </si>
  <si>
    <t>FILTRO AIRE DUMPER</t>
  </si>
  <si>
    <t>5MONMO8</t>
  </si>
  <si>
    <t>MOCHILA MONSTER LSB10956B</t>
  </si>
  <si>
    <t>5MONT0N</t>
  </si>
  <si>
    <t>BARRA SONIDO + SUBWOOFER MONSTER US01</t>
  </si>
  <si>
    <t>4C40701</t>
  </si>
  <si>
    <t>CERRA DIGITAL RCA XG-SNML10</t>
  </si>
  <si>
    <t>5MONMO6</t>
  </si>
  <si>
    <t>MOCHILA MONSTER LSB10895-1</t>
  </si>
  <si>
    <t>5RCA51D</t>
  </si>
  <si>
    <t>AUDIFONOS RCA/TWS21-A/BLANCO</t>
  </si>
  <si>
    <t>5RCA55F</t>
  </si>
  <si>
    <t>TECLADO RCA/MK510</t>
  </si>
  <si>
    <t>5MONT65</t>
  </si>
  <si>
    <t>AUX WIRELESS AUDIO MONSTER K-C28Z</t>
  </si>
  <si>
    <t>5D1021A</t>
  </si>
  <si>
    <t>DISPENSADOR DE AGUA TCL TYLDR32W</t>
  </si>
  <si>
    <t>4R920D5</t>
  </si>
  <si>
    <t>FOCO LED 50LM/W 3000K/9W RCA E27</t>
  </si>
  <si>
    <t>5RCL005</t>
  </si>
  <si>
    <t>LAVADORA AUTOMATICA RCA 18KG XQB180-A56</t>
  </si>
  <si>
    <t>5TCLL06</t>
  </si>
  <si>
    <t>LAVADORA AUTOMATICA TCL 18KG TWA180118UT</t>
  </si>
  <si>
    <t>4R920D6</t>
  </si>
  <si>
    <t>FOCO LED 52.5LM/W 6500K/12W RCA E27</t>
  </si>
  <si>
    <t>4R920D7</t>
  </si>
  <si>
    <t>FOCO LED 52.5LM/W 3000K/12W RCA E27</t>
  </si>
  <si>
    <t>X5CQ0EA</t>
  </si>
  <si>
    <t>MEMORIA MICRO SD HIKVISION 8GB CLASE 10</t>
  </si>
  <si>
    <t>X5CQ08Y</t>
  </si>
  <si>
    <t>MEMORIA MICRO SD HIKVISION 16GB CLASE 10</t>
  </si>
  <si>
    <t>5RCA510</t>
  </si>
  <si>
    <t>AUDIFONOS RCATWS29BLANCO</t>
  </si>
  <si>
    <t>5RCA51A</t>
  </si>
  <si>
    <t>AUDIFONOS RCA/TWS123</t>
  </si>
  <si>
    <t>5MONT16</t>
  </si>
  <si>
    <t>RELOJ SMART MONSTER/AM07 BLACK/GREEN</t>
  </si>
  <si>
    <t>5RCA207</t>
  </si>
  <si>
    <t>LUCES RGB RCA-207 WIFI LED 5M</t>
  </si>
  <si>
    <t>5MONS11</t>
  </si>
  <si>
    <t>CONTROL REMOTO UNIVERSAL MONSTER</t>
  </si>
  <si>
    <t>5HP010C</t>
  </si>
  <si>
    <t>AUDIFONOS HP DHH-1111-WT/BLANCO</t>
  </si>
  <si>
    <t>5MONT0S</t>
  </si>
  <si>
    <t>CABLE MONSTER TIPO USB-A A LIGHT/RL3103</t>
  </si>
  <si>
    <t>5RCP005</t>
  </si>
  <si>
    <t>PILA AAA RCA LR03-4B 4PZS</t>
  </si>
  <si>
    <t>5RCA51G</t>
  </si>
  <si>
    <t>AUDIFONOS RCA/K1 ANC NEGRO</t>
  </si>
  <si>
    <t>5MONT0M</t>
  </si>
  <si>
    <t>BARRA DE SONIDO MONSTER ES13</t>
  </si>
  <si>
    <t>5RCA517</t>
  </si>
  <si>
    <t>AUDIFONOS RCA/SH2/FUN KIDS/AZUL</t>
  </si>
  <si>
    <t>5RCA51C</t>
  </si>
  <si>
    <t>AUDIFONOS RCA/SH2/FUN KIDS/ROSADO</t>
  </si>
  <si>
    <t>X5CQ07YH</t>
  </si>
  <si>
    <t>MEMORIA C141 USB 2.0 32GB YELLOW</t>
  </si>
  <si>
    <t>X5CQ07YG</t>
  </si>
  <si>
    <t>MEMORIA C141 USB 2.0 16GB BLUE</t>
  </si>
  <si>
    <t>5RCAM07</t>
  </si>
  <si>
    <t>MICROONDAS RCA 30LT SILVER WINDOW DOOR</t>
  </si>
  <si>
    <t>5RCAM08</t>
  </si>
  <si>
    <t>MICROONDAS RCA 30LT BLACK WINDOW DOOR</t>
  </si>
  <si>
    <t>7T10982A</t>
  </si>
  <si>
    <t>TELEVISOR QLED 43S5K</t>
  </si>
  <si>
    <t>7T10983A</t>
  </si>
  <si>
    <t>TELEVISOR GOOGLE TV 4K 43V6C</t>
  </si>
  <si>
    <t>5RC3181</t>
  </si>
  <si>
    <t>CALEFON A GAS RCA 10LT HS-610</t>
  </si>
  <si>
    <t>5RC3182</t>
  </si>
  <si>
    <t>CALEFON A GAS RCA 20LT HS-620</t>
  </si>
  <si>
    <t>5H0006G</t>
  </si>
  <si>
    <t>LICUAD VASO D/PLASTICO 50161N/50166 HB B</t>
  </si>
  <si>
    <t>5H0010W</t>
  </si>
  <si>
    <t>LICUADORA PROCTOR SILEX BL 4.4 58130PS</t>
  </si>
  <si>
    <t>5RCP004</t>
  </si>
  <si>
    <t>PILA AA RCA LR6-2B 2PZS</t>
  </si>
  <si>
    <t>5RCP006</t>
  </si>
  <si>
    <t>PILA AAA RCA LR03-2B 2PZS</t>
  </si>
  <si>
    <t>5RCP010</t>
  </si>
  <si>
    <t>COMBO PILA RCA AA4+AA2 6PCS</t>
  </si>
  <si>
    <t>5RCP011</t>
  </si>
  <si>
    <t>COMBO PILA RCA AAA4+AAA2 6PCS</t>
  </si>
  <si>
    <t>5RCA538</t>
  </si>
  <si>
    <t>RELOJ SMART RCA/LINK BLACK/BLACK</t>
  </si>
  <si>
    <t>5RCA532</t>
  </si>
  <si>
    <t>RELOJ SMART RCA/TEMPO BLACK/BLACK</t>
  </si>
  <si>
    <t>5RCA552</t>
  </si>
  <si>
    <t>TECLADO RCA USB MULTIMEDIA/GAMING/MK5</t>
  </si>
  <si>
    <t>5RCA555</t>
  </si>
  <si>
    <t>MOUSE RCA P/GAMING/X139</t>
  </si>
  <si>
    <t>7T10981A</t>
  </si>
  <si>
    <t>TELEVISOR QLED 32S5K</t>
  </si>
  <si>
    <t>7T10967A</t>
  </si>
  <si>
    <t>TELEVISOR 32S5400AF CBU</t>
  </si>
  <si>
    <t>5RCA53I</t>
  </si>
  <si>
    <t>TABLET ONE PLUS RCA 10.1/4GB+128GB/5+8MB</t>
  </si>
  <si>
    <t>5RCA53H</t>
  </si>
  <si>
    <t>TABLET ONE RCA 10.1/4GB+64GB/2+5MB</t>
  </si>
  <si>
    <t>Defecto de fábrica</t>
  </si>
  <si>
    <t>5LAP000</t>
  </si>
  <si>
    <t>LAPTOP TK-E140/14"/N3350</t>
  </si>
  <si>
    <t>5MON004</t>
  </si>
  <si>
    <t>HAZ LUZ LED MONS IR RGB 12" MLB71090RGB</t>
  </si>
  <si>
    <t>53HSR95</t>
  </si>
  <si>
    <t>PARLANTE/BLUETOOTH/
RCA/B348/DISCO</t>
  </si>
  <si>
    <t>7T10942A</t>
  </si>
  <si>
    <t>QLED TV MINI LED TCL
55C825</t>
  </si>
  <si>
    <t>CELULAA</t>
  </si>
  <si>
    <t xml:space="preserve">CELULAR TCL 30SE/6165
A1/GRIS </t>
  </si>
  <si>
    <t>5SC1003</t>
  </si>
  <si>
    <t>ESCOOTER 10" RB-2RTEEN10-78-500</t>
  </si>
  <si>
    <t>CELULAF</t>
  </si>
  <si>
    <t>CELULAR T509A GRIS 128GB+8GB</t>
  </si>
  <si>
    <t>3REP00N</t>
  </si>
  <si>
    <t>FILTRO DE ACEITE</t>
  </si>
  <si>
    <t>3REP1IO</t>
  </si>
  <si>
    <t>ESPIGA V 85TT TUAREG AP8150491</t>
  </si>
  <si>
    <t>3REP0I1</t>
  </si>
  <si>
    <t>ARANDELA EMBRAGUE APRILIA 660 1A018701</t>
  </si>
  <si>
    <t>5LEAG07</t>
  </si>
  <si>
    <t>GUANTE LEATT L/6023046102 CAMO/1.0 GRIPR</t>
  </si>
  <si>
    <t>5LEAG0T</t>
  </si>
  <si>
    <t>GUANTE LEATT L/6023045052 JADE/4.0 LITE</t>
  </si>
  <si>
    <t>5LEAG20</t>
  </si>
  <si>
    <t>GUANTE LEATT JR L/6023046602 FLAME/1.0 G</t>
  </si>
  <si>
    <t>5LEAG2O</t>
  </si>
  <si>
    <t>GUANTE MOTO 1.5 JR US8 NEGRO 6024090382</t>
  </si>
  <si>
    <t>5LEA0G5</t>
  </si>
  <si>
    <t>GUANTE 5.5 #S/EU7/US8 STEALTH 6025101681</t>
  </si>
  <si>
    <t>5LEA0G3</t>
  </si>
  <si>
    <t>GUANTE 5.5 #M/EU8/US9 STEALTH 6025101682</t>
  </si>
  <si>
    <t>2KCCO03</t>
  </si>
  <si>
    <t>COBERTOR KC 21/2PLZ</t>
  </si>
  <si>
    <t>2KCSB02</t>
  </si>
  <si>
    <t>SABANA KC 2PLZ</t>
  </si>
  <si>
    <t>2KCSB16</t>
  </si>
  <si>
    <t>SABANA KC GRIS 2PL</t>
  </si>
  <si>
    <t>5LAM01O</t>
  </si>
  <si>
    <t>LAMPARA DE VELADOR JT2778</t>
  </si>
  <si>
    <t>5ACBA3S</t>
  </si>
  <si>
    <t>TAZA DE BAÑO RESIN-24-0219</t>
  </si>
  <si>
    <t>5ACBA3U</t>
  </si>
  <si>
    <t>DISPENSADOR DE JABON RESIN-24-7010</t>
  </si>
  <si>
    <t>5ACBA3R</t>
  </si>
  <si>
    <t>DISPENSADOR DE JABON RESIN-24-0219</t>
  </si>
  <si>
    <t>5VELNA8</t>
  </si>
  <si>
    <t>VELA DECORATIVA NAUTICA HJC0519-09</t>
  </si>
  <si>
    <t>2CKC003</t>
  </si>
  <si>
    <t>COJIN NAVIDEÑO KC 45*45</t>
  </si>
  <si>
    <t>3AN0004</t>
  </si>
  <si>
    <t>ALMOHADA PREMIUM MEDIUM FIRM 45X75</t>
  </si>
  <si>
    <t>2KCC002</t>
  </si>
  <si>
    <t>COBERTOR KC 2 PLAZAS</t>
  </si>
  <si>
    <t>2CKC002</t>
  </si>
  <si>
    <t>COJIN KC 30*50</t>
  </si>
  <si>
    <t>2AUA002</t>
  </si>
  <si>
    <t>ALF ULTRA ABSORBENTE N5 40X60CM</t>
  </si>
  <si>
    <t>2CMKC03</t>
  </si>
  <si>
    <t>CAMINO DE MESA KC 45CMX250CM</t>
  </si>
  <si>
    <t>2TFS610</t>
  </si>
  <si>
    <t>ALFOMBRA DISEÑO A  120X170 CM</t>
  </si>
  <si>
    <t>5ALFO00</t>
  </si>
  <si>
    <t>ALFOMBRA DECORAT IVORY 160X230CM</t>
  </si>
  <si>
    <t>5ALFO0C</t>
  </si>
  <si>
    <t>ALFOMBRA TOUCH TOU 400 GRAPHITE 80X150CM</t>
  </si>
  <si>
    <t>5ALFO0A</t>
  </si>
  <si>
    <t>ALFOMBRA PARIS PRS 502 TAUPE 80X150CM</t>
  </si>
  <si>
    <t>3AN0005</t>
  </si>
  <si>
    <t>ALMOHADA CERVICAL PREMIUM 40X60</t>
  </si>
  <si>
    <t>3AN0002</t>
  </si>
  <si>
    <t>ALMOHADA AQUA DREAM SOFT 45X75</t>
  </si>
  <si>
    <t>2KCSB24</t>
  </si>
  <si>
    <t>SABANA KC GRIS 21/2PL</t>
  </si>
  <si>
    <t>2KCSB03</t>
  </si>
  <si>
    <t>SABANA KC 21/2PLZ</t>
  </si>
  <si>
    <t>3CN0001</t>
  </si>
  <si>
    <t>NAUTICA AIR FIRM 135X190X36</t>
  </si>
  <si>
    <t>3CN0005</t>
  </si>
  <si>
    <t>NAUTICA AIR MEDIUM FIRM 135X190X36</t>
  </si>
  <si>
    <t>3CN0020</t>
  </si>
  <si>
    <t>NAUTICA PREMIUM SOFT 105X190X30</t>
  </si>
  <si>
    <t>3CN0024</t>
  </si>
  <si>
    <t>NAUTICA PREMIUM MEDIUM FIRM 105X190X30</t>
  </si>
  <si>
    <t>2AC0055</t>
  </si>
  <si>
    <t>ALF ANTIFATIGA JWF2-273 45X120CM 8MM</t>
  </si>
  <si>
    <t>2AC0053</t>
  </si>
  <si>
    <t>ALF ANTIFATIGA JWF-56 45X120CM 8MM</t>
  </si>
  <si>
    <t>2AC0054</t>
  </si>
  <si>
    <t>ALF ANTIFATIGA JWF2-273 45X75CM 8MM</t>
  </si>
  <si>
    <t>2AC0052</t>
  </si>
  <si>
    <t>ALF ANTIFATIGA JWF-56 45X75CM 8MM</t>
  </si>
  <si>
    <t>2KCCO01</t>
  </si>
  <si>
    <t>COBERTOR KC 11/2PLZ</t>
  </si>
  <si>
    <t>2KCC001</t>
  </si>
  <si>
    <t>COBERTOR KC 1 1/2PLAZA</t>
  </si>
  <si>
    <t>2KCC003</t>
  </si>
  <si>
    <t>COBERTOR KC 2 1/2 PLAZAS</t>
  </si>
  <si>
    <t>2KCCO02</t>
  </si>
  <si>
    <t>COBERTOR KC 2PLZ</t>
  </si>
  <si>
    <t>2KCC004</t>
  </si>
  <si>
    <t>COBERTOR KC 3 PLAZAS</t>
  </si>
  <si>
    <t>2KCCO04</t>
  </si>
  <si>
    <t>COBERTOR KC 3PLZ</t>
  </si>
  <si>
    <t>2SBKC02</t>
  </si>
  <si>
    <t>SABANA KC 2 PLAZAS</t>
  </si>
  <si>
    <t>2KCTO02</t>
  </si>
  <si>
    <t>TOALLA KC 550G 70X140 GRIS</t>
  </si>
  <si>
    <t>2KCTO01</t>
  </si>
  <si>
    <t>TOALLA KC 550G 70X140 BLANCO</t>
  </si>
  <si>
    <t>3NHA008</t>
  </si>
  <si>
    <t>ALF MULTIUSOS YR048 50X80CM BEIGE</t>
  </si>
  <si>
    <t>3NHA006</t>
  </si>
  <si>
    <t>ALF MULTIUSOS YR048 50X80CM BLANCA</t>
  </si>
  <si>
    <t>2KCSB35</t>
  </si>
  <si>
    <t>SABANA KC VERDE PISTACHO 3PL</t>
  </si>
  <si>
    <t>2KCSB30</t>
  </si>
  <si>
    <t>SABANA KC BEIGE 3PL</t>
  </si>
  <si>
    <t>2KCSB23</t>
  </si>
  <si>
    <t>SABANA KC A. MARINO 21/2PL</t>
  </si>
  <si>
    <t>2KCSB21</t>
  </si>
  <si>
    <t>SABANA KC BLANCO 21/2PL</t>
  </si>
  <si>
    <t>2KCSB26</t>
  </si>
  <si>
    <t>SABANA KC ROSADO 21/2PL</t>
  </si>
  <si>
    <t>2KCSB28</t>
  </si>
  <si>
    <t>SABANA KC NUEZ 21/2PL</t>
  </si>
  <si>
    <t>5VELNA0</t>
  </si>
  <si>
    <t>VELA DECORATIVA NAUTICA HJC0519-01</t>
  </si>
  <si>
    <t>5VELNA7</t>
  </si>
  <si>
    <t>VELA DECORATIVA NAUTICA HJC0519-08</t>
  </si>
  <si>
    <t>5VELNA1</t>
  </si>
  <si>
    <t>VELA DECORATIVA NAUTICA HJC0519-02</t>
  </si>
  <si>
    <t>5VELNA6</t>
  </si>
  <si>
    <t>VELA DECORATIVA NAUTICA HJC0519-07</t>
  </si>
  <si>
    <t>3FN0004</t>
  </si>
  <si>
    <t>PROTECTOR COMFORT COOL  3 PLZ</t>
  </si>
  <si>
    <t>3FN0003</t>
  </si>
  <si>
    <t>PROTECTOR COMFORT COOL  2 1/2 PLZ</t>
  </si>
  <si>
    <t>3AN0001</t>
  </si>
  <si>
    <t>ALMOHADA AQUA DREAM SOFT 45X65</t>
  </si>
  <si>
    <t>2COKC03</t>
  </si>
  <si>
    <t>COBIJA KC 21/2 PLZ</t>
  </si>
  <si>
    <t>2COKC02</t>
  </si>
  <si>
    <t>COBIJA KC 2 PLZ</t>
  </si>
  <si>
    <t>3SBD013</t>
  </si>
  <si>
    <t>SUPER BOX-CAMA DINAST100X200CM GOB 2CUER</t>
  </si>
  <si>
    <t>3SBD017</t>
  </si>
  <si>
    <t>SUPER BOX-CAMA PERFECTION 100X200CM 2CUE</t>
  </si>
  <si>
    <t>2TFS500</t>
  </si>
  <si>
    <t>ALFOMBRA DISEÑO 1  120X170 CM</t>
  </si>
  <si>
    <t>2TFS614</t>
  </si>
  <si>
    <t>ALFOMBRA DISEÑO E  120X170 CM</t>
  </si>
  <si>
    <t>5ACBA3L</t>
  </si>
  <si>
    <t>TAZA DE BAÑO CERAMIC-24-0021</t>
  </si>
  <si>
    <t>5RUP147</t>
  </si>
  <si>
    <t>CASCO RUDY HL750031 S-M/VOLANTIS YELLOW</t>
  </si>
  <si>
    <t>B15AL74</t>
  </si>
  <si>
    <t>BICI 12 ALCATRAZ JR X NEGRO VERDE GM67-4</t>
  </si>
  <si>
    <t>5OAKD23</t>
  </si>
  <si>
    <t>GORRA 02ES/M FOS900832 GOLF CRESTING TRU</t>
  </si>
  <si>
    <t>5GIA302</t>
  </si>
  <si>
    <t>LIV SUPERA DOUBLE LOCK-PURPLE 190000125</t>
  </si>
  <si>
    <t>X9000Z4</t>
  </si>
  <si>
    <t>ZAPATAS SHIMANO METALICA /VENT J04C DEOR</t>
  </si>
  <si>
    <t>BGI0371</t>
  </si>
  <si>
    <t>Thru axle 91221G9026S1K</t>
  </si>
  <si>
    <t>4GIA031</t>
  </si>
  <si>
    <t>PORTACARAMANOLA LIV PROWAY 490000065</t>
  </si>
  <si>
    <t>4GIA02A</t>
  </si>
  <si>
    <t>GIANT PORTACARAMANOLA ARX 490000145</t>
  </si>
  <si>
    <t>BGI0262</t>
  </si>
  <si>
    <t>Bracket 1159-RE2660-001</t>
  </si>
  <si>
    <t>4GIA01I</t>
  </si>
  <si>
    <t>GIANT REPUESTO DROPOUT TALON 1159</t>
  </si>
  <si>
    <t>9TUB009</t>
  </si>
  <si>
    <t>TUBO KENDA P/BICI 700*23/25C F/V NI</t>
  </si>
  <si>
    <t>BGI0142</t>
  </si>
  <si>
    <t>H.Bar_Parts 1320-STOPPE-0001</t>
  </si>
  <si>
    <t>5RUP174</t>
  </si>
  <si>
    <t>GAFAS /SP894233-N000 TURBOLENCE CRYSTAL</t>
  </si>
  <si>
    <t>B15A168</t>
  </si>
  <si>
    <t>BICI 16 GLAM NINA CYAN</t>
  </si>
  <si>
    <t>5ALPE20</t>
  </si>
  <si>
    <t>BUSO C/CAPUCHA ALP 1213-51070 M 3171 WRM</t>
  </si>
  <si>
    <t>5LEA2P1</t>
  </si>
  <si>
    <t>LEG WARMER 5025202113 S SLEEVE PAIR #S</t>
  </si>
  <si>
    <t>CALENTADOR D/PIERNAS LG/AMARIL/S 1083113</t>
  </si>
  <si>
    <t>5APG698</t>
  </si>
  <si>
    <t>ALE MEDIAS M L23183401-03 Negro</t>
  </si>
  <si>
    <t>4GIA080</t>
  </si>
  <si>
    <t>CREST 29" 91221G9017S1K</t>
  </si>
  <si>
    <t>4GIA091</t>
  </si>
  <si>
    <t>CREST 34 OD34 WIPER 91234WIPERA1K</t>
  </si>
  <si>
    <t>X912K3NA</t>
  </si>
  <si>
    <t>ELECTROLYTES STICKS - FRUTOS SILVESTRES</t>
  </si>
  <si>
    <t>5LD3855</t>
  </si>
  <si>
    <t>GUANTE NEGRO FUCSIA L A1-05- 1617</t>
  </si>
  <si>
    <t>X91006KH</t>
  </si>
  <si>
    <t>MAGNESIO LIQUIDO GOLDNUTRITION</t>
  </si>
  <si>
    <t>B150010</t>
  </si>
  <si>
    <t>REV D BUSHING/110000/MARIN</t>
  </si>
  <si>
    <t>B150013</t>
  </si>
  <si>
    <t>METAL SPHERICAL BUSH/HEADSET NO76/741469</t>
  </si>
  <si>
    <t>5DTY103</t>
  </si>
  <si>
    <t>PEDAL DEITY/26-DF TRP-BL/DEFTRAP BLUE</t>
  </si>
  <si>
    <t>5DTY102</t>
  </si>
  <si>
    <t>PEDAL DEITY/26-DF TRP-PU/DEFTRAP PURPLE</t>
  </si>
  <si>
    <t>5DTY104</t>
  </si>
  <si>
    <t>PEDAL DEITY/26-DF TRP-OR/DEFTRAP ORANGE</t>
  </si>
  <si>
    <t>5DYE007</t>
  </si>
  <si>
    <t>PEGATINA P/BICI LIGHTNING/DBF 11272</t>
  </si>
  <si>
    <t>5LEA2R7</t>
  </si>
  <si>
    <t>T-SHIRT CORE 5025700120 S #S/US38/EU48 N</t>
  </si>
  <si>
    <t>5LEA2R8</t>
  </si>
  <si>
    <t>T-SHIRT CORE 5025700121 M #M/US40/EU50 N</t>
  </si>
  <si>
    <t>5LEA8AV</t>
  </si>
  <si>
    <t>ZAPATO CICLIS LEATT 8/3024320362 SKULL/F</t>
  </si>
  <si>
    <t>5LEA8AU</t>
  </si>
  <si>
    <t>ZAPATO CICLIS LEATT 7/3024320361 SKULL/F</t>
  </si>
  <si>
    <t>5LGAS07</t>
  </si>
  <si>
    <t>SHORT LG OPTIMUM DAMA NEGRO T-S 10500240</t>
  </si>
  <si>
    <t>5LGAS15</t>
  </si>
  <si>
    <t>SHORT LG OPTIMUM NEGRO T-M 1050024</t>
  </si>
  <si>
    <t>5OAK857</t>
  </si>
  <si>
    <t>ARO5 RACE FOS900927 BLANCO MATE/11B/L</t>
  </si>
  <si>
    <t>5OAK858</t>
  </si>
  <si>
    <t>ARO5 RACE FOS900927 BLANCO MATE/11B/M</t>
  </si>
  <si>
    <t>5OAKG02</t>
  </si>
  <si>
    <t>GORRA OAKLEY FOS900876 9LPL/XL CADENCE R</t>
  </si>
  <si>
    <t>5OAKG03</t>
  </si>
  <si>
    <t>GORRA OAKLEY FOS900876 9LPS/M CADENCE RO</t>
  </si>
  <si>
    <t>B15AL65</t>
  </si>
  <si>
    <t>BICI 12 ALCATRAZ JR ROSADO GM66-5</t>
  </si>
  <si>
    <t>B15MAD5</t>
  </si>
  <si>
    <t>BICI MADROCK 26 GRIS NEGRO 610</t>
  </si>
  <si>
    <t>B15MAD4</t>
  </si>
  <si>
    <t>BICI MADROCK 26 ROJO NEGRO 609</t>
  </si>
  <si>
    <t>BZAP045</t>
  </si>
  <si>
    <t>ZAPATOS CICLISMO MARIN 44 MV720 RAMPAGE</t>
  </si>
  <si>
    <t>BZAP044</t>
  </si>
  <si>
    <t>ZAPATOS CICLISMO MARIN 43 MV720 RAMPAGE</t>
  </si>
  <si>
    <t>4SCH00I</t>
  </si>
  <si>
    <t>LLAN/BI ONE 25-622 HS462A/67EPI 11654345</t>
  </si>
  <si>
    <t>4SCH00H</t>
  </si>
  <si>
    <t>LLAN/BI ONE 25-622 HS462A/67EPI 11653963</t>
  </si>
  <si>
    <t>LIV AIRWAY SPORT  AZ/BL/SIL/490000138</t>
  </si>
  <si>
    <t>4GIA191</t>
  </si>
  <si>
    <t>GIANT STRATUS LITE 2.0 BARTAPE</t>
  </si>
  <si>
    <t>5GIA255</t>
  </si>
  <si>
    <t>LIV SILICON HANDLEBAR GRA AVAIL AD 0181</t>
  </si>
  <si>
    <t>B15A309</t>
  </si>
  <si>
    <t>BICI 12 RIDER RB VERDE</t>
  </si>
  <si>
    <t>Otros</t>
  </si>
  <si>
    <t>B15702N</t>
  </si>
  <si>
    <t>BICI 700 INFINITY ROAD RACEMNEGRO ROJO</t>
  </si>
  <si>
    <t>Caducados</t>
  </si>
  <si>
    <t>5GIA064</t>
  </si>
  <si>
    <t>MEDIAS L ELEVATE BLANCO 820000725</t>
  </si>
  <si>
    <t>BGI025Z</t>
  </si>
  <si>
    <t>LIV SUPERA DOUBLE LOCK-ON GRIP PINK 1900</t>
  </si>
  <si>
    <t>57PN341</t>
  </si>
  <si>
    <t>CINTA D/LUCES
LED/WIFI/MM105NXT63</t>
  </si>
  <si>
    <t>X5CQ0EP</t>
  </si>
  <si>
    <t xml:space="preserve">KIT EXTENSION CINTA
LED WIFI RGB NEXXT 2 </t>
  </si>
  <si>
    <t xml:space="preserve">QLED TV MINI LED TCL 55C825 </t>
  </si>
  <si>
    <t>SR2062</t>
  </si>
  <si>
    <t>FILTRO AIRE JH6</t>
  </si>
  <si>
    <t>QT020BQ0-3003120</t>
  </si>
  <si>
    <t>RIGHT CONNECTOR - QT020BQ0-3003120</t>
  </si>
  <si>
    <t>RE530E5</t>
  </si>
  <si>
    <t>ACEITE MOTOR GASOLINA REPSOL ELITE EVOLU</t>
  </si>
  <si>
    <t>1105050-4P1</t>
  </si>
  <si>
    <t>FUEL FILTER</t>
  </si>
  <si>
    <t>4P45018</t>
  </si>
  <si>
    <t>LIMPIADOR DE FRENOS LATA</t>
  </si>
  <si>
    <t>X4063BM</t>
  </si>
  <si>
    <t>PLUMILLA BOSCH AEROFIT 20" 3397006894</t>
  </si>
  <si>
    <t>GB/T29732209</t>
  </si>
  <si>
    <t>INNER TAPERED BEARING - GB/T297 32209</t>
  </si>
  <si>
    <t>UBX5W30L</t>
  </si>
  <si>
    <t>PERFORMA SYNTHETIC 5W30 SN 12/1 - CAJA D</t>
  </si>
  <si>
    <t>14080MO3593C</t>
  </si>
  <si>
    <t>FILTRO DE ACEITE MPF MO3593C CHEVROLET L</t>
  </si>
  <si>
    <t>X406041</t>
  </si>
  <si>
    <t>AGUA DESTILADA 1/4 DE GALON</t>
  </si>
  <si>
    <t>14080MO3614</t>
  </si>
  <si>
    <t>"FILTRO DE ACEITE MPF MO3614 VITARA, GRA</t>
  </si>
  <si>
    <t>X4063CJ</t>
  </si>
  <si>
    <t>LIMPIA CRISTAL VISION CLARA SONAX 25ML S</t>
  </si>
  <si>
    <t>4LACP14</t>
  </si>
  <si>
    <t>PLUMAS PARA CARRO WIPER BLADE 18" 450MM</t>
  </si>
  <si>
    <t>4LACP13</t>
  </si>
  <si>
    <t>PLUMAS PARA CARRO WIPER BLADE 16" 400MM</t>
  </si>
  <si>
    <t>2803016-6K9-MD</t>
  </si>
  <si>
    <t>FRONT BUMPER COVER - 2803016-6K9-MD</t>
  </si>
  <si>
    <t>J221-84E-071000</t>
  </si>
  <si>
    <t>FILTRO PILOTO HIDRAULICO SHANTUI J221-84</t>
  </si>
  <si>
    <t>1109070-392</t>
  </si>
  <si>
    <t>SAFETY AIR FILTER ELEMENT - 1109070-392</t>
  </si>
  <si>
    <t>RE530E12</t>
  </si>
  <si>
    <t>X40602F</t>
  </si>
  <si>
    <t>LIQUIDO REFRIGERANTE MOTOREX HOAT ROJO 1</t>
  </si>
  <si>
    <t>X4063B3</t>
  </si>
  <si>
    <t>PLUMA ECO BOSCH 16"3 397 004 912</t>
  </si>
  <si>
    <t>4LACP06</t>
  </si>
  <si>
    <t>PLUMAS AUTO 13"  330MM COVER RUBBER</t>
  </si>
  <si>
    <t>4MA0039</t>
  </si>
  <si>
    <t>PLUMAS MOMO CONVC.20" T CAUCHO WC-001-20</t>
  </si>
  <si>
    <t>4LACP07</t>
  </si>
  <si>
    <t>PLUMAS PARA CARRO 14" 350MM COVER RUBBER</t>
  </si>
  <si>
    <t>4LACP11</t>
  </si>
  <si>
    <t>PLUMAS PARA CARRO WIPER BLADE 13" 330MM</t>
  </si>
  <si>
    <t>4LACP17</t>
  </si>
  <si>
    <t>PLUMA AUTO 18" 450MM COVER RUB 0.9MM STA</t>
  </si>
  <si>
    <t>5GIA048</t>
  </si>
  <si>
    <t>JERSEY L CORTO RACE DAY SS NEGRO/AZUL 85</t>
  </si>
  <si>
    <t>BZAP05L</t>
  </si>
  <si>
    <t>ZAPATO CICLIS MRN 42 AT 1532 RIFT NEGRO</t>
  </si>
  <si>
    <t>5CBR056</t>
  </si>
  <si>
    <t>MANDO ADJ HIGHLINE BARRA KIT REMOTO16066</t>
  </si>
  <si>
    <t>5LD35CP</t>
  </si>
  <si>
    <t>CASCO BICICLETA M(55-59) REACT M72 RO-NE</t>
  </si>
  <si>
    <t>5LD35ER</t>
  </si>
  <si>
    <t>CASCO BICI NEGRO LINE M(55-58CM)HB3-2</t>
  </si>
  <si>
    <t>5LD3830</t>
  </si>
  <si>
    <t>GUANTE TOMATE-AMARILLO NEON L A1-08-889</t>
  </si>
  <si>
    <t>X407018</t>
  </si>
  <si>
    <t>WD40 BIKE 6 OZ ALL CONDITIONS LUBE</t>
  </si>
  <si>
    <t>5LD3850</t>
  </si>
  <si>
    <t>GUANTE NEGRO-TOMATE P/ NIÑO M A1-05-1460</t>
  </si>
  <si>
    <t>5LD3846</t>
  </si>
  <si>
    <t>GUANTE ROJO P/ NIÑO M A1-05-1580</t>
  </si>
  <si>
    <t>9TUB003</t>
  </si>
  <si>
    <t>TUBO KENDA P/BICI 24*2,125 A/V 40L</t>
  </si>
  <si>
    <t>X9000YD</t>
  </si>
  <si>
    <t>FUNDAS CAMBIOS SIS40 300MM BLACK SET 3-P</t>
  </si>
  <si>
    <t>B15129F</t>
  </si>
  <si>
    <t>BICI 29" CAMBODIA NEGRO/AZUL</t>
  </si>
  <si>
    <t>X9000N9</t>
  </si>
  <si>
    <t>BLOQUEADOR SHIM DELAN WH-RM50-F 129MM BL</t>
  </si>
  <si>
    <t>5ALPS68</t>
  </si>
  <si>
    <t>SHORT ALPIN/1723821/1400 T34/ALPS 6.0/NE</t>
  </si>
  <si>
    <t>5ALPS69</t>
  </si>
  <si>
    <t>SHORT ALPIN/1723821/1400 T36/ALPS 6.0/NE</t>
  </si>
  <si>
    <t>BGI0196</t>
  </si>
  <si>
    <t>Talon 29 2 S Pure Red 1095009224</t>
  </si>
  <si>
    <t>5LD35EP</t>
  </si>
  <si>
    <t>CASCO BICICLETA AZUL S(48-52CM) KS16</t>
  </si>
  <si>
    <t>5LD35EV</t>
  </si>
  <si>
    <t>CASCO BICICLETA BLANCO S(48-52CM) KS16</t>
  </si>
  <si>
    <t>5LGAZ34</t>
  </si>
  <si>
    <t>ZAPATOS DCICLISMO BARYUMLG1LTCAMO CHART4</t>
  </si>
  <si>
    <t>5DTY0GI</t>
  </si>
  <si>
    <t>GRIPS DEITY LOCKJAW/26-LKJAW-YL AMARILLO</t>
  </si>
  <si>
    <t>5DTY0GS</t>
  </si>
  <si>
    <t>GRIPS DEITY KNUCKLEDUSTER/26-KNL-YL AMAR</t>
  </si>
  <si>
    <t>B15A306</t>
  </si>
  <si>
    <t>BICI 29 SPICE GRIS ROSADO</t>
  </si>
  <si>
    <t>B151271</t>
  </si>
  <si>
    <t>BICI 29 SPICE MORADO NEGRO</t>
  </si>
  <si>
    <t>B15A297</t>
  </si>
  <si>
    <t>BICI 29 CAMBODIA X HYDRAULIC ROJO</t>
  </si>
  <si>
    <t>B15A304</t>
  </si>
  <si>
    <t>BICI 29 CAMBODIA X NEGRO ROJO</t>
  </si>
  <si>
    <t>B15A298</t>
  </si>
  <si>
    <t xml:space="preserve"> BICI 29 CAMBODIA X HYDRAULIC NEGRO ROJO</t>
  </si>
  <si>
    <t>5OAKE55</t>
  </si>
  <si>
    <t>GORRA 100S/M FOS901497 TINFOIL 3.0</t>
  </si>
  <si>
    <t>5OAKD87</t>
  </si>
  <si>
    <t>GORRA 100U FOS901222 47 OAKLEY B1B ELLIP</t>
  </si>
  <si>
    <t>5OAKE14</t>
  </si>
  <si>
    <t>GORRA 100L/XL 911545-100 TINCAN CAP</t>
  </si>
  <si>
    <t>5CBR061</t>
  </si>
  <si>
    <t>HERRAMIENTA NAVAJA MULTI 5 DORADO10745</t>
  </si>
  <si>
    <t>5DELA0A</t>
  </si>
  <si>
    <t>ADORNO DE MESA LY243014-B</t>
  </si>
  <si>
    <t>2KCSB08</t>
  </si>
  <si>
    <t>SABANA KC GRIS 11/2PL</t>
  </si>
  <si>
    <t>5ACBA3T</t>
  </si>
  <si>
    <t>PORTA JABON RESIN-24-0219</t>
  </si>
  <si>
    <t>5ACBA3M</t>
  </si>
  <si>
    <t>PORTA JABON CERAMIC-24-0021</t>
  </si>
  <si>
    <t>2KCTO05</t>
  </si>
  <si>
    <t>TOALLA KC 550G 70X140 FOG GREEN</t>
  </si>
  <si>
    <t>2KCTO10</t>
  </si>
  <si>
    <t>TOALLA KC 550G 48X100 CITA DEL BLUE</t>
  </si>
  <si>
    <t>2KCTO11</t>
  </si>
  <si>
    <t>TOALLA KC 550G 48X100 FOG GREEN</t>
  </si>
  <si>
    <t>2KCTO13</t>
  </si>
  <si>
    <t>TOALLA KC 550G 40X70 BLANCO</t>
  </si>
  <si>
    <t>2KCTO17</t>
  </si>
  <si>
    <t>TOALLA KC 550G 40X70 FOG GREEN</t>
  </si>
  <si>
    <t>2KCSB32</t>
  </si>
  <si>
    <t>SABANA KC GRIS 3PL</t>
  </si>
  <si>
    <t>2KCSB19</t>
  </si>
  <si>
    <t>SABANA KC VERDE PISTACHO 2PL</t>
  </si>
  <si>
    <t>2KCSB27</t>
  </si>
  <si>
    <t>SABANA KC VERDE PISTACHO 21/2PL</t>
  </si>
  <si>
    <t>2KCCO60</t>
  </si>
  <si>
    <t>COBERTOR KC YUCON 21/2PLZ</t>
  </si>
  <si>
    <t>2SBKC01</t>
  </si>
  <si>
    <t>SABANA KC 1 1/2PLAZA</t>
  </si>
  <si>
    <t>5DELA0F</t>
  </si>
  <si>
    <t>ADORNO DE MESA LY243017-B</t>
  </si>
  <si>
    <t>5DELA0J</t>
  </si>
  <si>
    <t>ADORNO DE MESA LY245002</t>
  </si>
  <si>
    <t>B15A248</t>
  </si>
  <si>
    <t>BICI 24 SNAP NEGRO AZUL</t>
  </si>
  <si>
    <t>X9000YH</t>
  </si>
  <si>
    <t>TOPE SHIMANO CABLE FRENO 1.6MM 500PCS JP</t>
  </si>
  <si>
    <t>5LGAP18</t>
  </si>
  <si>
    <t>PANTALON LG/OPTIMU.MAT 2/DARK NIG/S 1060</t>
  </si>
  <si>
    <t>5FILP35</t>
  </si>
  <si>
    <t>PANTALON FILA T:M FSP-P-2890M BLACK</t>
  </si>
  <si>
    <t>5LD3836</t>
  </si>
  <si>
    <t>GUANTE MORADO-FUCSIA L A1-08- 889</t>
  </si>
  <si>
    <t>5OAK004</t>
  </si>
  <si>
    <t>GAFAS OAKLEY 0OO9465 94650639-YELLOW/MIN</t>
  </si>
  <si>
    <t>5OAK027</t>
  </si>
  <si>
    <t>GAFAS OAKLEY 0OO9229 92290637-NEON/ORANG</t>
  </si>
  <si>
    <t>B15629H</t>
  </si>
  <si>
    <t>BICI 29 SNAPSONIC2 PLATA/GRIS/ROJO YS242</t>
  </si>
  <si>
    <t>B15C29C</t>
  </si>
  <si>
    <t>BICI 29 SNAPSONIC3 GTI NARANJA FRONT SUS</t>
  </si>
  <si>
    <t>5LD35FE</t>
  </si>
  <si>
    <t>CASCO BICI AMARILLO/NEGRO M(55-58CM)MV50</t>
  </si>
  <si>
    <t>5DYE012</t>
  </si>
  <si>
    <t>PEGATINA P/BICI CAMO/DBF 11105</t>
  </si>
  <si>
    <t>5FILP33</t>
  </si>
  <si>
    <t>PANTALON FILA T:S FSP-P-2854M NAVY</t>
  </si>
  <si>
    <t>5FILP34</t>
  </si>
  <si>
    <t>PANTALON FILA T:L FSP-P-2854M NAVY</t>
  </si>
  <si>
    <t>5APG36B</t>
  </si>
  <si>
    <t>JACKET APG L/L22167584-04 BRONCE CLEVER</t>
  </si>
  <si>
    <t>5APG36A</t>
  </si>
  <si>
    <t>JACKET APG M/L22167584-03 BRONCE CLEVER</t>
  </si>
  <si>
    <t>5OAKD98</t>
  </si>
  <si>
    <t>CAMISETA 02EM FOA404809 RELAX URBAN POLO</t>
  </si>
  <si>
    <t>5OAKD99</t>
  </si>
  <si>
    <t>CAMISETA 02ES FOA404809 RELAX URBAN POLO</t>
  </si>
  <si>
    <t>5OAKF82</t>
  </si>
  <si>
    <t>GORRA 9B2U FOS901222 47 OAKLEY B1B ELLIP</t>
  </si>
  <si>
    <t>5ALPG84</t>
  </si>
  <si>
    <t>GUANTES ALPINESTARS YOUTH ASPENMAZUL1544</t>
  </si>
  <si>
    <t>BGI0286</t>
  </si>
  <si>
    <t>H.Set_Parts 1310-PROPEL-0001</t>
  </si>
  <si>
    <t>BGI0366</t>
  </si>
  <si>
    <t>ASSEMBLE PTS 99122G9003S1K</t>
  </si>
  <si>
    <t>5DTY0GJ</t>
  </si>
  <si>
    <t>GRIPS DEITY LOCKJAW/26-LKJAW-PK ROSADO</t>
  </si>
  <si>
    <t>B150011</t>
  </si>
  <si>
    <t>HEADSET ASSEMBLY A/738409</t>
  </si>
  <si>
    <t>5CBRM04</t>
  </si>
  <si>
    <t>MEDIAS CRANK BROTHERSMTBNEGRO ROJOXL8123</t>
  </si>
  <si>
    <t>9MMB0SK</t>
  </si>
  <si>
    <t>LLANTA KENDA PBICI 70036C K1065A</t>
  </si>
  <si>
    <t>5DYE022</t>
  </si>
  <si>
    <t>PEGATINA P/HORQUILLA D/BICI/DBF 11184</t>
  </si>
  <si>
    <t>WD-40 BIKE 4 OZ CHAIN LUBRICANT WET 12 C</t>
  </si>
  <si>
    <t>WD-40 BIKE 4 OZ CHAIN LUBRICANT DRY 12 C</t>
  </si>
  <si>
    <t>5DYE023</t>
  </si>
  <si>
    <t>PEGATINA P/MANIVELA D/BICI/DBF 11169</t>
  </si>
  <si>
    <t>5LD3858</t>
  </si>
  <si>
    <t>GUANTE AZUL ROJO M A1-05-1617</t>
  </si>
  <si>
    <t>4GIA313</t>
  </si>
  <si>
    <t>GATEWAY 6MM SILVER 490000021</t>
  </si>
  <si>
    <t>4P46015</t>
  </si>
  <si>
    <t>LIMPIADOR MULTIPROPOSIT MOTS Y BICIC ADH</t>
  </si>
  <si>
    <t>5LGAJAN</t>
  </si>
  <si>
    <t>JERSEY LG/W'S DISTRICT 2 S/VERDGRISFLOR</t>
  </si>
  <si>
    <t>B15SO03</t>
  </si>
  <si>
    <t>BICI 12 SONIC ROJO 013</t>
  </si>
  <si>
    <t>BGI0139</t>
  </si>
  <si>
    <t>H.WASHER/ SPACER 1319-PROPEL-0003</t>
  </si>
  <si>
    <t>4GIA090</t>
  </si>
  <si>
    <t>CREST BRAKE CABLA 91234SCREWA1K</t>
  </si>
  <si>
    <t>5RUP002</t>
  </si>
  <si>
    <t>CASCO RUDY PROJECTRUSHNEGROLHL570133</t>
  </si>
  <si>
    <t>5RUP023</t>
  </si>
  <si>
    <t>CASCO RUDY PROJECTSTRYMROJOLHL640052</t>
  </si>
  <si>
    <t>BZAP04A</t>
  </si>
  <si>
    <t>ZAPATOS CICLISMO MARIN 40 AT612 ENDURANC</t>
  </si>
  <si>
    <t>BZAP04C</t>
  </si>
  <si>
    <t>ZAPATOS CICLISMO MARIN 42 AT612 ENDURANC</t>
  </si>
  <si>
    <t>5ALPE0E</t>
  </si>
  <si>
    <t>BUSO C/CAPUCHA ALPIN/1213-51660/1020/S/R</t>
  </si>
  <si>
    <t>5ALPE0G</t>
  </si>
  <si>
    <t>BUSO C/CAPUCHA ALPIN/1213-51660/1020/L/R</t>
  </si>
  <si>
    <t>5LEAB03</t>
  </si>
  <si>
    <t>GAFAS LEATT 8023020270 VELOCITY 5.5/IRIZ</t>
  </si>
  <si>
    <t>5LEAB01</t>
  </si>
  <si>
    <t>GAFAS LEATT 8023020160 VELOCITY 6.5/CITR</t>
  </si>
  <si>
    <t>5LGAZ80</t>
  </si>
  <si>
    <t>ZAPATO CICLIS LG T44/1487323-391 CAFE NE</t>
  </si>
  <si>
    <t>5LGAZ79</t>
  </si>
  <si>
    <t>ZAPATO CICLISMO LG HILLIBILLICAFE NEGROT</t>
  </si>
  <si>
    <t>XRT0472</t>
  </si>
  <si>
    <t>HYDRA GEL GUARANA CAFEINA GOLDNUTRITION</t>
  </si>
  <si>
    <t>5LGAG03</t>
  </si>
  <si>
    <t>GUANTES LGDITCHNEGROL 1482004 CABALLERO</t>
  </si>
  <si>
    <t>5LGAG63</t>
  </si>
  <si>
    <t>GUANTES LGDITCH354ROJOS 1482004 CABALLER</t>
  </si>
  <si>
    <t>5LGAG64</t>
  </si>
  <si>
    <t>GUANTES LGDITCH354ROJOXL 1482004 CABALLE</t>
  </si>
  <si>
    <t>X9000ANI</t>
  </si>
  <si>
    <t>SOPORTE ELITE ALA BLACK/RED GRAPHICS AI-</t>
  </si>
  <si>
    <t>X91006KE</t>
  </si>
  <si>
    <t>ENERGY GEL  FRUTOS SILVESTRES WILD BERRI</t>
  </si>
  <si>
    <t>5LGAC1B</t>
  </si>
  <si>
    <t>CHALECO LG/W'S BEEZE 4 S/1042078-20 NEG</t>
  </si>
  <si>
    <t>5LGAC0A</t>
  </si>
  <si>
    <t>CHALECO LG/W'S NOVA 2/GRIS NEGRO/XS 102</t>
  </si>
  <si>
    <t>5SKB346</t>
  </si>
  <si>
    <t>ZAP SK W PERFORMANCE 125640/WMLT T:6.5</t>
  </si>
  <si>
    <t>5SKB304</t>
  </si>
  <si>
    <t>ZAP SK W GLIDE-STEP 180274-BRMT T:6.5</t>
  </si>
  <si>
    <t>5LEA141</t>
  </si>
  <si>
    <t>BUSO+PANTALON LEATT XL/5023033055 RED/3.</t>
  </si>
  <si>
    <t>5LEA2M1</t>
  </si>
  <si>
    <t>RIDE KIT MTB 5025108443 M 1.0 JR #M/EU13</t>
  </si>
  <si>
    <t>5RUP093</t>
  </si>
  <si>
    <t>CASCO RUDY/HL760031/CROSSWAY/S-M</t>
  </si>
  <si>
    <t>5RUP080</t>
  </si>
  <si>
    <t>CASCO RUDY PROJECTCROSSWAYNARANLHL760052</t>
  </si>
  <si>
    <t>5CBRZ4B</t>
  </si>
  <si>
    <t>ZAPATO CICLIS CB 6/MAL17040S060 MALLET L</t>
  </si>
  <si>
    <t>5CBR829</t>
  </si>
  <si>
    <t>ZAPATO CICLIS CB 7.5/MAL29546A075 MALLET</t>
  </si>
  <si>
    <t>5SK0649</t>
  </si>
  <si>
    <t>ZAPATO 220872TPMT9.5 MEN PERFORMANCE CRE</t>
  </si>
  <si>
    <t>5SKB289</t>
  </si>
  <si>
    <t>ZAP SK M LOS ANGELES 183140/WBK T:8</t>
  </si>
  <si>
    <t>X91006KD</t>
  </si>
  <si>
    <t>GOLDDRINK ISOTONICO FRUTOS TROPICALES</t>
  </si>
  <si>
    <t>X960656</t>
  </si>
  <si>
    <t>PERPETUEM ORANGE VAINILLA SINGLE PO12C</t>
  </si>
  <si>
    <t>5HP0102</t>
  </si>
  <si>
    <t>PARLANTE HP DHE-6002</t>
  </si>
  <si>
    <t>5MONT0T</t>
  </si>
  <si>
    <t>CABLE MONSTER TIPO USB-A A C/RL2103</t>
  </si>
  <si>
    <t>5RCA513</t>
  </si>
  <si>
    <t>AUDIFONOS RCA/AIRSOUND/BLANCO</t>
  </si>
  <si>
    <t>5RCA51B</t>
  </si>
  <si>
    <t>AUDIFONOS RCA/AIRSOUND/NEGRO</t>
  </si>
  <si>
    <t>5CBRZ07</t>
  </si>
  <si>
    <t>ZAPATO CICLIS CRANK BROTT9 STAMP SPEEDLA</t>
  </si>
  <si>
    <t>5LD35FB</t>
  </si>
  <si>
    <t>CASCO BICICLETA BLANCO M(52-56CM) KS16</t>
  </si>
  <si>
    <t>5LD35E2</t>
  </si>
  <si>
    <t>CASCO BICICLETA ROJO S(48-52CM) KS16</t>
  </si>
  <si>
    <t>5LD35E7</t>
  </si>
  <si>
    <t>CASCO BICICLETA NEGRO M(55-58CM) MTV26</t>
  </si>
  <si>
    <t>5LD35E6</t>
  </si>
  <si>
    <t>CASCO BICICLETA NEGRO S(53-55CM) MTV26</t>
  </si>
  <si>
    <t>5LD35CN</t>
  </si>
  <si>
    <t>CASCO BICICLETA GTI FT-89 S AZUL</t>
  </si>
  <si>
    <t>J221-05D-023100</t>
  </si>
  <si>
    <t>FILTRO PRIMARIO COMBUSTIBLE</t>
  </si>
  <si>
    <t>5LEA179</t>
  </si>
  <si>
    <t>BUSO+PANTALON LEATT JR XL/5024080713 RED</t>
  </si>
  <si>
    <t>5LEAJ89</t>
  </si>
  <si>
    <t>JERSEY PANTALON RIDE KIT JR 3.5 S ROJO 5</t>
  </si>
  <si>
    <t>5CBRZ4Q</t>
  </si>
  <si>
    <t>ZAPATO CICLIS CB 6/MAL12030S060 MALLET L</t>
  </si>
  <si>
    <t>5GIA177</t>
  </si>
  <si>
    <t>ZAPATO SURGE COMP WHITE EU42 870001256</t>
  </si>
  <si>
    <t>5KIC124</t>
  </si>
  <si>
    <t>22 MTB ALLOY RALLY L/S JERSEY YOUTH BLAC</t>
  </si>
  <si>
    <t>5GRG20K</t>
  </si>
  <si>
    <t>PANTALONETA KM100 ERGO SNOW/CABALLERO/S</t>
  </si>
  <si>
    <t>4GIA040</t>
  </si>
  <si>
    <t>REP MY21 CRES 29LOW LEG SET91221G9015S1K</t>
  </si>
  <si>
    <t>5KIC123</t>
  </si>
  <si>
    <t>22 MTB ALLOY RALLY L/S JERSEY WHITE-XL</t>
  </si>
  <si>
    <t>X90010Q</t>
  </si>
  <si>
    <t>DISCO SHIMANO MTB RT-MT900M 180 MM C/LOO</t>
  </si>
  <si>
    <t>B15R01E</t>
  </si>
  <si>
    <t>CIERRE MRN 9-12 MONTA 141MM/148MM/728624</t>
  </si>
  <si>
    <t>5OAK845</t>
  </si>
  <si>
    <t>ARO3 ENDURANCE FOS900928 NEGRO/02J/M</t>
  </si>
  <si>
    <t>5ALPE2J</t>
  </si>
  <si>
    <t>BUSO C/CAPUCHA ALP 1213-51020 M 7206 LT</t>
  </si>
  <si>
    <t>5GIA175</t>
  </si>
  <si>
    <t>LIV ENERGIZE BAGGY SHORTS M/860002012</t>
  </si>
  <si>
    <t>4GIA084</t>
  </si>
  <si>
    <t>CREST DAMPER 91221G9021S1K</t>
  </si>
  <si>
    <t>9MMB0SF</t>
  </si>
  <si>
    <t>LLANTA KENDA PBICI 29220 K11027 BKBSK 30</t>
  </si>
  <si>
    <t>BZAP07I</t>
  </si>
  <si>
    <t>ZAPATO CICLIS MRN 43 101855 SLASH VERDE</t>
  </si>
  <si>
    <t>5LGAJ44</t>
  </si>
  <si>
    <t>JERSEY CONNECTION LG AMARILLO T-L 104210</t>
  </si>
  <si>
    <t>4GIA182</t>
  </si>
  <si>
    <t>GIANT PINNER COMP FLAT PEDAL /230000099</t>
  </si>
  <si>
    <t>5SKB194</t>
  </si>
  <si>
    <t>ZAP SK W BOBS SPORT 117385/LIL T:7.5</t>
  </si>
  <si>
    <t>5GIA056</t>
  </si>
  <si>
    <t>CASCO COVETA TONAL S 51-55CM 800001219</t>
  </si>
  <si>
    <t>5GIA057</t>
  </si>
  <si>
    <t>CASCO COVETA TONAL M 55-59CM 800001220</t>
  </si>
  <si>
    <t>5GRGJ25</t>
  </si>
  <si>
    <t>Jersey  Mga Larga KM80 Clásico -S-UNISEX</t>
  </si>
  <si>
    <t>BZAP02I</t>
  </si>
  <si>
    <t>ZAPATOS CICLISMO MTB MARIN 38 MN1049 ROJ</t>
  </si>
  <si>
    <t>B15000X</t>
  </si>
  <si>
    <t>BASCULANTE RIFT ZONE 738605/738606</t>
  </si>
  <si>
    <t>5RUPG30</t>
  </si>
  <si>
    <t>GAFAS RUDY PROJCFDEFENDER V181FR520000</t>
  </si>
  <si>
    <t>X90005S</t>
  </si>
  <si>
    <t>PEDAL SHM MTB BMX M520L C/CLEAT SM51BLK</t>
  </si>
  <si>
    <t>BGI025P</t>
  </si>
  <si>
    <t>SHOP TOOL 600000044</t>
  </si>
  <si>
    <t>BGI020W</t>
  </si>
  <si>
    <t> GAVIA FONDO 1 700X28C 340000229</t>
  </si>
  <si>
    <t>5GIA258</t>
  </si>
  <si>
    <t>GIANT PINNER ELITE FLAT PEDAL-GREEN 0100</t>
  </si>
  <si>
    <t>5LEAG0L</t>
  </si>
  <si>
    <t>GUANTE LEATT MTB 1.0/XL/6021080523/ROJO</t>
  </si>
  <si>
    <t>5LGAG32</t>
  </si>
  <si>
    <t>GUANTES LG/ROJO/M 1482004</t>
  </si>
  <si>
    <t>5LEA1J7</t>
  </si>
  <si>
    <t>CAP PANEL 5024400120 S-XL #S-XL DESERT</t>
  </si>
  <si>
    <t>5FIL441</t>
  </si>
  <si>
    <t>CASACA FILA T:S FSP-J-2888M GREY</t>
  </si>
  <si>
    <t>4GIA285</t>
  </si>
  <si>
    <t>SUSPEN PARTS 1280GSG04306A1</t>
  </si>
  <si>
    <t>4GIA087</t>
  </si>
  <si>
    <t>CREST PISTON KIT 91221G9024S1K</t>
  </si>
  <si>
    <t>4GIA110</t>
  </si>
  <si>
    <t>MAIN LINE DISPLAY TO MOTOR 730MM/5</t>
  </si>
  <si>
    <t>X8900FZF</t>
  </si>
  <si>
    <t>GU ENERGY GEL VAINILLA BEAN</t>
  </si>
  <si>
    <t>5FIL321</t>
  </si>
  <si>
    <t>CAMISETA FILA M/FST-T-2539M NAVY</t>
  </si>
  <si>
    <t>4WTB00J</t>
  </si>
  <si>
    <t>VALVULA PRESTA NEGRO W095-0008 46MM 2PCS</t>
  </si>
  <si>
    <t>5GIA402</t>
  </si>
  <si>
    <t>GIANT CONTACT SL 35 STEM +/- 8 170000258</t>
  </si>
  <si>
    <t>5LTW012</t>
  </si>
  <si>
    <t>TENSOR 10 VEL CS 50T LONG CAGE/RD-V5010-</t>
  </si>
  <si>
    <t>5FILP32</t>
  </si>
  <si>
    <t>PANTALON FILA T:M FSP-P-2854M NAVY</t>
  </si>
  <si>
    <t>4LEVP91</t>
  </si>
  <si>
    <t>PORTA BICICLETA 77X53X42CM 7212828E</t>
  </si>
  <si>
    <t>X900099</t>
  </si>
  <si>
    <t>MANZANAS SHIMANO ACERA RM70 8V 36H BLACK</t>
  </si>
  <si>
    <t>5LGAP10</t>
  </si>
  <si>
    <t>PANTALON LG/2004/XL NEGRO 1075127</t>
  </si>
  <si>
    <t>5OAKD46</t>
  </si>
  <si>
    <t>CAMISETA 104M FOA404011 MARK II TEE 2.0</t>
  </si>
  <si>
    <t>5FILV02</t>
  </si>
  <si>
    <t>SWEATER FILA T:S FST-T-3213M KHAKI</t>
  </si>
  <si>
    <t>5DTY0GD</t>
  </si>
  <si>
    <t>GRIPS DEITY LOCKJAW/26-LKJAW-GN VERDE</t>
  </si>
  <si>
    <t>BGI0297</t>
  </si>
  <si>
    <t>R.HUB Q/R 1529-QR12AA-701</t>
  </si>
  <si>
    <t>5FILV10</t>
  </si>
  <si>
    <t>SWEATER FILA T:S FST-T-2649M ARMY GREEN</t>
  </si>
  <si>
    <t>LLANTA BICI NANO 2.1 29'' WTB</t>
  </si>
  <si>
    <t>X8900F3</t>
  </si>
  <si>
    <t>GU ENERGY GEL TRIBERRY</t>
  </si>
  <si>
    <t>BGI0266</t>
  </si>
  <si>
    <t>SUSPEN PARTS 128023G900001A3</t>
  </si>
  <si>
    <t>4LEV22G</t>
  </si>
  <si>
    <t>TRA SOPORTE DE PARED PARA BICICLETA</t>
  </si>
  <si>
    <t>5LD390T</t>
  </si>
  <si>
    <t>GAFAS PARA MOTOS G85</t>
  </si>
  <si>
    <t>5LD392W</t>
  </si>
  <si>
    <t>GUANTES M MARIN AI-05-8762 LARGO GRIS</t>
  </si>
  <si>
    <t>4C2212G</t>
  </si>
  <si>
    <t>CANDADO P BICICLETA NINO GTI 10X8580MM G</t>
  </si>
  <si>
    <t>9TUB006</t>
  </si>
  <si>
    <t>TUBO KENDA P/BICI 29*1,9/2,3  F/V 40L NI</t>
  </si>
  <si>
    <t>X8900F4</t>
  </si>
  <si>
    <t>GU ENERGY GEL FRUTILLA BANANA</t>
  </si>
  <si>
    <t>X9000ANB</t>
  </si>
  <si>
    <t>BASE CHOCLE SHIMANO PD-7810</t>
  </si>
  <si>
    <t>B15001K</t>
  </si>
  <si>
    <t>9TO12 BOLT/AXL KIT 141-148/TPR HD/736029</t>
  </si>
  <si>
    <t>5LD3810</t>
  </si>
  <si>
    <t>GUANTE FUCSIA L A1-05-1069</t>
  </si>
  <si>
    <t>B15D004</t>
  </si>
  <si>
    <t>DROPOUT MARIN/712349/NO.03</t>
  </si>
  <si>
    <t>BGI0284</t>
  </si>
  <si>
    <t>FLANG/AXLE 1282-AX1410-A05</t>
  </si>
  <si>
    <t>BGI0322</t>
  </si>
  <si>
    <t>FLANG/AXLE 1282-AX1410-022</t>
  </si>
  <si>
    <t>4GIA277</t>
  </si>
  <si>
    <t>FHUPART 151C-ENDCAP-903</t>
  </si>
  <si>
    <t>B15001J</t>
  </si>
  <si>
    <t>HANGER #55WITH BOLT/737016</t>
  </si>
  <si>
    <t>9MMBT00</t>
  </si>
  <si>
    <t>TUBO KENDA P/LLANTA D/BICI 20X2.2-2.5</t>
  </si>
  <si>
    <t>4GIA158</t>
  </si>
  <si>
    <t>1476-W0134-0001</t>
  </si>
  <si>
    <t>9TUB004</t>
  </si>
  <si>
    <t>TUBO KENDA P/BICI 26*2,125 A/V 40L</t>
  </si>
  <si>
    <t>BGI0116</t>
  </si>
  <si>
    <t>Stud Cap 1476-TCRADV-0002</t>
  </si>
  <si>
    <t>4GIA153</t>
  </si>
  <si>
    <t>1471 DTCBPG001</t>
  </si>
  <si>
    <t>BGI0120</t>
  </si>
  <si>
    <t>OUT CASING 1630-CM246B-201</t>
  </si>
  <si>
    <t>4GIA287</t>
  </si>
  <si>
    <t>STUD CA 1476-KRING-0001</t>
  </si>
  <si>
    <t>5SC104Q</t>
  </si>
  <si>
    <t>CUBIERTA DE VIN SC GTI</t>
  </si>
  <si>
    <t>BGI0338</t>
  </si>
  <si>
    <t>CONTEND AR 3 S MARS DUST 1024012224</t>
  </si>
  <si>
    <t>5OAKG46</t>
  </si>
  <si>
    <t>GAFAS 0OO9403 94030736 SPHAERA MTCLR W/</t>
  </si>
  <si>
    <t>5OAK046</t>
  </si>
  <si>
    <t>GAFAS OAKLEY 4805 EVZER BLAD</t>
  </si>
  <si>
    <t>5GIA172</t>
  </si>
  <si>
    <t>LIV ENERGIZE BAGGY SHORTS S/860002005</t>
  </si>
  <si>
    <t>5LD3837</t>
  </si>
  <si>
    <t>GUANTE NEGRO A1-08-881 M</t>
  </si>
  <si>
    <t>5LGAJC5</t>
  </si>
  <si>
    <t>JERSEY LG/LEMMON 4 L/1042177-880 VERDE</t>
  </si>
  <si>
    <t>BGI0315</t>
  </si>
  <si>
    <t>Decal_Vice_02 3G9-4T00023</t>
  </si>
  <si>
    <t>5GIA170</t>
  </si>
  <si>
    <t>LIV BELIV KNICKERSBLACK M/860001958</t>
  </si>
  <si>
    <t>5FILP41</t>
  </si>
  <si>
    <t>PANTALON FILA T:M FSP-P-2942M KHAKI</t>
  </si>
  <si>
    <t>BGI0295</t>
  </si>
  <si>
    <t>H.Stem_Top_C 1331-318OD2-0001</t>
  </si>
  <si>
    <t>BGI0300</t>
  </si>
  <si>
    <t>SP.METER ATT 1679-CPTHLD-0003</t>
  </si>
  <si>
    <t>9MMB0SU</t>
  </si>
  <si>
    <t>LLANTA BICI 29*2.20 K1227 7915358</t>
  </si>
  <si>
    <t>BGI0369</t>
  </si>
  <si>
    <t>ASSEMBLE PTS 99122G9008S1K</t>
  </si>
  <si>
    <t>5DTY106</t>
  </si>
  <si>
    <t>PEDAL DEITY/26-DF TRP-YL/DEFTRAP YELLOW</t>
  </si>
  <si>
    <t>5LGAP23</t>
  </si>
  <si>
    <t>PANTALON LG/2004/XS NEGRO/PURP 1075126 W</t>
  </si>
  <si>
    <t>ENERGY GEL FRESA LIMÓN STRAWBERRIES LIME</t>
  </si>
  <si>
    <t>4GIA056</t>
  </si>
  <si>
    <t>GIANT PINNER COMP FLAT PEDAL/230000103</t>
  </si>
  <si>
    <t>BGI032C</t>
  </si>
  <si>
    <t>COVER CARBON 80MM PROPEL 133F-CONTAC-801</t>
  </si>
  <si>
    <t>4GIA256</t>
  </si>
  <si>
    <t>H2PRO SEAT BAG 430000119</t>
  </si>
  <si>
    <t>X9000J6</t>
  </si>
  <si>
    <t>SHIFTER MTB SHIMANO ALIVIO SL-M3100 2X9V</t>
  </si>
  <si>
    <t>5GIA404</t>
  </si>
  <si>
    <t>GIANT CONTACT SL 35 STEM +/- 8 170000260</t>
  </si>
  <si>
    <t>B15R001</t>
  </si>
  <si>
    <t>KIT RODAMIENTOS PCUADRO ENDURO 690172690</t>
  </si>
  <si>
    <t>4GIA03L</t>
  </si>
  <si>
    <t>GIANT MANUBRIO 740MM CONTACT TRAIL RISER</t>
  </si>
  <si>
    <t>9MMB0SO</t>
  </si>
  <si>
    <t>LLANTA BICI 20*1.75 K1233 020C4N52</t>
  </si>
  <si>
    <t>X9000NN</t>
  </si>
  <si>
    <t>MANILAR SHIM MTB ALTUS ST-M370-L 9V MAI0</t>
  </si>
  <si>
    <t>BGI025K</t>
  </si>
  <si>
    <t>CABLE DE ENLACE 147L-HCCHTC-01</t>
  </si>
  <si>
    <t>BGI0267</t>
  </si>
  <si>
    <t>USPEN PARTS 128023G900002A0</t>
  </si>
  <si>
    <t>5OAKO85</t>
  </si>
  <si>
    <t>GORRA FOS9009066LEU HDO PATCH TRUCKER</t>
  </si>
  <si>
    <t>X912K3NK</t>
  </si>
  <si>
    <t>GOLDDRINK - ISOTONIC - ORANGE</t>
  </si>
  <si>
    <t>BGI0122</t>
  </si>
  <si>
    <t>F.DR PLATE 1643-WG67-0001</t>
  </si>
  <si>
    <t>5ALPH1K</t>
  </si>
  <si>
    <t>GORRA ALP 1211-81009 TU 1810 CHARCOAL BL</t>
  </si>
  <si>
    <t>BGI025J</t>
  </si>
  <si>
    <t>COVER 527MEB21LR-06V</t>
  </si>
  <si>
    <t>4GIA03M</t>
  </si>
  <si>
    <t>GIANT MANUBRIO 31.8X690 CONTACT RISER HB</t>
  </si>
  <si>
    <t>4GIA083</t>
  </si>
  <si>
    <t>CREST DAMPER 91221G9020S1K</t>
  </si>
  <si>
    <t>5LGAM36</t>
  </si>
  <si>
    <t>MEDIAS MERINO 60/LG/SM 1086084</t>
  </si>
  <si>
    <t>4GIA141</t>
  </si>
  <si>
    <t>SPEED SENSOR 4430-FSKISS-02</t>
  </si>
  <si>
    <t>X90009B</t>
  </si>
  <si>
    <t>SHIFTER MTB SHIMANO TOURNEY SL-TX30 7V</t>
  </si>
  <si>
    <t>4C2212F</t>
  </si>
  <si>
    <t>CANDADO P BICICLETA NINO GTI 10X350MM GK</t>
  </si>
  <si>
    <t>5CBRM14</t>
  </si>
  <si>
    <t>MEDIAS CB MTB XL 81231 WHITE BROWN BLACK</t>
  </si>
  <si>
    <t>X9000NH</t>
  </si>
  <si>
    <t>EJE SHIM CENTRO BOTTON BRACKER BB-ES300</t>
  </si>
  <si>
    <t>X9000SS</t>
  </si>
  <si>
    <t>EJE SHIM CENTRO BOTTOM BRACKET BB-UN26 1</t>
  </si>
  <si>
    <t>X9000NE</t>
  </si>
  <si>
    <t>EJE CENTRO SHIM BOTTON BRAKER BB-UN26 11</t>
  </si>
  <si>
    <t>5LTW010</t>
  </si>
  <si>
    <t>PALANCA D/CAMBIOS 10 VEL CON VENTANA/SL-</t>
  </si>
  <si>
    <t>5LD3811</t>
  </si>
  <si>
    <t>GUANTE MORADO M A1-05-1069</t>
  </si>
  <si>
    <t>5LD3812</t>
  </si>
  <si>
    <t>GUANTE MORADO L A1-05-1069</t>
  </si>
  <si>
    <t>X9000YR</t>
  </si>
  <si>
    <t>CADENA SHIMANO NX10 114L FDA CAD002</t>
  </si>
  <si>
    <t>4GIA086</t>
  </si>
  <si>
    <t>CREST ORING 91221G9023S1K</t>
  </si>
  <si>
    <t>BGI0096</t>
  </si>
  <si>
    <t>Service Parts set 12817G90001A1</t>
  </si>
  <si>
    <t>X912K3L</t>
  </si>
  <si>
    <t>BARRA ENDURANCE BANANA 40GR</t>
  </si>
  <si>
    <t>5SC101Q</t>
  </si>
  <si>
    <t>GUARDABARROS DERECHO</t>
  </si>
  <si>
    <t>BGI0263</t>
  </si>
  <si>
    <t>Bracket 1159-RE270A-R02</t>
  </si>
  <si>
    <t>X9000OCC</t>
  </si>
  <si>
    <t>FUNDA SHIMANO CAMBIOS SP40 BK 3PC SINGAP</t>
  </si>
  <si>
    <t>9TUB007</t>
  </si>
  <si>
    <t>TUBO KENDA P/BICI 700*23/25C F/V 40L NI</t>
  </si>
  <si>
    <t>X912JPO</t>
  </si>
  <si>
    <t>BARRA EXTREME FRESA 40GR</t>
  </si>
  <si>
    <t>5RUP087</t>
  </si>
  <si>
    <t>VISOR RUDYLH7540VOLANTISNARANJA</t>
  </si>
  <si>
    <t>5OAK051</t>
  </si>
  <si>
    <t>GAFAS OAKLEY 4770 SUTRO</t>
  </si>
  <si>
    <t>5OAK053</t>
  </si>
  <si>
    <t>GAFAS OAKLEY 1635 LATCH</t>
  </si>
  <si>
    <t>5DTY301</t>
  </si>
  <si>
    <t>ASIENTO DEITY 26-STPCR-ST STEALTH/SPEEDT</t>
  </si>
  <si>
    <t>5OAK724</t>
  </si>
  <si>
    <t>JERSEY OAKLEY FOA403127 02E/M ENDURANCE</t>
  </si>
  <si>
    <t>5RUP902</t>
  </si>
  <si>
    <t>VISOR P/CASCO RUDY/LH7540 VOLANTIS HELME</t>
  </si>
  <si>
    <t>5OAKG51</t>
  </si>
  <si>
    <t>GAFAS 0OO9404 94040535 LATCH PANEL GRYSM</t>
  </si>
  <si>
    <t>5OAK008</t>
  </si>
  <si>
    <t>GAFAS 0OO9463 94634639 ARO3 ENDURANCE</t>
  </si>
  <si>
    <t>5DTY302</t>
  </si>
  <si>
    <t>ASIENTO DEITY 26-STPCR-RD RED/SPEEDTRAP</t>
  </si>
  <si>
    <t>5OAKO03</t>
  </si>
  <si>
    <t>JERSEY FOA406783314M ICON CLASSIC JERSEY</t>
  </si>
  <si>
    <t>4GIA314</t>
  </si>
  <si>
    <t>TOOLSHED 12 600000056</t>
  </si>
  <si>
    <t>5ALPS22</t>
  </si>
  <si>
    <t>SHORT ALPINESTARSRACERT3017229193173</t>
  </si>
  <si>
    <t>5ALPS80</t>
  </si>
  <si>
    <t>SHORT ALPIN/1722919-1078 T32/RACER BLACK</t>
  </si>
  <si>
    <t>5CBRM02</t>
  </si>
  <si>
    <t>MEDIAS CRANK BROTHERSMTBAZULBLANXL81229</t>
  </si>
  <si>
    <t>5CBRM12</t>
  </si>
  <si>
    <t>MEDIAS CB MTB SM 81254 WHITE RED BLACK</t>
  </si>
  <si>
    <t>5DTY06K</t>
  </si>
  <si>
    <t>CODO 50MM DEITY COPPERHEAD OS35AZUL26CPR</t>
  </si>
  <si>
    <t>5DTY305</t>
  </si>
  <si>
    <t>ASIENTO DEITY 26-STPCR-BZ BRONZE/SPEEDTR</t>
  </si>
  <si>
    <t>5GIA063</t>
  </si>
  <si>
    <t>MEDIAS M ELEVATE BLANCO 820000724</t>
  </si>
  <si>
    <t>5LEA1C6</t>
  </si>
  <si>
    <t>HELMET MTB 1025104521 M ENDURO 3.0 V25 R</t>
  </si>
  <si>
    <t>5LEA1C7</t>
  </si>
  <si>
    <t>HELMET MTB 1025104522 L ENDURO 3.0 V25 R</t>
  </si>
  <si>
    <t>5LEA2D5</t>
  </si>
  <si>
    <t>RIDE KIT MTB 5025104900 XS 1.0 #XS/US28/</t>
  </si>
  <si>
    <t>5LEA2U5</t>
  </si>
  <si>
    <t>GLOVE MTB 6024150380 S 1.0 GRIPR #S/EU7/</t>
  </si>
  <si>
    <t>5LGAB02</t>
  </si>
  <si>
    <t>BOLSO LGZONENEGRO OS 1493268</t>
  </si>
  <si>
    <t>5OAKF83</t>
  </si>
  <si>
    <t>BUSO 02EL FOA406171 ALL DAY LS TEE</t>
  </si>
  <si>
    <t>5OAKN63</t>
  </si>
  <si>
    <t>CASCO FOS90092727SM ARO5 RACE</t>
  </si>
  <si>
    <t>5OAKN66</t>
  </si>
  <si>
    <t>CASCO FOS9009286GHM ARO3 ENDURANCE</t>
  </si>
  <si>
    <t>9MMB0SI</t>
  </si>
  <si>
    <t>LLANTA KENDA PBICI 20240 K1221 BKBSKCAP</t>
  </si>
  <si>
    <t>B15AL75</t>
  </si>
  <si>
    <t>BICI 12 ALCATRAZ JR X GRIS NEGRO GM67-5</t>
  </si>
  <si>
    <t>X40140T</t>
  </si>
  <si>
    <t>ACEITE WD-40 SPRAY 11OZ 52211</t>
  </si>
  <si>
    <t>X9000K6</t>
  </si>
  <si>
    <t>GRASA SHI SP-41 SPECIAL 50 GR GRA003</t>
  </si>
  <si>
    <t>XRT0473</t>
  </si>
  <si>
    <t>CARB MAX FRUTOS TROPICALES CAFEINA GOLDN</t>
  </si>
  <si>
    <t>XRT0482</t>
  </si>
  <si>
    <t>SALT CAPS GOLDNUTRITION PASTILLAS DE SAL</t>
  </si>
  <si>
    <t>5OAKN68</t>
  </si>
  <si>
    <t>CASCO FOS9011177G1M ARO3 ALLROAD</t>
  </si>
  <si>
    <t>X912K3NJ</t>
  </si>
  <si>
    <t>GOLDDRINK - ISOTONIC - LIMON</t>
  </si>
  <si>
    <t>XRT0491</t>
  </si>
  <si>
    <t>SALT PLUS + COMPRIMIDOS DE ELECTROLITOS</t>
  </si>
  <si>
    <t>5ALPG04</t>
  </si>
  <si>
    <t>GUANTES ALPINESTARS TETON PLUS/GRIS/1562</t>
  </si>
  <si>
    <t>5ALPG31</t>
  </si>
  <si>
    <t>GUANTES ALPINESTARS TETON PLUSLGRIS15629</t>
  </si>
  <si>
    <t>5ALPG03</t>
  </si>
  <si>
    <t>GUANTES ALPINESTARS TETON PLUS/ROJO/1562</t>
  </si>
  <si>
    <t>5LEA932</t>
  </si>
  <si>
    <t>PROTEC CUELLO LEATT S-M/1022111820 WHITE</t>
  </si>
  <si>
    <t>5LD35CQ</t>
  </si>
  <si>
    <t>CASCO BICICLETA GTI FT-89 S NEGRO-VERDE</t>
  </si>
  <si>
    <t>5MONT08</t>
  </si>
  <si>
    <t>AUDIFONOS MONSTER XKH01 BK</t>
  </si>
  <si>
    <t>57PN350</t>
  </si>
  <si>
    <t>EXTEN 6 SERV/110/220V/PS-001B/FORZA</t>
  </si>
  <si>
    <t>4R98003</t>
  </si>
  <si>
    <t>FOCO LED DICROICO E27 3W 110V/60HZ 50*43</t>
  </si>
  <si>
    <t>5E147EA</t>
  </si>
  <si>
    <t>CABLE OPTICO RCA/12FT/DV12R</t>
  </si>
  <si>
    <t>4R98006</t>
  </si>
  <si>
    <t>FOCO LED DICROIC GU10 5W 110V/60HZ 50*43</t>
  </si>
  <si>
    <t>5RCA551</t>
  </si>
  <si>
    <t>MOUSE RCA WIRELESS USB NEGRO X86</t>
  </si>
  <si>
    <t>4R930DT</t>
  </si>
  <si>
    <t>FOCO VELA LED C/PUNTA 7W E27 6000K-6500K</t>
  </si>
  <si>
    <t>5MONT32</t>
  </si>
  <si>
    <t>AUDIFONOS MONSTER XKO01 BK</t>
  </si>
  <si>
    <t>4R930EG</t>
  </si>
  <si>
    <t>FOCO VELA LED 7W E12 3000K-3500K RCA</t>
  </si>
  <si>
    <t>4R930DS</t>
  </si>
  <si>
    <t>FOCO VELA LED C/PUNTA 7W E27 3000K-3500K</t>
  </si>
  <si>
    <t>5K1149C</t>
  </si>
  <si>
    <t>SOPORTE D/PISO/P/TV 37"-70" QFFS01-46</t>
  </si>
  <si>
    <t>5MONT13</t>
  </si>
  <si>
    <t>RELOJ SMART MONSTER/AM07 BLACK/RED</t>
  </si>
  <si>
    <t>4R930EE</t>
  </si>
  <si>
    <t>FOCO VELA LED C/PUNTA 5W E12 3000K-3500K</t>
  </si>
  <si>
    <t>5MONT28</t>
  </si>
  <si>
    <t>AUDIFONOS MONSTER XKT10 BK</t>
  </si>
  <si>
    <t>4R930EH</t>
  </si>
  <si>
    <t>FOCO VELA LED 5W E12 3000K-3500K RCA</t>
  </si>
  <si>
    <t>5K1148Q</t>
  </si>
  <si>
    <t>SOPORTE P/TV 32"-70-80-85"/QFC-01</t>
  </si>
  <si>
    <t>5MONT12</t>
  </si>
  <si>
    <t>RELOJ SMART MONSTER/AM07 BLACK/BLACK</t>
  </si>
  <si>
    <t>CELULAB</t>
  </si>
  <si>
    <t>CELULAR TCL 30SE/6165 A1/AZUL</t>
  </si>
  <si>
    <t>CELULA1</t>
  </si>
  <si>
    <t>CELULAR TCL 5130J</t>
  </si>
  <si>
    <t>5RCA52T</t>
  </si>
  <si>
    <t>RELOJ SMART RCA/SMART JR PURPURA</t>
  </si>
  <si>
    <t>4GIA079</t>
  </si>
  <si>
    <t>CREST 27.5" 91221G9016S1K</t>
  </si>
  <si>
    <t>4MA0051</t>
  </si>
  <si>
    <t>PORTA CELULAR DOBLE DESING MOMO TTB03</t>
  </si>
  <si>
    <t>4P46011</t>
  </si>
  <si>
    <t>LIMPIADOR DE FRENOS MOTOS Y BICIC ADH</t>
  </si>
  <si>
    <t>4P46012</t>
  </si>
  <si>
    <t>LIMPIADOR DECADENAS MOTOS Y BICIC ADH</t>
  </si>
  <si>
    <t>5DYE005</t>
  </si>
  <si>
    <t>5APG2AR</t>
  </si>
  <si>
    <t>CAMISETA MC APG/M L21131543 OLIVE GREEN</t>
  </si>
  <si>
    <t>5APGA22</t>
  </si>
  <si>
    <t>ALE BASELAYER M/L L18140116-03 Negro</t>
  </si>
  <si>
    <t>5APGA23</t>
  </si>
  <si>
    <t>ALE BASELAYER M L25104401-03 Negro</t>
  </si>
  <si>
    <t>5DTY202</t>
  </si>
  <si>
    <t>TAPA VALVULA PRESTA DEITY/26-PRESTA-PUR</t>
  </si>
  <si>
    <t>5DTY422</t>
  </si>
  <si>
    <t>ABRAZADERA DEITY 36.4MM 26-CRT36-PU PURP</t>
  </si>
  <si>
    <t>5DYE019</t>
  </si>
  <si>
    <t>PEGATINA P/BICI MATT CLEAR/DBF 11245</t>
  </si>
  <si>
    <t>5GIA116</t>
  </si>
  <si>
    <t>RACE DAY SS JERSEYBLACK/MULBERRYM/L-8500</t>
  </si>
  <si>
    <t>5GIA329</t>
  </si>
  <si>
    <t>LIV CEFIRA VEST DAYBREAK XS 850005094</t>
  </si>
  <si>
    <t>5GIA396</t>
  </si>
  <si>
    <t>GIANT DASH M mount 410000151</t>
  </si>
  <si>
    <t>5GRG42N</t>
  </si>
  <si>
    <t>JERSEY KM50/NARANJA/XS/GRG</t>
  </si>
  <si>
    <t>5GRG43A</t>
  </si>
  <si>
    <t>CHALECO FLY UNISEX/AZUL/S/GRG</t>
  </si>
  <si>
    <t>5GRG43C</t>
  </si>
  <si>
    <t>CHALECO FLY UNISEX/AZUL/L/GRG</t>
  </si>
  <si>
    <t>5LD3827</t>
  </si>
  <si>
    <t>GUANTE TOMATE L A1-08-891</t>
  </si>
  <si>
    <t>5LEA058</t>
  </si>
  <si>
    <t>CASCO LEATT MTB M/1023016451 STEALTH/TRA</t>
  </si>
  <si>
    <t>5LEA8AX</t>
  </si>
  <si>
    <t>ZAPATO CICLIS LEATT 9/3024320364 SKULL/F</t>
  </si>
  <si>
    <t>5OAK851</t>
  </si>
  <si>
    <t>ARO5 RACE FOS900927 NEGRO MATE/05L/M</t>
  </si>
  <si>
    <t>5RUP047</t>
  </si>
  <si>
    <t>CASCO RUDY PROJECTVENGERAMARILNEGMATSHL6</t>
  </si>
  <si>
    <t>5RUP085</t>
  </si>
  <si>
    <t>CASCO RUDY PROJECTPROTERAOCENEGSMHL80004</t>
  </si>
  <si>
    <t>5RUP130</t>
  </si>
  <si>
    <t>CASCO RUDY HL800082 L/PROTERA+IRIDESCENT</t>
  </si>
  <si>
    <t>5SK0443</t>
  </si>
  <si>
    <t>ZAPATO SKECH KID'S 3/403983L NAVY ORANGE</t>
  </si>
  <si>
    <t>5VR4001</t>
  </si>
  <si>
    <t>CAMISETA VR46 M/EQMTSMB00128 FLUO YELLOW</t>
  </si>
  <si>
    <t>5VR4002</t>
  </si>
  <si>
    <t>CAMISETA VR46 L/EQMTSMB00128 FLUO YELLOW</t>
  </si>
  <si>
    <t>9LLB0SF</t>
  </si>
  <si>
    <t>"LLANTA KENDA P/BICI 29*2,2 K1027"</t>
  </si>
  <si>
    <t>9LLE002</t>
  </si>
  <si>
    <t>LLANTA DE BICICLETA 29X2.20 K1010 A0555</t>
  </si>
  <si>
    <t>9LLEE02</t>
  </si>
  <si>
    <t>"TUBO KENDA BICI 29*1,9/2,3 28T"</t>
  </si>
  <si>
    <t>9LLEE05</t>
  </si>
  <si>
    <t>"TUBO KENDA BICI 26*2,125 28T 48L"</t>
  </si>
  <si>
    <t>9MMS103</t>
  </si>
  <si>
    <t>BANNER KENDA</t>
  </si>
  <si>
    <t>9TUB005</t>
  </si>
  <si>
    <t>TUBO KENDA P/BICI 29*1,9/2,3 A/V 40L</t>
  </si>
  <si>
    <t>9TUB010</t>
  </si>
  <si>
    <t>TUBO KENDA P/B 12-1/2*1,75*2-1/4  A/V40L</t>
  </si>
  <si>
    <t>B154130</t>
  </si>
  <si>
    <t>BICI X4 RIDER-X 12 NEGRO</t>
  </si>
  <si>
    <t>B15RID1</t>
  </si>
  <si>
    <t>BICI 12 RIDER X-1 NARANJA AZUL</t>
  </si>
  <si>
    <t>B15RID2</t>
  </si>
  <si>
    <t>BICI 12 RIDER X-2 GRIS NARANJA</t>
  </si>
  <si>
    <t>B15W204</t>
  </si>
  <si>
    <t>BICI 12 RIDER X4 NEGRO CELESTE</t>
  </si>
  <si>
    <t>BZAP06U</t>
  </si>
  <si>
    <t>ZAPATO CICLIS MRN 37 MR1338 BOA EXPERT N</t>
  </si>
  <si>
    <t>X9000JV</t>
  </si>
  <si>
    <t>DESCAR SHI ACERA FD-M3000 9V TOP SWING</t>
  </si>
  <si>
    <t>X9000ND</t>
  </si>
  <si>
    <t>CATALINA SHIM XT FC-M8100-1 12V 170MM 52</t>
  </si>
  <si>
    <t>X90011I</t>
  </si>
  <si>
    <t>GRASA PARA MANZANAS (FREEWHEEL) 50G GRA0</t>
  </si>
  <si>
    <t>XRT0494</t>
  </si>
  <si>
    <t>FASTRECOVERY MONODOSIS GOLDNUTRTION FRUT</t>
  </si>
  <si>
    <t>XTUB059</t>
  </si>
  <si>
    <t>TUBO CST 29X1.90/2.35 FV 48MM</t>
  </si>
  <si>
    <t>XTUB122</t>
  </si>
  <si>
    <t>TUBO VITTORIA STANDARD 700X20/28C FV PRE</t>
  </si>
  <si>
    <t>XTUB123</t>
  </si>
  <si>
    <t>5LD393H</t>
  </si>
  <si>
    <t>GUANTES L MARIN AI-05 LARGO TOMATE NEGRO</t>
  </si>
  <si>
    <t>5SK0441</t>
  </si>
  <si>
    <t>ZAPATO SKECH KID'S 1.5/403983L NAVY ORAN</t>
  </si>
  <si>
    <t>5LEA8AY</t>
  </si>
  <si>
    <t>ZAPATO CICLIS LEATT 9.5/3024320365 SKULL</t>
  </si>
  <si>
    <t>BZAP06J</t>
  </si>
  <si>
    <t>ZAPATO CICLIS MRN 42 DM1062 TNT NEGRO RO</t>
  </si>
  <si>
    <t>5RUP052</t>
  </si>
  <si>
    <t>CASCO RUDY PROJECTVENGERROJONEGMATLHL660</t>
  </si>
  <si>
    <t>5GIA331</t>
  </si>
  <si>
    <t>LIV CEFIRA VEST DAYBREAK M 850005096</t>
  </si>
  <si>
    <t>5OAK807</t>
  </si>
  <si>
    <t>CASCO OAKLEY FOS900148 02E/M ARO5</t>
  </si>
  <si>
    <t>5GRG42S</t>
  </si>
  <si>
    <t>JERSEY KM50/M/C/CITRICO/L/GRG</t>
  </si>
  <si>
    <t>5LEA055</t>
  </si>
  <si>
    <t>CASCO LEATT MTB L/1023016302 STEALTH/TRA</t>
  </si>
  <si>
    <t>X9000OCB</t>
  </si>
  <si>
    <t>DESCARRILADOR SHIM TOURNEY FD-TY510-TS6</t>
  </si>
  <si>
    <t>X90007K</t>
  </si>
  <si>
    <t>CATALINA SHIM SLX FC-M7130-1 12V 175MM 5</t>
  </si>
  <si>
    <t>4GIA065</t>
  </si>
  <si>
    <t>LIV AIRWAY COMP SIDEPULL R NG/PURPLE/</t>
  </si>
  <si>
    <t>5ALP705</t>
  </si>
  <si>
    <t>BUSO ALP 1213-71810 L 7111 AQUA FACE OFF</t>
  </si>
  <si>
    <t>5ALP706</t>
  </si>
  <si>
    <t>BUSO ALP S/1214-71010 160-BLACK CAMO/CAM</t>
  </si>
  <si>
    <t>5ALPE0N</t>
  </si>
  <si>
    <t>BUSO C/CAPUCHA ALPIN/1213-51670/1026/M/L</t>
  </si>
  <si>
    <t>5FIL024</t>
  </si>
  <si>
    <t>GORRA FILA CH-1179 OLIVE</t>
  </si>
  <si>
    <t>5GIA07A</t>
  </si>
  <si>
    <t>CASACA S DIVERSION THERMAL 850003168</t>
  </si>
  <si>
    <t>5LD3801</t>
  </si>
  <si>
    <t>GUANTE NEON AMARILLO TOMATE M A1-08-880</t>
  </si>
  <si>
    <t>5LD393E</t>
  </si>
  <si>
    <t>GUANTES M MARIN AI-05-LARGO TOMATE NEGRO</t>
  </si>
  <si>
    <t>5LD393F</t>
  </si>
  <si>
    <t>5LEA2W7</t>
  </si>
  <si>
    <t>GLOVE MTB 6025105542 L 2.0 X-FLOW #L/EU9</t>
  </si>
  <si>
    <t>5LEA2X9</t>
  </si>
  <si>
    <t>GLOVE MTB 6025105701 M 3.0 ENDURANCE #M/</t>
  </si>
  <si>
    <t>5LGAZ75</t>
  </si>
  <si>
    <t>ZAPATO CICLISMO LG HILLIBILLINEGROT43147</t>
  </si>
  <si>
    <t>5LGAZ94</t>
  </si>
  <si>
    <t>ZAPATOS DCICLIS XZNARANJAT431487315</t>
  </si>
  <si>
    <t>5SK9407</t>
  </si>
  <si>
    <t>BUSO SKECH MEN'S M/LT16 BLUE</t>
  </si>
  <si>
    <t>9LLEE04</t>
  </si>
  <si>
    <t>"TUBO KENDA BICI 24*2,125 28T"</t>
  </si>
  <si>
    <t>BZAP05K</t>
  </si>
  <si>
    <t>ZAPATO CICLIS MRN 41 AT 1532 RIFT NEGRO</t>
  </si>
  <si>
    <t>BZAP05N</t>
  </si>
  <si>
    <t>ZAPATO CICLIS MRN 44 AT 1532 RIFT NEGRO</t>
  </si>
  <si>
    <t>BZAP07Q</t>
  </si>
  <si>
    <t>ZAPATO CICLIS MRN 43 MR1094 PURE XC NEGR</t>
  </si>
  <si>
    <t>BZAP07R</t>
  </si>
  <si>
    <t>ZAPATO CICLIS MRN 44 MR1094 PURE XC NEGR</t>
  </si>
  <si>
    <t>BZAP07U</t>
  </si>
  <si>
    <t>ZAPATO CICLIS MRN 39 MR1385 TEAM X1 NEGR</t>
  </si>
  <si>
    <t>BZAP07X</t>
  </si>
  <si>
    <t>ZAPATO CICLIS MRN 42 MR1385 TEAM X1 NEGR</t>
  </si>
  <si>
    <t>X90008O</t>
  </si>
  <si>
    <t>SHIFTER DOBLE SHIMANO ACERA SL-M3010 -9V</t>
  </si>
  <si>
    <t>X9129GN</t>
  </si>
  <si>
    <t>LICRA DE CICLISMO T-P</t>
  </si>
  <si>
    <t>X912K31</t>
  </si>
  <si>
    <t>BUSO MARIN 2022 TALLA M</t>
  </si>
  <si>
    <t>X912K32</t>
  </si>
  <si>
    <t>BUSO MARIN 2022 TALLA L</t>
  </si>
  <si>
    <t>AUDIF15</t>
  </si>
  <si>
    <t>AUDIFONOS TCL TW12-3AOFUS4</t>
  </si>
  <si>
    <t>5RCA55G</t>
  </si>
  <si>
    <t>AUDIFONOS RCA/K-102H/ROSADO</t>
  </si>
  <si>
    <t>5MONT01</t>
  </si>
  <si>
    <t>AUDIFONOS MONSTER XKT115 BEIGE</t>
  </si>
  <si>
    <t>5MONT21</t>
  </si>
  <si>
    <t>AUDIFONOS MONSTER XKT01 WH</t>
  </si>
  <si>
    <t>5E147EG</t>
  </si>
  <si>
    <t>CABLE AUX THUNDER 3.5 A CABLE OPTICO 3M</t>
  </si>
  <si>
    <t>4M96A33</t>
  </si>
  <si>
    <t>SPLITTER 2 ENTRADAS VH47R</t>
  </si>
  <si>
    <t>1EA051030F</t>
  </si>
  <si>
    <t>HEADLIGHT ASSEMBLY-RIGHT FRONT</t>
  </si>
  <si>
    <t>2402940E1L</t>
  </si>
  <si>
    <t>DRIVEN CONDE GEAR 2402940E1L</t>
  </si>
  <si>
    <t>8113040BF02</t>
  </si>
  <si>
    <t>CABIN AIR FILTER</t>
  </si>
  <si>
    <t>3711015-1850-C00</t>
  </si>
  <si>
    <t>FRONT LEFT COMBINATION LAMP ASSEMBLY</t>
  </si>
  <si>
    <t>1307110-85K</t>
  </si>
  <si>
    <t>ADDITIONAL WATER PUMP ASSEMBLY</t>
  </si>
  <si>
    <t>1EA061P11</t>
  </si>
  <si>
    <t>AIR CONDITIONING FILTER - POLLEN</t>
  </si>
  <si>
    <t>1000700909</t>
  </si>
  <si>
    <t>FUEL FILTER ELEMENT - 1000700909</t>
  </si>
  <si>
    <t>1050-3001019F</t>
  </si>
  <si>
    <t>Bushing</t>
  </si>
  <si>
    <t>1601430-D897</t>
  </si>
  <si>
    <t>RELEASE BEARING - 1601430-D897</t>
  </si>
  <si>
    <t>1703170-D840LT</t>
  </si>
  <si>
    <t>GEAR SHIFT FLEXIBLE SHAFT ASSEMBLY</t>
  </si>
  <si>
    <t>1109060-Q1040</t>
  </si>
  <si>
    <t>MAIN  FILTER ELEMENT ASSEMBLY</t>
  </si>
  <si>
    <t>1109060-55B</t>
  </si>
  <si>
    <t>SECONDARY FILTER ELEMENT ASSEMBLY</t>
  </si>
  <si>
    <t>1105010-DP170</t>
  </si>
  <si>
    <t>FUEL PRE-FILTER - 1105010-DP170</t>
  </si>
  <si>
    <t>1109060-DD051-HY</t>
  </si>
  <si>
    <t>8202015CB45-C00</t>
  </si>
  <si>
    <t>LH MIRROR ASSEMBLY - 8202015CB45-C00</t>
  </si>
  <si>
    <t>3711020-1850-C00</t>
  </si>
  <si>
    <t>FRONT RIGHT COMBINATION LAMP AND TURN LA</t>
  </si>
  <si>
    <t>1105010-4T6</t>
  </si>
  <si>
    <t>FUEL FILTER ASSEMBLY - 1105010-4T6</t>
  </si>
  <si>
    <t>8202020CB45-C00</t>
  </si>
  <si>
    <t>RH EXTERIOR MIRROR ASSEMBLY - ELECTRIC -</t>
  </si>
  <si>
    <t>4L30404</t>
  </si>
  <si>
    <t>LIMA BELLOTA TRI DOBLE 10" 104083  1/120</t>
  </si>
  <si>
    <t>4L30424</t>
  </si>
  <si>
    <t>LIMA BELLOTA TRI DOBLE 9" M/PLA 094083MP</t>
  </si>
  <si>
    <t>QLED TV MINI LED TCL 55C825</t>
  </si>
  <si>
    <t>5LEA2AS</t>
  </si>
  <si>
    <t>BOTA MOTO 3.5 JR US1 NEGRO 3025450400</t>
  </si>
  <si>
    <t>5LEA460</t>
  </si>
  <si>
    <t>PANTALON MOTO LEATT S/5024080401 FORGE/4</t>
  </si>
  <si>
    <t>5LEAB48</t>
  </si>
  <si>
    <t>GAFA MOTO 5.5 GRIS 8024070380</t>
  </si>
  <si>
    <t>5LEAG2J</t>
  </si>
  <si>
    <t>GUANTE MOTO 1.5 JR US 7.5 NEGRO 60240903</t>
  </si>
  <si>
    <t>5LEAJ87</t>
  </si>
  <si>
    <t>JERSEY PANTALON RIDE KIT MINI 3.5 XS ROJ</t>
  </si>
  <si>
    <t>5LEAJ9W</t>
  </si>
  <si>
    <t>JERSEY MOTO 4.5 LITE L NEGRO 5025300502</t>
  </si>
  <si>
    <t>5LEAT5W</t>
  </si>
  <si>
    <t>CASCO KIT MOTO 3.5 LEATT M/1024060462 RO</t>
  </si>
  <si>
    <t>3REP0B1</t>
  </si>
  <si>
    <t>STAND LATERAL VESPA</t>
  </si>
  <si>
    <t>5LEA308</t>
  </si>
  <si>
    <t>CASCO MOTO 2.5 LEATT M/1024060542 RED V2</t>
  </si>
  <si>
    <t>4GIA01K</t>
  </si>
  <si>
    <t>GIANT MANGO SILICONA NEGRO 190000072</t>
  </si>
  <si>
    <t>4GIA02H</t>
  </si>
  <si>
    <t>GIANT BOLSO S TOP TUBE NEGRO 430000009</t>
  </si>
  <si>
    <t>4SCH00G</t>
  </si>
  <si>
    <t>LLAN/BICI ONE 25-622 HS462A/67E 11158992</t>
  </si>
  <si>
    <t>5ALPG07</t>
  </si>
  <si>
    <t>GUANTES ALPINESTARS ASPEN PRO/DARK NAVY/</t>
  </si>
  <si>
    <t>5ALPG89</t>
  </si>
  <si>
    <t>GUANTES ALPINESTARS YOUTH ASPENLANTHRACI</t>
  </si>
  <si>
    <t>5ALPJ4Y</t>
  </si>
  <si>
    <t>JERSEY SS ALP/M 1785424/3020 RED/STELLA</t>
  </si>
  <si>
    <t>5ALPL3Y</t>
  </si>
  <si>
    <t>CAMISETA ALPIN/1212-72032/19/M/FASTBACK</t>
  </si>
  <si>
    <t>5ALPS02</t>
  </si>
  <si>
    <t>SHORT ALPINESTARS/NEGRO-BLANCO/1722919</t>
  </si>
  <si>
    <t>5APG10R</t>
  </si>
  <si>
    <t>SHORT APG W'S M/L10662317-03 PURPLE CLAS</t>
  </si>
  <si>
    <t>5APG724</t>
  </si>
  <si>
    <t>MEDIAS Q-SKIN 16CM APG/M L22231402 BLUE</t>
  </si>
  <si>
    <t>5FIL019</t>
  </si>
  <si>
    <t>GORRA FILA CH-1035 BLACK</t>
  </si>
  <si>
    <t>5FILZ31</t>
  </si>
  <si>
    <t>"ZAPATO 02947 T9,5 M EXECUTIVE3.0 WHT/BL</t>
  </si>
  <si>
    <t>5GIA047</t>
  </si>
  <si>
    <t>JERSEY M CORTO RACE SS NEGRO 850004210</t>
  </si>
  <si>
    <t>5LD392A</t>
  </si>
  <si>
    <t>GUANTE M  AI-05-1740  AZUL CON NEGRO</t>
  </si>
  <si>
    <t>5RUPG19</t>
  </si>
  <si>
    <t>GAFAS DSOL RUDY PROJGOGGLES KLONYXMK1344</t>
  </si>
  <si>
    <t>9LLE01F</t>
  </si>
  <si>
    <t>VALVULA PRESTA AZUL 34MM 2PCS W095-0007</t>
  </si>
  <si>
    <t>B15SNA2</t>
  </si>
  <si>
    <t>BICI SNAP 24 NEGRO DORADO 661</t>
  </si>
  <si>
    <t>B15W205</t>
  </si>
  <si>
    <t>BICI 12 RIDER X5 ROSADO</t>
  </si>
  <si>
    <t>X9000LT</t>
  </si>
  <si>
    <t>ZAPATILLAS SHIM SH-GR500 T39 GRAY ZAP430</t>
  </si>
  <si>
    <t>X912JPF</t>
  </si>
  <si>
    <t>FAST RECOVERY MARACUYA 600GR</t>
  </si>
  <si>
    <t>7RT0053</t>
  </si>
  <si>
    <t>TELEVISOR RCA  GOOGLE TV 32HDRC</t>
  </si>
  <si>
    <t>5K1149B</t>
  </si>
  <si>
    <t>SOPORTE P/TV 37"-80"/QFA29-466</t>
  </si>
  <si>
    <t>5RCA205</t>
  </si>
  <si>
    <t>GAMING MOUSEPAD RGB RCA-205</t>
  </si>
  <si>
    <t>5MONT51</t>
  </si>
  <si>
    <t>FLASH MEMORY MONSTER K-113U 64G</t>
  </si>
  <si>
    <t>5K1148O</t>
  </si>
  <si>
    <t>SOPORTE P/TV 37"-80"/QF01-46T</t>
  </si>
  <si>
    <t>5K1148N</t>
  </si>
  <si>
    <t>SOPORTE P/TV 37-70-80/QF01-46F</t>
  </si>
  <si>
    <t>X5CQ0G2G</t>
  </si>
  <si>
    <t>CABLE TREQA TIPO LLAVERO CA-8421 MICRO</t>
  </si>
  <si>
    <t>5MONT67</t>
  </si>
  <si>
    <t>CARGADOR MONSTER S9-QD20W-GAN</t>
  </si>
  <si>
    <t>5MONT0R</t>
  </si>
  <si>
    <t>CABLE MONSTER TIPO C A LIGHT/RL4103</t>
  </si>
  <si>
    <t>5RCP009</t>
  </si>
  <si>
    <t>COMBO PILA RCA AA8+AAA4 12PCS</t>
  </si>
  <si>
    <t>4R920C5</t>
  </si>
  <si>
    <t>PANEL CUADR LED 90LMW 6500K/6W 120X120MM</t>
  </si>
  <si>
    <t>X5CQ0G2H</t>
  </si>
  <si>
    <t>CABLE TIPO LLAVERO CA-8423 TIPO C</t>
  </si>
  <si>
    <t>5K1148G</t>
  </si>
  <si>
    <t>SOPORTE P/TV 13"-42"/QFA01-221C</t>
  </si>
  <si>
    <t>5K11480</t>
  </si>
  <si>
    <t>SOPORTE P/TV 13"-27"/QFM07-12</t>
  </si>
  <si>
    <t>7RT0045</t>
  </si>
  <si>
    <t>TELEVISOR LED32RCA683GT CBU</t>
  </si>
  <si>
    <t>PARLANTE/BLUETOOTH/RCA/B348/DISCO</t>
  </si>
  <si>
    <t>DEFecto de fábrica</t>
  </si>
  <si>
    <t>CELULAR TCL 30SE/6165 A1/GRIS</t>
  </si>
  <si>
    <t>5RCA50C</t>
  </si>
  <si>
    <t>CABLE D/CARGA RCA/T11 C A C</t>
  </si>
  <si>
    <t>5K1148J</t>
  </si>
  <si>
    <t>SOPORTE P/TV 13"-42"/QFA01-222A</t>
  </si>
  <si>
    <t>5BYTE0A</t>
  </si>
  <si>
    <t>MOUSE INALAM/P/GAMING/BY-MS-WR-103-BK</t>
  </si>
  <si>
    <t>X5CQ07YE</t>
  </si>
  <si>
    <t>MEMORIA V168 USB 64GB BLUE</t>
  </si>
  <si>
    <t>5103241-E28</t>
  </si>
  <si>
    <t>LEFT LEVEL 1 PEDAL</t>
  </si>
  <si>
    <t>2300001-PA8-81</t>
  </si>
  <si>
    <t>GEAR RING - 2300001-PA8-81</t>
  </si>
  <si>
    <t>300104216F</t>
  </si>
  <si>
    <t>Bushing - knuckle pin</t>
  </si>
  <si>
    <t>X4063BG</t>
  </si>
  <si>
    <t>PLUMA ECO BOSCH 14" 3 397 004 911</t>
  </si>
  <si>
    <t>1006RA14G</t>
  </si>
  <si>
    <t>Contrapeso RA 14g 1/2 OZ</t>
  </si>
  <si>
    <t>1006CONT014</t>
  </si>
  <si>
    <t>CONTRAPESO MC 14g</t>
  </si>
  <si>
    <t>1006MC21G</t>
  </si>
  <si>
    <t>Contrapeso MC 21g 3/4 OZ</t>
  </si>
  <si>
    <t>5OAKE52</t>
  </si>
  <si>
    <t>GORRA 02EL/XL FOS901497 TINFOIL 3.0</t>
  </si>
  <si>
    <t>5SK0521</t>
  </si>
  <si>
    <t>ZAPATO 118310GRY9.5 MEN SLIP-INS GRIS</t>
  </si>
  <si>
    <t>5SKB011</t>
  </si>
  <si>
    <t>ZAP SKECHERS 108214BLK T:7.5 W NAM-BEJ</t>
  </si>
  <si>
    <t>B15HO07</t>
  </si>
  <si>
    <t>BICI 20 HOTWHEELS ROJO 7SP</t>
  </si>
  <si>
    <t>5LYR006</t>
  </si>
  <si>
    <t>BANDAS DE PUERTA FITNESS YR3214</t>
  </si>
  <si>
    <t>5LYR00L</t>
  </si>
  <si>
    <t>BANCO DE SENTAMIENTOS FITNESS YR1201</t>
  </si>
  <si>
    <t>5SK0549</t>
  </si>
  <si>
    <t>ZAPATO 150241BKWG6 WOM D'LITES NEGRO BLA</t>
  </si>
  <si>
    <t>5XED00C</t>
  </si>
  <si>
    <t>BATE D/BEISBOL DE HAYA 28" PVC B2956</t>
  </si>
  <si>
    <t>B15SO08</t>
  </si>
  <si>
    <t>BICI 20 SONIC BLANCO 7V 018</t>
  </si>
  <si>
    <t>5MONS17</t>
  </si>
  <si>
    <t>POWER BANK CON PANTALLA MONSTER S1363</t>
  </si>
  <si>
    <t>5MONS21</t>
  </si>
  <si>
    <t>P. BANK C/PANTALLA MONSTER S1363 BLANCO</t>
  </si>
  <si>
    <t>5MONT05</t>
  </si>
  <si>
    <t>AUDIFONOS MONSTER XKT25 BLUE</t>
  </si>
  <si>
    <t>5RCA52O</t>
  </si>
  <si>
    <t>RELOJ SMART RCA/TRONIX ZX BEIGE</t>
  </si>
  <si>
    <t>5RCA574</t>
  </si>
  <si>
    <t>RELOJ SMART RCA G12 HORIZON-XBLACK/GREEN</t>
  </si>
  <si>
    <t>2KCCO39</t>
  </si>
  <si>
    <t>COBERTOR KC SENA 2PLZ</t>
  </si>
  <si>
    <t>2KCCO57</t>
  </si>
  <si>
    <t>COBERTOR KC MISURI 3PLZ</t>
  </si>
  <si>
    <t>2KCTO07</t>
  </si>
  <si>
    <t>TOALLA KC 550G 48X100 BLANCO</t>
  </si>
  <si>
    <t>5NAUB04</t>
  </si>
  <si>
    <t>BOWL NAUTICA SB23120BC1</t>
  </si>
  <si>
    <t>5NAUB05</t>
  </si>
  <si>
    <t>GADGETS BAMU US032S4BA28</t>
  </si>
  <si>
    <t>5JICIJB</t>
  </si>
  <si>
    <t>BOYA SPIDERMAN 98003</t>
  </si>
  <si>
    <t>B15A165</t>
  </si>
  <si>
    <t>BICI 16 GLAM NINA MORADO</t>
  </si>
  <si>
    <t>B15326N</t>
  </si>
  <si>
    <t>BICI 26 ROXY FUCSIA GM-888</t>
  </si>
  <si>
    <t>B15A260</t>
  </si>
  <si>
    <t>BICI 26 MADROCK X NEGRO GRIS</t>
  </si>
  <si>
    <t>5FIL115</t>
  </si>
  <si>
    <t>TOP SPORT W'S FILA XL/FLAB-B-1512L LT GR</t>
  </si>
  <si>
    <t>5JICIB3</t>
  </si>
  <si>
    <t>GAFAS PRINCESSAS 9102O</t>
  </si>
  <si>
    <t>5FIL112</t>
  </si>
  <si>
    <t>TOP SPORT W'S FILA S/FLAB-B1512L LT GRE</t>
  </si>
  <si>
    <t>5FIL102</t>
  </si>
  <si>
    <t>TOP SPORT W'S FILA L/FLAB-B-1530L LT OLI</t>
  </si>
  <si>
    <t>5JICIB7</t>
  </si>
  <si>
    <t>GAFAS SPIDERMAN 98022</t>
  </si>
  <si>
    <t>170002-31</t>
  </si>
  <si>
    <t>PRESSURE PLATE</t>
  </si>
  <si>
    <t>2803010-E28-MD</t>
  </si>
  <si>
    <t>Front Bumper Welding Assembly</t>
  </si>
  <si>
    <t>B3502035BK01</t>
  </si>
  <si>
    <t>LEFT REAR BRAKE LINING REPAIR KIT</t>
  </si>
  <si>
    <t>JH35022300-SGSZ128</t>
  </si>
  <si>
    <t>PUMP ASSEMBLY - JH35022300-SGSZ128C-4</t>
  </si>
  <si>
    <t>6105030-E98A</t>
  </si>
  <si>
    <t>RH FR DOOR ELECTRIC LOCK - 6105030-E98A</t>
  </si>
  <si>
    <t>Z20140023</t>
  </si>
  <si>
    <t>FUEL SECONDARY FILTER - Z20140023</t>
  </si>
  <si>
    <t>4LU0047</t>
  </si>
  <si>
    <t>LUB GULF SUPERFLEET SUP ROJO 15W40 18202</t>
  </si>
  <si>
    <t>1601310-99A</t>
  </si>
  <si>
    <t>CLUTCH COVER - 1601310-99A</t>
  </si>
  <si>
    <t>B3502040BK01</t>
  </si>
  <si>
    <t>RIGHT REAR BRAKE LINING REPAIR KIT</t>
  </si>
  <si>
    <t>JH35021300-SGSZ128</t>
  </si>
  <si>
    <t>1000422382</t>
  </si>
  <si>
    <t>FUEL FINE FILTER ELEMENT - 1000422382</t>
  </si>
  <si>
    <t>6105030-A95H</t>
  </si>
  <si>
    <t>RH FR DOOR ELECTRIC LOCK - 6105030-A95H</t>
  </si>
  <si>
    <t>14080MO3593</t>
  </si>
  <si>
    <t>"F. ACEITE MO3593 LUV V6, RODEO,DMAX 3.5</t>
  </si>
  <si>
    <t>Q341B08</t>
  </si>
  <si>
    <t>FINE TOOTH NUT - LOCK PIN BOLT</t>
  </si>
  <si>
    <t>4CEP55B</t>
  </si>
  <si>
    <t>CERAMICA/SANTORINI GRAY/60X60</t>
  </si>
  <si>
    <t>4CEP53J</t>
  </si>
  <si>
    <t>CERAMICA NAVONA-AC 960.008/56X113</t>
  </si>
  <si>
    <t>4CE5606</t>
  </si>
  <si>
    <t>CERAMICA PHANTEON ROCK/VA51101/51X110</t>
  </si>
  <si>
    <t>4CEP55G</t>
  </si>
  <si>
    <t>CERAMICA/GRAN TRAVERTINO CZ MATE/60X120</t>
  </si>
  <si>
    <t>4CEP55P</t>
  </si>
  <si>
    <t>CERAMICA/CORONHA MR RT 60/60X60</t>
  </si>
  <si>
    <t>4CEP511</t>
  </si>
  <si>
    <t>CERAMICA 65019-TAIPA/60X105</t>
  </si>
  <si>
    <t>4CKG0191</t>
  </si>
  <si>
    <t>PIEDRA SINTERIZADA 2600X800X15 NW THUNDR</t>
  </si>
  <si>
    <t>4CMPK52</t>
  </si>
  <si>
    <t>PISO FLOT 1217X198X8MM 1070-2</t>
  </si>
  <si>
    <t>57AQG5X</t>
  </si>
  <si>
    <t>CENTRO DE MESA QMH19679-48</t>
  </si>
  <si>
    <t>4WPC032</t>
  </si>
  <si>
    <t>PANEL WPC 1220*2440MM 5MM P5</t>
  </si>
  <si>
    <t>4CEP0IA</t>
  </si>
  <si>
    <t>"PAPEL TAPIZ/E-SOUI-II/YSW101303/1,06X10</t>
  </si>
  <si>
    <t>4CEP0ID</t>
  </si>
  <si>
    <t>"PAPEL TAPIZ/E-SOUI-II/YSW100203/1,06X10</t>
  </si>
  <si>
    <t>8SSI0R1</t>
  </si>
  <si>
    <t>POLTRONA KASIA R1</t>
  </si>
  <si>
    <t>4GNT136</t>
  </si>
  <si>
    <t>LAVABO BLANCO MATTE GRIS MATTE A442T</t>
  </si>
  <si>
    <t>57AMJ1Y</t>
  </si>
  <si>
    <t>ORGANIZADOR 962916</t>
  </si>
  <si>
    <t>4CEP52O</t>
  </si>
  <si>
    <t>CERAMICA BOURBON BEIGE-AC 839.017/39X75</t>
  </si>
  <si>
    <t>5ACBA1Y</t>
  </si>
  <si>
    <t>CEPILLO PARA BAÑO 24-0303</t>
  </si>
  <si>
    <t>57PMTL85</t>
  </si>
  <si>
    <t>SOPORTE PAPEL HIGIENICO 15.5X62CM 428474</t>
  </si>
  <si>
    <t>57AQ459</t>
  </si>
  <si>
    <t>MACETA 22295B-2</t>
  </si>
  <si>
    <t>4S90150</t>
  </si>
  <si>
    <t>TOMACORRIENTE DOBLE+USB+TIPO C NEGRO MAT</t>
  </si>
  <si>
    <t>QHEMPLA</t>
  </si>
  <si>
    <t>EMPORADOR PLATA 2KG</t>
  </si>
  <si>
    <t>5ACBA1I</t>
  </si>
  <si>
    <t>CEPILLO PARA BAÑO 24-0113</t>
  </si>
  <si>
    <t>4CEP0JA</t>
  </si>
  <si>
    <t>"PAPEL TAPIZ/NAT/ELEM I/ZY1405/0,53X10M"</t>
  </si>
  <si>
    <t>5ACBA30</t>
  </si>
  <si>
    <t>DISPENSADOR DE JABON RESIN-24-0215</t>
  </si>
  <si>
    <t>4TD011F</t>
  </si>
  <si>
    <t>LLAVE P LAVAMANOS CARDINAL ANGULAR 16"</t>
  </si>
  <si>
    <t>5ACBA32</t>
  </si>
  <si>
    <t>PORTA JABON RESIN-24-0215</t>
  </si>
  <si>
    <t>5RCOM0F</t>
  </si>
  <si>
    <t>ENCIMERA RCA 5Q VIDRIO TRIP COR 90G-060</t>
  </si>
  <si>
    <t>5HEN000</t>
  </si>
  <si>
    <t>ENCIMERA HB VIDRIO 5Q HB90GQ402</t>
  </si>
  <si>
    <t>5RUP027</t>
  </si>
  <si>
    <t>CASCO RUDY PROJECTSPECTRUMROJOMHL650021</t>
  </si>
  <si>
    <t>5CBR071</t>
  </si>
  <si>
    <t>PEDAL STAMP 7 LARGE MORADO16278</t>
  </si>
  <si>
    <t>5LGAC81</t>
  </si>
  <si>
    <t>CASACA LG/W'S MODESTO 3/PEONY/XS 10302</t>
  </si>
  <si>
    <t>5GIA187</t>
  </si>
  <si>
    <t>ZAP LIV REGALO 2020 MATTE BLACK EU38 870</t>
  </si>
  <si>
    <t>BGI020S</t>
  </si>
  <si>
    <t> GAVIA COURSE 0 700X28C 340000224</t>
  </si>
  <si>
    <t>B15AL73</t>
  </si>
  <si>
    <t>BICI 12 ALCATRAZ JR X FUCSIA NEGR GM67-3</t>
  </si>
  <si>
    <t>PEDAL STAMP 1 NARANJA16388</t>
  </si>
  <si>
    <t>5CBR300A</t>
  </si>
  <si>
    <t>KIT CALAS EASY RELEASE 0 FLOAT CLEAT</t>
  </si>
  <si>
    <t>5LTW006</t>
  </si>
  <si>
    <t>CAMBIO D/GATILLO 1X11 VEL 1.1/SL-A11-X</t>
  </si>
  <si>
    <t>BGI0177</t>
  </si>
  <si>
    <t>FRAME 90222G9294A1K</t>
  </si>
  <si>
    <t>X9000ANDK</t>
  </si>
  <si>
    <t>EJE SHIMANO CENTRO BOTTOM BRACKET BB-UN3</t>
  </si>
  <si>
    <t>5RUPG28</t>
  </si>
  <si>
    <t>GAFAS DSOL RUDY PROJDEFEND BLK MSP527406</t>
  </si>
  <si>
    <t>5SKH008</t>
  </si>
  <si>
    <t>ZAPATO SKECH MEN'S 7.5/220351 RED MAX CU</t>
  </si>
  <si>
    <t>5LGAC53</t>
  </si>
  <si>
    <t>CHALECO LG NOVA PEONY T-XS 1028102396</t>
  </si>
  <si>
    <t>X9000AND</t>
  </si>
  <si>
    <t>CHOCLE SHIM MTB SM-SH51 C/BASE METALICA</t>
  </si>
  <si>
    <t>4GIA02F</t>
  </si>
  <si>
    <t>GIANT VALVULA STEM 42MM X 2 UN 330000141</t>
  </si>
  <si>
    <t>X9000B9</t>
  </si>
  <si>
    <t>PACHA MTB SHIM 7V CASSETT CS-HG200 12-32</t>
  </si>
  <si>
    <t>B15700U</t>
  </si>
  <si>
    <t>BICI MARIN LOMBARD 2700C540730150003</t>
  </si>
  <si>
    <t>5GIA190</t>
  </si>
  <si>
    <t>ZAPATO LIV SHUTTLE FLATGREY 38 870001780</t>
  </si>
  <si>
    <t>4GIA183</t>
  </si>
  <si>
    <t>GIANT PINNER ELITE FLAT PEDAL-/230000104</t>
  </si>
  <si>
    <t>B15HO04</t>
  </si>
  <si>
    <t>BICI 16 HOTWHEELS AZUL 009</t>
  </si>
  <si>
    <t>B15701J</t>
  </si>
  <si>
    <t>BICI MARIN GESTALT X10 700CCHROME5607324</t>
  </si>
  <si>
    <t>5GIA189</t>
  </si>
  <si>
    <t>ZAPATO LIV SHUTTLE FLATGREY 37 870001779</t>
  </si>
  <si>
    <t>B15HO03</t>
  </si>
  <si>
    <t>BICI 16 HOTWHEELS NEGRO 008</t>
  </si>
  <si>
    <t>5GIA347</t>
  </si>
  <si>
    <t>SUPERLIGH VEST NEON YELLOW S/M 850005245</t>
  </si>
  <si>
    <t>5LGAC79</t>
  </si>
  <si>
    <t>CASACA LG/MODESTO 3/PEONY/S 1030234 W`S</t>
  </si>
  <si>
    <t>5RCA518</t>
  </si>
  <si>
    <t>AUDIFONOS RCA/X1 SHOX</t>
  </si>
  <si>
    <t>5LGAC4A</t>
  </si>
  <si>
    <t>CASACA LG/CLEAN IMPER XXS/1030107 000-CL</t>
  </si>
  <si>
    <t>4MA0041</t>
  </si>
  <si>
    <t>LUZ DELANTE BICI DESINGMOMO 02 LED HL02</t>
  </si>
  <si>
    <t>X457007</t>
  </si>
  <si>
    <t>LINTERNA TRASERA PARA BISI LED ENERGIZER</t>
  </si>
  <si>
    <t>5DYE018</t>
  </si>
  <si>
    <t>PEGATINA P/BICI BLOSS CLEAR/DBF 11215</t>
  </si>
  <si>
    <t>5GIA272</t>
  </si>
  <si>
    <t>CLUTCH BOX13 FOR AIRWAY SPORT SIDEPULL</t>
  </si>
  <si>
    <t>5ALPG0K</t>
  </si>
  <si>
    <t>GUANTES ALPINESTARSYOUTH RACERLNEG154732</t>
  </si>
  <si>
    <t>5ALPS24</t>
  </si>
  <si>
    <t>SHORT ALPINESTARSROVER PRONEGT301724619</t>
  </si>
  <si>
    <t>5APG706</t>
  </si>
  <si>
    <t>MEDIAS 16CM APG/S L22217400 BLACK WHITE</t>
  </si>
  <si>
    <t>5DYE024</t>
  </si>
  <si>
    <t>PEGATINA P/TUBO D/DIREC D/BICI/DBF 11233</t>
  </si>
  <si>
    <t>5LGAJ86</t>
  </si>
  <si>
    <t>JERSEY 2004 TOPLGNEGROM CABALLERO</t>
  </si>
  <si>
    <t>5RUPG37</t>
  </si>
  <si>
    <t>GAFAS D/SOL RUDY/SP457306-0001/FOTONYK/N</t>
  </si>
  <si>
    <t>5RUPG65</t>
  </si>
  <si>
    <t>GAFA RUDY SP853817-0000/KELION CRYSTAL R</t>
  </si>
  <si>
    <t>B15RID3</t>
  </si>
  <si>
    <t>BICI 12 RIDER X GRIS</t>
  </si>
  <si>
    <t>B15SLS2</t>
  </si>
  <si>
    <t>BICI 20 SLASH MORADO ROSA SPORT</t>
  </si>
  <si>
    <t>X9000LU</t>
  </si>
  <si>
    <t>ZAPATILLAS SHIM SH-GR500 T39 NAVY ZAP431</t>
  </si>
  <si>
    <t>X9000Y2</t>
  </si>
  <si>
    <t>BALIN SHIMANO FH-M8110 RIGHT 3/16" X13 F</t>
  </si>
  <si>
    <t>5GIA07L</t>
  </si>
  <si>
    <t>CASCO ROOST Â§ BLUE M 55-59CM 800002044</t>
  </si>
  <si>
    <t>5GIA07M</t>
  </si>
  <si>
    <t xml:space="preserve">CASCO ROOST MIPS AZ L 59-63CM 800002045 </t>
  </si>
  <si>
    <t>5APG719</t>
  </si>
  <si>
    <t>MEDIAS Q-SKIN 16CM APG/S L22231543 FLUO</t>
  </si>
  <si>
    <t>5ALPG22</t>
  </si>
  <si>
    <t>GUANTES ALPINESTARS YOUTH ASPENROJOM1544</t>
  </si>
  <si>
    <t>5ALPG23</t>
  </si>
  <si>
    <t>GUANTES ALPINESTARS YOUTH ASPENROJOL1544</t>
  </si>
  <si>
    <t>5ALPG28</t>
  </si>
  <si>
    <t>GUANTES ALPINESTARS TETON PLUSSROJO15629</t>
  </si>
  <si>
    <t>5ALPG30</t>
  </si>
  <si>
    <t>GUANTES ALPINESTARS TETON PLUSMROJO15629</t>
  </si>
  <si>
    <t>5ALPG78</t>
  </si>
  <si>
    <t>GUANTES ALPINESTARS STELLA ASPENMTEAL158</t>
  </si>
  <si>
    <t>X407019</t>
  </si>
  <si>
    <t>WD40 BIKE 10 OZ CLEANER DGRSR</t>
  </si>
  <si>
    <t>4GIA03T</t>
  </si>
  <si>
    <t>GIANT PROTECTOR DE CADENA RUTA 471102</t>
  </si>
  <si>
    <t>4GIA307</t>
  </si>
  <si>
    <t>CONTACT SL 35MM DIAMETER 50 170000189</t>
  </si>
  <si>
    <t>4WTB00K</t>
  </si>
  <si>
    <t>VALVULA PRESTA AZUL W095-0007 34MM 2PCS</t>
  </si>
  <si>
    <t>5ALPH26</t>
  </si>
  <si>
    <t>GORRA KNIT 1244-82140 OS 1020 BLACK WHIT</t>
  </si>
  <si>
    <t>5ALPH2G</t>
  </si>
  <si>
    <t>GORRA ALP 1244-81000 L/XL 1059 BLACK GOL</t>
  </si>
  <si>
    <t>5GIA307</t>
  </si>
  <si>
    <t>PDQ QUICK FIX KIT-ROAD 610000121</t>
  </si>
  <si>
    <t>5GRG206</t>
  </si>
  <si>
    <t>PANTALONETA KM50 PASSION/DAMA/M</t>
  </si>
  <si>
    <t>5GRG209</t>
  </si>
  <si>
    <t>PANTALONETA KM50 RUTA/CABALLERO/M</t>
  </si>
  <si>
    <t>5LEA1H5</t>
  </si>
  <si>
    <t>SHOE FLAT 3025106360 6 2.0 #US6/UK5.5/</t>
  </si>
  <si>
    <t>5LEA28F</t>
  </si>
  <si>
    <t>Gorra 5026081060 Retro #S-XL Moss Green</t>
  </si>
  <si>
    <t>5LEA28G</t>
  </si>
  <si>
    <t>Gorra 5026081070 Retro #S-XL Denim Blue</t>
  </si>
  <si>
    <t>5LEA2N3</t>
  </si>
  <si>
    <t>JERSEY MTB 5025120191 M GRAVITY 4.0 #M/U</t>
  </si>
  <si>
    <t>5LEA2N5</t>
  </si>
  <si>
    <t>JERSEY MTB 5025120193 XL GRAVITY 4.0 #XL</t>
  </si>
  <si>
    <t>5LEA61N</t>
  </si>
  <si>
    <t>SHORT MTB LEATT S/5024130561 BLACK/TRAIL</t>
  </si>
  <si>
    <t>5LEA976</t>
  </si>
  <si>
    <t>PROTEC RODILLA-CANILLA LEATT XXL/5019210</t>
  </si>
  <si>
    <t>5LEA97C</t>
  </si>
  <si>
    <t>PROTEC RODILLA-CANILLA LEATT JR/50194008</t>
  </si>
  <si>
    <t>5LEAC1S</t>
  </si>
  <si>
    <t>CASACA LEATT MTB M/5024130332 GLOW/TRAIL</t>
  </si>
  <si>
    <t>5LGAP17</t>
  </si>
  <si>
    <t>PANTALON LG/OPTIMU.MAT 2/DARK NIG/M 1060</t>
  </si>
  <si>
    <t>5OAKD51</t>
  </si>
  <si>
    <t>BUSO 24LL FOA404012 MARK II L/S TEE 2.0</t>
  </si>
  <si>
    <t>5OAKD72</t>
  </si>
  <si>
    <t>ZAPATO 02E10.0 FOF100432 KOYA RC MTB</t>
  </si>
  <si>
    <t>5SKB180</t>
  </si>
  <si>
    <t>ZAP SKECHERS 303932L-BBK T:3 JR GORUN</t>
  </si>
  <si>
    <t>B15A301</t>
  </si>
  <si>
    <t>BICI 24 SNAP ROSADO</t>
  </si>
  <si>
    <t>B15MAD3</t>
  </si>
  <si>
    <t>BICI MADROCK 26 NEGRO AZUL 608</t>
  </si>
  <si>
    <t>BZAP05D</t>
  </si>
  <si>
    <t>ZAPATOS CICLISMO MARIN 43 RN622B AEROWAV</t>
  </si>
  <si>
    <t>X401412</t>
  </si>
  <si>
    <t>LUBRICANTE WD-40 SPRAY 8 ONZ 52008</t>
  </si>
  <si>
    <t>X9000U4</t>
  </si>
  <si>
    <t>TOPE SHIM CABLE CAMBIOS 1.1/1.2 MM 500PC</t>
  </si>
  <si>
    <t>5OAKE27</t>
  </si>
  <si>
    <t>CAMISETA 31RL FOA404011 MARK II TEE 2.0</t>
  </si>
  <si>
    <t>5LEAC1T</t>
  </si>
  <si>
    <t>CASACA LEATT MTB L/5024130333 GLOW/TRAIL</t>
  </si>
  <si>
    <t>5FILP37</t>
  </si>
  <si>
    <t>PANTALON FILA T:L FSP-P-2890M BLACK</t>
  </si>
  <si>
    <t>5OAKD75</t>
  </si>
  <si>
    <t>ZAPATO 02E9.5 FOF100432 KOYA RC MTB</t>
  </si>
  <si>
    <t>BZAP05C</t>
  </si>
  <si>
    <t>ZAPATOS CICLISMO MARIN 42 RN622B AEROWAV</t>
  </si>
  <si>
    <t>5LD394F</t>
  </si>
  <si>
    <t>GUANTES S MARIN AI-05 LARGO TOMATE NEGRO</t>
  </si>
  <si>
    <t>X912K3ND</t>
  </si>
  <si>
    <t>JELLY BAR - GOMITAS - ORANGE</t>
  </si>
  <si>
    <t>5LD394D</t>
  </si>
  <si>
    <t>5LD3923</t>
  </si>
  <si>
    <t>GUANTES M MARIN AI-05-8763 LARGO ROJO</t>
  </si>
  <si>
    <t>3CN0042</t>
  </si>
  <si>
    <t>NAUTICA  COMFOR COOL MF 160X200X33</t>
  </si>
  <si>
    <t>5ACBA3W</t>
  </si>
  <si>
    <t>PORTA JABON RESIN-24-7010</t>
  </si>
  <si>
    <t>2KCCO53</t>
  </si>
  <si>
    <t>COBERTOR KC EBRO 3PLZ</t>
  </si>
  <si>
    <t>5ACBA3O</t>
  </si>
  <si>
    <t>DISPENSADOR DE JABON CEMENT-24-0117</t>
  </si>
  <si>
    <t>5ACBA3P</t>
  </si>
  <si>
    <t>TAZA DE BAÑO CEMENT-24-0117</t>
  </si>
  <si>
    <t>51GAD2S</t>
  </si>
  <si>
    <t>MOLDE PARA HIELO HB8206CC-NAU</t>
  </si>
  <si>
    <t>2KCCO49</t>
  </si>
  <si>
    <t>COBERTOR KC VOLGA 3PLZ</t>
  </si>
  <si>
    <t>3AN0009</t>
  </si>
  <si>
    <t>ALMOHADA COMFOR COOL 45X75</t>
  </si>
  <si>
    <t>2KCCO56</t>
  </si>
  <si>
    <t>COBERTOR KC MISURI 21/2PLZ</t>
  </si>
  <si>
    <t>4G45640</t>
  </si>
  <si>
    <t>ESPEJO BISELADO 60X80CM 5MM L404</t>
  </si>
  <si>
    <t>2COKC01</t>
  </si>
  <si>
    <t>COBIJA KC 11/2 PLZ</t>
  </si>
  <si>
    <t>3FN0001</t>
  </si>
  <si>
    <t>PROTECTOR COMFORT COOL  1 1/2 PLZ</t>
  </si>
  <si>
    <t>2SBKC04</t>
  </si>
  <si>
    <t>SABANA KC 3 PLAZAS</t>
  </si>
  <si>
    <t>2KCSB98</t>
  </si>
  <si>
    <t>SABANA KC UDINE 21/2PLZ</t>
  </si>
  <si>
    <t>2KCSB17</t>
  </si>
  <si>
    <t>SABANA KC PLATA 2PL</t>
  </si>
  <si>
    <t>2KCSB13</t>
  </si>
  <si>
    <t>SABANA KC BLANCO 2PL</t>
  </si>
  <si>
    <t>2KCS108</t>
  </si>
  <si>
    <t>SABANA KC GIRONA 11/2PLZ</t>
  </si>
  <si>
    <t>2KCSB05</t>
  </si>
  <si>
    <t>SABANA KC BLANCO 11/2PL</t>
  </si>
  <si>
    <t>3AN0011</t>
  </si>
  <si>
    <t>ALMOHADA AIR PILLOW SOFT 45X60</t>
  </si>
  <si>
    <t>2KCTO03</t>
  </si>
  <si>
    <t>TOALLA KC 550G 70X140 TAUPE</t>
  </si>
  <si>
    <t>2AUA001</t>
  </si>
  <si>
    <t>ALF ULTRA ABSORBENTE N2 40X60CM</t>
  </si>
  <si>
    <t>2KCCO41</t>
  </si>
  <si>
    <t>COBERTOR KC SENA 3PLZ</t>
  </si>
  <si>
    <t>3AN0008</t>
  </si>
  <si>
    <t>ALMOHADA COMFOR COOL 45X65</t>
  </si>
  <si>
    <t>2KCCO52</t>
  </si>
  <si>
    <t>COBERTOR KC EBRO 21/2PLZ</t>
  </si>
  <si>
    <t>4G45645</t>
  </si>
  <si>
    <t>ESPEJO BISELADO 60X80CM 5MM LED 604</t>
  </si>
  <si>
    <t>3FN0002</t>
  </si>
  <si>
    <t>PROTECTOR COMFORT COOL  2 PLZ</t>
  </si>
  <si>
    <t>2KCSB04</t>
  </si>
  <si>
    <t>SABANA KC 3PLZ</t>
  </si>
  <si>
    <t>2KCSB22</t>
  </si>
  <si>
    <t>SABANA KC BEIGE 21/2PL</t>
  </si>
  <si>
    <t>2KCS105</t>
  </si>
  <si>
    <t>SABANA KC FIRENZE 2PLZ</t>
  </si>
  <si>
    <t>2KCSB73</t>
  </si>
  <si>
    <t>SABANA KC VERDE OLIVO 2PLZ</t>
  </si>
  <si>
    <t>2KCSB96</t>
  </si>
  <si>
    <t>SABANA KC UDINE 11/2PLZ</t>
  </si>
  <si>
    <t>5DELA06</t>
  </si>
  <si>
    <t>ADORNO DE MESA LY243445</t>
  </si>
  <si>
    <t>2KCSB06</t>
  </si>
  <si>
    <t>SABANA KC BEIGE 11/2PL</t>
  </si>
  <si>
    <t>3NHA010</t>
  </si>
  <si>
    <t>ALF MULTIUSOS YR049 40X60CM GRIS</t>
  </si>
  <si>
    <t>2KCTO04</t>
  </si>
  <si>
    <t>TOALLA KC 550G 70X140 CITA DEL BLUE</t>
  </si>
  <si>
    <t>5VELNA2</t>
  </si>
  <si>
    <t>VELA DECORATIVA NAUTICA HJC0519-03</t>
  </si>
  <si>
    <t>2AUA004</t>
  </si>
  <si>
    <t>ALF ULTRA ABSORBENTE N8 40X60CM</t>
  </si>
  <si>
    <t>5ALFO0E</t>
  </si>
  <si>
    <t>ALFOMBRA TOUCH TOU 400 SILVER 80X150CM</t>
  </si>
  <si>
    <t>2KCCO63</t>
  </si>
  <si>
    <t>COBERTOR KC GANGES 2PLZ</t>
  </si>
  <si>
    <t>2A103VU</t>
  </si>
  <si>
    <t>ALF SALA YT2511 120*170CM</t>
  </si>
  <si>
    <t>3AN0012</t>
  </si>
  <si>
    <t>ALMOHADA AIR PILLOW SOFT 70X50</t>
  </si>
  <si>
    <t>51VOV3L</t>
  </si>
  <si>
    <t>BASE REDO SPHERE DEC URB SRSP00C4 GR IN</t>
  </si>
  <si>
    <t>2AE1021</t>
  </si>
  <si>
    <t>ALF RUBBER 8000-03-ZR 76.2*45.7CM 8MM</t>
  </si>
  <si>
    <t>5LGAS16</t>
  </si>
  <si>
    <t>SHORT LG OPTIMUM NEGRO T-L 1050024</t>
  </si>
  <si>
    <t>5OAKO19</t>
  </si>
  <si>
    <t>BILLETERA FOS9015039ZQU ELLIPSE CARD</t>
  </si>
  <si>
    <t>XRT0490</t>
  </si>
  <si>
    <t>CAFFEINE CAPS GOLDNUTRITION PASTILLAS DE</t>
  </si>
  <si>
    <t>XRT0455</t>
  </si>
  <si>
    <t>CREATINA FRUTOS TROPICALES GOLDNUTRITION</t>
  </si>
  <si>
    <t>5RUPG74</t>
  </si>
  <si>
    <t>GAFA RUDY KELION VICTORIUS SP855723-0000</t>
  </si>
  <si>
    <t>5RUPG70</t>
  </si>
  <si>
    <t>GAFA RUDY KELION OLIVE AMA SP850513-0000</t>
  </si>
  <si>
    <t>5RUPG71</t>
  </si>
  <si>
    <t>GAFA RUDY KELION PINK SUNS SP855289-0000</t>
  </si>
  <si>
    <t>5SK0573</t>
  </si>
  <si>
    <t>ZAPATO 150510WMLT6 WOM SLIP-INS BLANCO M</t>
  </si>
  <si>
    <t>5CBRZ1W</t>
  </si>
  <si>
    <t>ZAPATO B/T11.5/STL02086A115/STAMP LACE W</t>
  </si>
  <si>
    <t>5OAK745</t>
  </si>
  <si>
    <t>JERSEY OAKLEY FOA403842 9P7/M SUBLIMATED</t>
  </si>
  <si>
    <t>5OAK742</t>
  </si>
  <si>
    <t>JERSEY OAKLEY FOA403842 9P5/S SUBLIMATED</t>
  </si>
  <si>
    <t>5SKA096</t>
  </si>
  <si>
    <t>ZAPATO SKECH W'S 7.5/149821 GREY PINK PU</t>
  </si>
  <si>
    <t>5SK1021</t>
  </si>
  <si>
    <t>"ZAPATO SK 117715/WHT T:6,5 WOM WHITE"</t>
  </si>
  <si>
    <t>5APG277</t>
  </si>
  <si>
    <t>CAMISETA MC APG/M L14246019 FLUO YELLOW</t>
  </si>
  <si>
    <t>Sp.Meter Att 1679-CPTHLD-0003</t>
  </si>
  <si>
    <t>4GIA194</t>
  </si>
  <si>
    <t>LIV AIRWAY LITE MATT BLACK/490000114</t>
  </si>
  <si>
    <t>BGI020X</t>
  </si>
  <si>
    <t>CADEX AERO TIRE 700X25C 340000302</t>
  </si>
  <si>
    <t>41EXN44</t>
  </si>
  <si>
    <t>PROTECT VOLTAG N015-120 ELECT RCA</t>
  </si>
  <si>
    <t>5E147E9</t>
  </si>
  <si>
    <t>ADAPTADOR JACK RCA/3.5MM/PLUG 1/4"/AH203</t>
  </si>
  <si>
    <t>5RCA51F</t>
  </si>
  <si>
    <t>AUDIFONOS RCA/K1 ANC BLANCO</t>
  </si>
  <si>
    <t>MICROONDAS RCA 30LT SILVER P100N30AP-H3E</t>
  </si>
  <si>
    <t>MICROONDAS RCA 30LT NEGRO P100N30AP-H3E</t>
  </si>
  <si>
    <t>5RCOM0C</t>
  </si>
  <si>
    <t>CAMPANA EXTRACTORA RCA 76CM BLACK 76S-B</t>
  </si>
  <si>
    <t>5RCAA0F</t>
  </si>
  <si>
    <t>AIRE ACONDICIONADO RCA 36KBTU INVERTER</t>
  </si>
  <si>
    <t>5RCAA0A</t>
  </si>
  <si>
    <t>AIRE ACONDICIONADO RCA 36K RCA-36KBTU</t>
  </si>
  <si>
    <t>5ALPG85</t>
  </si>
  <si>
    <t>GUANTES ALPINESTARS YOUTH ASPENLAZUL1544</t>
  </si>
  <si>
    <t>5GIA03A</t>
  </si>
  <si>
    <t>MANGAS DE CICLISMO DIVERSION L 820000676</t>
  </si>
  <si>
    <t>5LD35E4</t>
  </si>
  <si>
    <t>CASCO BICICLETA MORADO S(48-52CM) KS16</t>
  </si>
  <si>
    <t>5LD35EU</t>
  </si>
  <si>
    <t>CASCO BICI ROSADO/BLANCO M(55-58CM)MV29</t>
  </si>
  <si>
    <t>5SK9402</t>
  </si>
  <si>
    <t>BUSO SKECH MEN'S M/LT16 BLACK</t>
  </si>
  <si>
    <t>BICI 29 CAMBODIA X HYDRAULIC NEGRO ROJO</t>
  </si>
  <si>
    <t>B15A303</t>
  </si>
  <si>
    <t>BICI 29 CAMBODIA X ROJO</t>
  </si>
  <si>
    <t>B15AL62</t>
  </si>
  <si>
    <t>BICI 12 ALCATRAZ JR NEGRO GM66-2</t>
  </si>
  <si>
    <t>BZAP03N</t>
  </si>
  <si>
    <t>ZAPATOS CICLISMO TRAIL MARIN 41 AM648 AZ</t>
  </si>
  <si>
    <t>BZAP05O</t>
  </si>
  <si>
    <t>ZAPATO CICLIS MRN 37 DM1531 HERITAGE BEI</t>
  </si>
  <si>
    <t>2KCSB82</t>
  </si>
  <si>
    <t>SABANA KC VARNA 21/2PLZ</t>
  </si>
  <si>
    <t>3CN0021</t>
  </si>
  <si>
    <t>NAUTICA PREMIUM SOFT 135X190X34</t>
  </si>
  <si>
    <t>3CN0025</t>
  </si>
  <si>
    <t>NAUTICA PREMIUM MEDIUM FIRM 135X190X34</t>
  </si>
  <si>
    <t>4G45643</t>
  </si>
  <si>
    <t>ESPEJO BISELADO 60X80CM 5MM L412</t>
  </si>
  <si>
    <t>X40A082</t>
  </si>
  <si>
    <t>ACEITE KENDALL 10W30 GF-5.12/1 1074961</t>
  </si>
  <si>
    <t>X40A08T</t>
  </si>
  <si>
    <t>ACEITE KENDALL GT-1 SAE 20W-50 1081207/1</t>
  </si>
  <si>
    <t>7T10985A</t>
  </si>
  <si>
    <t>TELEVISOR GOOGLE TV 4K 55P6K</t>
  </si>
  <si>
    <t>5MONS15</t>
  </si>
  <si>
    <t>POWER BANK CARGA INALAMB. MONSTER S1380</t>
  </si>
  <si>
    <t>7T10984A</t>
  </si>
  <si>
    <t>TELEVISOR GOOGLE TV 4K 50V6C</t>
  </si>
  <si>
    <t>5MONS16</t>
  </si>
  <si>
    <t>POWER BANK CARGA INALAMB. MONSTER S1381</t>
  </si>
  <si>
    <t>B151012</t>
  </si>
  <si>
    <t>BICI 24 PISTOL FULL PINK</t>
  </si>
  <si>
    <t>B15SLS4</t>
  </si>
  <si>
    <t>BICI 20 SLASH NEGRO AZUL SPORT</t>
  </si>
  <si>
    <t>B15A317</t>
  </si>
  <si>
    <t>BICI 24 PISTOL NEGRO</t>
  </si>
  <si>
    <t>1006CONT028</t>
  </si>
  <si>
    <t>CONTRAPESO RA 28g</t>
  </si>
  <si>
    <t>LF14002</t>
  </si>
  <si>
    <t>LIQUIDO DE FRENO DOT4 1/4 L</t>
  </si>
  <si>
    <t>X4063B7</t>
  </si>
  <si>
    <t>PLUMA ECO BOSCH 20"3 397 004 916</t>
  </si>
  <si>
    <t>METODOLOGÍA DE CÁLCULO — SCORE DE RIESGO</t>
  </si>
  <si>
    <t>Score máximo: 100 pts  |  Auditorías retail  |  Contraloría</t>
  </si>
  <si>
    <t>1. COMPONENTES DEL SCORE</t>
  </si>
  <si>
    <t>Componente</t>
  </si>
  <si>
    <t>Peso (pts)</t>
  </si>
  <si>
    <t>Variable fuente</t>
  </si>
  <si>
    <t>Col.</t>
  </si>
  <si>
    <t>Escala</t>
  </si>
  <si>
    <t>Rango</t>
  </si>
  <si>
    <t>Descripción</t>
  </si>
  <si>
    <t>C1 — % Variación / inventario</t>
  </si>
  <si>
    <t>FALTANTES PVP / TOTAL INV. COSTO</t>
  </si>
  <si>
    <t>O/M</t>
  </si>
  <si>
    <t>Escalonada</t>
  </si>
  <si>
    <t>0–40 pts</t>
  </si>
  <si>
    <t>% del faltante sobre el inventario total en costo</t>
  </si>
  <si>
    <t>C2 — Monto a cobrar PVP</t>
  </si>
  <si>
    <t>RESULT. A COBRAR PVP</t>
  </si>
  <si>
    <t>U</t>
  </si>
  <si>
    <t>0–30 pts</t>
  </si>
  <si>
    <t>Impacto económico absoluto en PVP</t>
  </si>
  <si>
    <t>C3 — Reincidencia</t>
  </si>
  <si>
    <t>Historial faltantes misma tienda</t>
  </si>
  <si>
    <t>B+O</t>
  </si>
  <si>
    <t>Binaria</t>
  </si>
  <si>
    <t>0 ó 15</t>
  </si>
  <si>
    <t>Tienda con faltante (O&lt;0) en auditoría anterior</t>
  </si>
  <si>
    <t>C4 — Tendencia</t>
  </si>
  <si>
    <t>Faltante actual vs promedio hist.</t>
  </si>
  <si>
    <t>O</t>
  </si>
  <si>
    <t>0–10 pts</t>
  </si>
  <si>
    <t>Evolución entre auditorías de la misma tienda</t>
  </si>
  <si>
    <t>C5 — Hallazgos cualitativos</t>
  </si>
  <si>
    <t>MAL ESTADO o DEFECTOS FÁBRICA</t>
  </si>
  <si>
    <t>Q/R</t>
  </si>
  <si>
    <t>0 ó 5</t>
  </si>
  <si>
    <t>Presencia de mal estado o defectos de fábrica</t>
  </si>
  <si>
    <t>2. UMBRALES POR COMPONENTE</t>
  </si>
  <si>
    <t>C1 — Condición</t>
  </si>
  <si>
    <t>Puntos</t>
  </si>
  <si>
    <t>C2 — Condición</t>
  </si>
  <si>
    <t>C4 — Condición</t>
  </si>
  <si>
    <t>0%</t>
  </si>
  <si>
    <t>0</t>
  </si>
  <si>
    <t>$0</t>
  </si>
  <si>
    <t>Primera auditoría</t>
  </si>
  <si>
    <t>0.01% – 1%</t>
  </si>
  <si>
    <t>10</t>
  </si>
  <si>
    <t>$0.01 – $200</t>
  </si>
  <si>
    <t>Mejora &gt; 50%</t>
  </si>
  <si>
    <t>1.01% – 3%</t>
  </si>
  <si>
    <t>25</t>
  </si>
  <si>
    <t>$200.01 – $500</t>
  </si>
  <si>
    <t>15</t>
  </si>
  <si>
    <t>Sin cambio (±20%)</t>
  </si>
  <si>
    <t>5</t>
  </si>
  <si>
    <t>3.01% – 5%</t>
  </si>
  <si>
    <t>40</t>
  </si>
  <si>
    <t>$500.01 – $2.000</t>
  </si>
  <si>
    <t>22</t>
  </si>
  <si>
    <t>Empeora &gt; 20%</t>
  </si>
  <si>
    <t>&gt; 5%</t>
  </si>
  <si>
    <t>&gt; $2.000</t>
  </si>
  <si>
    <t>30</t>
  </si>
  <si>
    <t>3. CLASIFICACIÓN DE RIESGO</t>
  </si>
  <si>
    <t>Rango score</t>
  </si>
  <si>
    <t>Nivel de riesgo</t>
  </si>
  <si>
    <t>Acción recomendada</t>
  </si>
  <si>
    <t>0 – 10</t>
  </si>
  <si>
    <t>BAJO</t>
  </si>
  <si>
    <t>Monitoreo rutinario</t>
  </si>
  <si>
    <t>11 – 35</t>
  </si>
  <si>
    <t>MEDIO</t>
  </si>
  <si>
    <t>Seguimiento en 30 días</t>
  </si>
  <si>
    <t>36 – 65</t>
  </si>
  <si>
    <t>ALTO</t>
  </si>
  <si>
    <t>Gestión de cobro activa</t>
  </si>
  <si>
    <t>66 – 100</t>
  </si>
  <si>
    <t>CRÍTICO</t>
  </si>
  <si>
    <t>Intervención inmediata + cobro urgente</t>
  </si>
  <si>
    <t>4. FÓRMULA CONSOLIDADA</t>
  </si>
  <si>
    <t>SCORE  =  C1 (0–40)  +  C2 (0–30)  +  C3 (0 ó 15)  +  C4 (0–10)  +  C5 (0 ó 5)  =  máximo 100 pts</t>
  </si>
  <si>
    <t>C3 y C5 son binarias. C1, C2 y C4 siguen escala escalonada. El score máximo acumulable es 100 pts.</t>
  </si>
  <si>
    <t>En revisión de datos y firmas</t>
  </si>
  <si>
    <t>Incluido en memo al Contralor</t>
  </si>
  <si>
    <t>Firmado por el Contralor</t>
  </si>
  <si>
    <t>Descuento aplicado por RRHH</t>
  </si>
  <si>
    <t>Cruce de aire acondicionado RCA 36 BTU. Genera pérdida de $ 41,10</t>
  </si>
  <si>
    <t>MOTSUR VENTAS CENTRO 04</t>
  </si>
  <si>
    <t>Focalizado</t>
  </si>
  <si>
    <t>AUD-TCL-AYANCAY-005-2026-002</t>
  </si>
  <si>
    <t>Se realiza focalizado de TV por solicitud de Karina Beltrán 22/5/2026</t>
  </si>
  <si>
    <t>Cruce de TV 32", cables y audífonos RCA.</t>
  </si>
  <si>
    <t>Pendiente requerimiento de TV Miniled y celular</t>
  </si>
  <si>
    <t>AUD-GO-FAW-MANTA-006-001</t>
  </si>
  <si>
    <t>Xavier Pflieger</t>
  </si>
  <si>
    <t>AUD-GO-FAW-CARLOS JULIO-006-001</t>
  </si>
  <si>
    <t>AUD-GO-FAW-TUMBACO-006-001</t>
  </si>
  <si>
    <t>En la agencia consta un vehículo Bestune correspondiente a una campaña navideña 2025, el cliente aún no retira.</t>
  </si>
  <si>
    <t>11 vehículos en la agencia vendidos no entregados. Se justfica con las facturas.</t>
  </si>
  <si>
    <t>Jonnathan Bautista</t>
  </si>
  <si>
    <t>Cierrre de agencia, se realiza traslados a Carlos Julio. Sobrante de plumas (1), respuestos pump assembly (8) y rubia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</si>
</sst>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
    <numFmt numFmtId="165" formatCode="dd/mm/yyyy"/>
    <numFmt numFmtId="166" formatCode="0.0%"/>
    <numFmt numFmtId="167" formatCode="\$#,##0.00;[Red]&quot;$-&quot;#,##0.00"/>
    <numFmt numFmtId="168" formatCode="&quot;$&quot;#,##0.00"/>
  </numFmts>
  <fonts count="42" x14ac:knownFonts="1">
    <font>
      <sz val="11"/>
      <color theme="1"/>
      <name val="Calibri"/>
      <family val="2"/>
      <charset val="1"/>
    </font>
    <font>
      <b/>
      <sz val="13"/>
      <color rgb="FFFFFFFF"/>
      <name val="Arial"/>
      <family val="2"/>
      <charset val="1"/>
    </font>
    <font>
      <i/>
      <sz val="8"/>
      <color rgb="FF1F3864"/>
      <name val="Arial"/>
      <family val="2"/>
      <charset val="1"/>
    </font>
    <font>
      <b/>
      <sz val="9"/>
      <color rgb="FFFFFFFF"/>
      <name val="Arial"/>
      <family val="2"/>
      <charset val="1"/>
    </font>
    <font>
      <b/>
      <sz val="8"/>
      <color rgb="FFFFFFFF"/>
      <name val="Arial"/>
      <family val="2"/>
      <charset val="1"/>
    </font>
    <font>
      <sz val="10"/>
      <color rgb="FF000000"/>
      <name val="Arial"/>
      <family val="2"/>
    </font>
    <font>
      <b/>
      <sz val="10"/>
      <color rgb="FF000000"/>
      <name val="Arial"/>
      <family val="2"/>
    </font>
    <font>
      <sz val="10"/>
      <name val="Arial"/>
      <family val="2"/>
      <charset val="1"/>
    </font>
    <font>
      <b/>
      <sz val="13"/>
      <color rgb="FFFFFFFF"/>
      <name val="Arial"/>
      <family val="2"/>
    </font>
    <font>
      <sz val="10"/>
      <color rgb="FFF2F2F2"/>
      <name val="Arial"/>
      <family val="2"/>
    </font>
    <font>
      <b/>
      <sz val="11"/>
      <color rgb="FFFFFFFF"/>
      <name val="Arial"/>
      <family val="2"/>
    </font>
    <font>
      <b/>
      <sz val="10"/>
      <color rgb="FFFFFFFF"/>
      <name val="Arial"/>
      <family val="2"/>
    </font>
    <font>
      <b/>
      <sz val="10"/>
      <color rgb="FF1F4E79"/>
      <name val="Arial"/>
      <family val="2"/>
    </font>
    <font>
      <b/>
      <sz val="10"/>
      <color rgb="FF27500A"/>
      <name val="Arial"/>
      <family val="2"/>
    </font>
    <font>
      <b/>
      <sz val="10"/>
      <color rgb="FF633806"/>
      <name val="Arial"/>
      <family val="2"/>
    </font>
    <font>
      <b/>
      <sz val="10"/>
      <color rgb="FF791F1F"/>
      <name val="Arial"/>
      <family val="2"/>
    </font>
    <font>
      <b/>
      <sz val="10"/>
      <color rgb="FFF7C1C1"/>
      <name val="Arial"/>
      <family val="2"/>
    </font>
    <font>
      <b/>
      <sz val="11"/>
      <color rgb="FF1F4E79"/>
      <name val="Arial"/>
      <family val="2"/>
    </font>
    <font>
      <sz val="9"/>
      <color rgb="FF444441"/>
      <name val="Arial"/>
      <family val="2"/>
    </font>
    <font>
      <sz val="8"/>
      <color theme="1"/>
      <name val="Calibri"/>
      <family val="2"/>
      <charset val="1"/>
    </font>
    <font>
      <b/>
      <sz val="8"/>
      <color rgb="FFFFFFFF"/>
      <name val="Cambria"/>
      <family val="1"/>
      <scheme val="major"/>
    </font>
    <font>
      <sz val="11"/>
      <color theme="1"/>
      <name val="Cambria"/>
      <family val="1"/>
      <scheme val="major"/>
    </font>
    <font>
      <sz val="8"/>
      <color rgb="FF000000"/>
      <name val="Cambria"/>
      <family val="1"/>
      <scheme val="major"/>
    </font>
    <font>
      <sz val="10"/>
      <name val="Cambria"/>
      <family val="1"/>
      <scheme val="major"/>
    </font>
    <font>
      <sz val="10"/>
      <color rgb="FF000000"/>
      <name val="Cambria"/>
      <family val="1"/>
      <scheme val="major"/>
    </font>
    <font>
      <b/>
      <sz val="10"/>
      <color rgb="FF000000"/>
      <name val="Cambria"/>
      <family val="1"/>
      <scheme val="major"/>
    </font>
    <font>
      <b/>
      <sz val="10"/>
      <name val="Cambria"/>
      <family val="1"/>
      <scheme val="major"/>
    </font>
    <font>
      <sz val="10"/>
      <color rgb="FF1F4E79"/>
      <name val="Cambria"/>
      <family val="1"/>
      <scheme val="major"/>
    </font>
    <font>
      <sz val="10"/>
      <name val="Arial"/>
      <family val="2"/>
    </font>
    <font>
      <sz val="10"/>
      <color rgb="FF00000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color rgb="FF000000"/>
      <name val="Cambria"/>
      <scheme val="major"/>
    </font>
    <font>
      <sz val="8"/>
      <color theme="1"/>
      <name val="Cambria"/>
      <family val="1"/>
      <scheme val="major"/>
    </font>
  </fonts>
  <fills count="48">
    <fill>
      <patternFill patternType="none"/>
    </fill>
    <fill>
      <patternFill patternType="gray125"/>
    </fill>
    <fill>
      <patternFill patternType="solid">
        <fgColor rgb="FF1F3864"/>
        <bgColor rgb="FF1F4E79"/>
      </patternFill>
    </fill>
    <fill>
      <patternFill patternType="solid">
        <fgColor rgb="FFBDD7EE"/>
        <bgColor rgb="FFD6E4F0"/>
      </patternFill>
    </fill>
    <fill>
      <patternFill patternType="solid">
        <fgColor rgb="FF2E5FA3"/>
        <bgColor rgb="FF1F5C8B"/>
      </patternFill>
    </fill>
    <fill>
      <patternFill patternType="solid">
        <fgColor rgb="FF1F5C8B"/>
        <bgColor rgb="FF2E5FA3"/>
      </patternFill>
    </fill>
    <fill>
      <patternFill patternType="solid">
        <fgColor rgb="FFFFFFFF"/>
        <bgColor rgb="FFF9F9F9"/>
      </patternFill>
    </fill>
    <fill>
      <patternFill patternType="solid">
        <fgColor rgb="FFEBF3FB"/>
        <bgColor rgb="FFF2F2F2"/>
      </patternFill>
    </fill>
    <fill>
      <patternFill patternType="solid">
        <fgColor rgb="FFF2F2F2"/>
        <bgColor rgb="FFEBF3FB"/>
      </patternFill>
    </fill>
    <fill>
      <patternFill patternType="solid">
        <fgColor rgb="FF1F4E79"/>
        <bgColor rgb="FF1F5C8B"/>
      </patternFill>
    </fill>
    <fill>
      <patternFill patternType="solid">
        <fgColor rgb="FF2E75B6"/>
        <bgColor rgb="FF4472C4"/>
      </patternFill>
    </fill>
    <fill>
      <patternFill patternType="solid">
        <fgColor rgb="FF4472C4"/>
        <bgColor rgb="FF2E75B6"/>
      </patternFill>
    </fill>
    <fill>
      <patternFill patternType="solid">
        <fgColor rgb="FFEAF3DE"/>
        <bgColor rgb="FFF2F2F2"/>
      </patternFill>
    </fill>
    <fill>
      <patternFill patternType="solid">
        <fgColor rgb="FFFAEEDA"/>
        <bgColor rgb="FFFCF2E4"/>
      </patternFill>
    </fill>
    <fill>
      <patternFill patternType="solid">
        <fgColor rgb="FFFCEBEB"/>
        <bgColor rgb="FFFCF2E4"/>
      </patternFill>
    </fill>
    <fill>
      <patternFill patternType="solid">
        <fgColor rgb="FFFCF2E4"/>
        <bgColor rgb="FFFAEEDA"/>
      </patternFill>
    </fill>
    <fill>
      <patternFill patternType="solid">
        <fgColor rgb="FF501313"/>
        <bgColor rgb="FF791F1F"/>
      </patternFill>
    </fill>
    <fill>
      <patternFill patternType="solid">
        <fgColor rgb="FFD6E4F0"/>
        <bgColor rgb="FFDDEBF7"/>
      </patternFill>
    </fill>
    <fill>
      <patternFill patternType="solid">
        <fgColor rgb="FFFFFFFF"/>
      </patternFill>
    </fill>
    <fill>
      <patternFill patternType="solid">
        <fgColor rgb="FFF2F2F2"/>
      </patternFill>
    </fill>
    <fill>
      <patternFill patternType="solid">
        <fgColor rgb="FFFFFFFF"/>
      </patternFill>
    </fill>
    <fill>
      <patternFill patternType="solid">
        <fgColor rgb="FFF2F2F2"/>
      </patternFill>
    </fill>
    <fill>
      <patternFill patternType="solid">
        <fgColor rgb="FFFFFFFF"/>
      </patternFill>
    </fill>
    <fill>
      <patternFill patternType="solid">
        <fgColor rgb="FFF2F2F2"/>
      </patternFill>
    </fill>
    <fill>
      <patternFill patternType="solid">
        <fgColor rgb="FFFFFFFF"/>
      </patternFill>
    </fill>
    <fill>
      <patternFill patternType="solid">
        <fgColor rgb="FFF2F2F2"/>
      </patternFill>
    </fill>
    <fill>
      <patternFill patternType="solid">
        <fgColor rgb="FFF2F2F2"/>
      </patternFill>
    </fill>
    <fill>
      <patternFill patternType="solid">
        <fgColor rgb="FFFFFFFF"/>
      </patternFill>
    </fill>
    <fill>
      <patternFill patternType="solid">
        <fgColor rgb="FFF2F2F2"/>
      </patternFill>
    </fill>
    <fill>
      <patternFill patternType="solid">
        <fgColor rgb="FFF2F2F2"/>
      </patternFill>
    </fill>
    <fill>
      <patternFill patternType="solid">
        <fgColor rgb="FFF2F2F2"/>
      </patternFill>
    </fill>
    <fill>
      <patternFill patternType="solid">
        <fgColor rgb="FFF9F9F9"/>
      </patternFill>
    </fill>
    <fill>
      <patternFill patternType="solid">
        <fgColor rgb="FFFFFFFF"/>
      </patternFill>
    </fill>
    <fill>
      <patternFill patternType="solid">
        <fgColor rgb="FFF2F2F2"/>
      </patternFill>
    </fill>
    <fill>
      <patternFill patternType="solid">
        <fgColor rgb="FFF9F9F9"/>
      </patternFill>
    </fill>
    <fill>
      <patternFill patternType="solid">
        <fgColor rgb="FFFFFFFF"/>
      </patternFill>
    </fill>
    <fill>
      <patternFill patternType="solid">
        <fgColor rgb="FFFFFFFF"/>
      </patternFill>
    </fill>
    <fill>
      <patternFill patternType="solid">
        <fgColor rgb="FFF2F2F2"/>
      </patternFill>
    </fill>
    <fill>
      <patternFill patternType="solid">
        <fgColor rgb="FFF9F9F9"/>
      </patternFill>
    </fill>
    <fill>
      <patternFill patternType="solid">
        <fgColor rgb="FFFFFFFF"/>
      </patternFill>
    </fill>
    <fill>
      <patternFill patternType="solid">
        <fgColor rgb="FFF9F9F9"/>
      </patternFill>
    </fill>
    <fill>
      <patternFill patternType="solid">
        <fgColor rgb="FFF2F2F2"/>
      </patternFill>
    </fill>
    <fill>
      <patternFill patternType="solid">
        <fgColor rgb="FFF9F9F9"/>
      </patternFill>
    </fill>
    <fill>
      <patternFill patternType="solid">
        <fgColor rgb="FFFFFFFF"/>
      </patternFill>
    </fill>
    <fill>
      <patternFill patternType="solid">
        <fgColor auto="1"/>
        <bgColor rgb="FFEBF3FB"/>
      </patternFill>
    </fill>
    <fill>
      <patternFill patternType="solid">
        <fgColor rgb="FFFFFFFF"/>
        <bgColor indexed="64"/>
      </patternFill>
    </fill>
    <fill>
      <patternFill patternType="solid">
        <fgColor auto="1"/>
        <bgColor rgb="FFF9F9F9"/>
      </patternFill>
    </fill>
    <fill>
      <patternFill patternType="solid">
        <fgColor auto="1"/>
        <bgColor rgb="FFF2F2F2"/>
      </patternFill>
    </fill>
  </fills>
  <borders count="24">
    <border>
      <left/>
      <right/>
      <top/>
      <bottom/>
      <diagonal/>
    </border>
    <border>
      <left style="thin">
        <color rgb="FFBFBFBF"/>
      </left>
      <right style="thin">
        <color rgb="FFBFBFBF"/>
      </right>
      <top style="thin">
        <color rgb="FFBFBFBF"/>
      </top>
      <bottom style="thin">
        <color rgb="FFBFBFBF"/>
      </bottom>
      <diagonal/>
    </border>
    <border>
      <left style="thin">
        <color rgb="FFBBBBBB"/>
      </left>
      <right style="thin">
        <color rgb="FFBBBBBB"/>
      </right>
      <top style="thin">
        <color rgb="FFBBBBBB"/>
      </top>
      <bottom style="thin">
        <color rgb="FFBBBBBB"/>
      </bottom>
      <diagonal/>
    </border>
    <border>
      <left style="thin">
        <color rgb="FF1F4E79"/>
      </left>
      <right style="thin">
        <color rgb="FF1F4E79"/>
      </right>
      <top style="thin">
        <color rgb="FF1F4E79"/>
      </top>
      <bottom style="thin">
        <color rgb="FF1F4E79"/>
      </bottom>
      <diagonal/>
    </border>
    <border>
      <left style="thin">
        <color rgb="FF4472C4"/>
      </left>
      <right style="thin">
        <color rgb="FF4472C4"/>
      </right>
      <top style="thin">
        <color rgb="FF4472C4"/>
      </top>
      <bottom style="thin">
        <color rgb="FF4472C4"/>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diagonal/>
    </border>
    <border>
      <left style="thin">
        <color indexed="64"/>
      </left>
      <right style="thin">
        <color indexed="64"/>
      </right>
      <top style="thin">
        <color indexed="64"/>
      </top>
      <bottom style="thin">
        <color indexed="64"/>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s>
  <cellStyleXfs count="1">
    <xf numFmtId="0" fontId="0" fillId="0" borderId="0"/>
  </cellStyleXfs>
  <cellXfs count="148">
    <xf numFmtId="0" fontId="0" fillId="0" borderId="0" xfId="0"/>
    <xf numFmtId="0" fontId="4" fillId="2" borderId="1" xfId="0" applyFont="1" applyFill="1" applyBorder="1" applyAlignment="1">
      <alignment horizontal="center" vertical="center" wrapText="1"/>
    </xf>
    <xf numFmtId="0" fontId="6" fillId="6" borderId="2" xfId="0" applyFont="1" applyFill="1" applyBorder="1" applyAlignment="1">
      <alignment horizontal="center" vertical="center"/>
    </xf>
    <xf numFmtId="0" fontId="5" fillId="6" borderId="2" xfId="0" applyFont="1" applyFill="1" applyBorder="1" applyAlignment="1">
      <alignment horizontal="center" vertical="center"/>
    </xf>
    <xf numFmtId="0" fontId="2" fillId="3" borderId="0" xfId="0" applyFont="1" applyFill="1" applyAlignment="1">
      <alignment vertical="center"/>
    </xf>
    <xf numFmtId="164" fontId="0" fillId="0" borderId="0" xfId="0" applyNumberFormat="1"/>
    <xf numFmtId="0" fontId="8" fillId="9" borderId="0" xfId="0" applyFont="1" applyFill="1" applyAlignment="1">
      <alignment horizontal="left" vertical="center" indent="1"/>
    </xf>
    <xf numFmtId="0" fontId="0" fillId="9" borderId="0" xfId="0" applyFill="1"/>
    <xf numFmtId="0" fontId="9" fillId="10" borderId="0" xfId="0" applyFont="1" applyFill="1" applyAlignment="1">
      <alignment horizontal="left" vertical="center" indent="1"/>
    </xf>
    <xf numFmtId="0" fontId="0" fillId="10" borderId="0" xfId="0" applyFill="1"/>
    <xf numFmtId="0" fontId="10" fillId="9" borderId="0" xfId="0" applyFont="1" applyFill="1" applyAlignment="1">
      <alignment horizontal="left" vertical="center" indent="1"/>
    </xf>
    <xf numFmtId="0" fontId="0" fillId="9" borderId="3" xfId="0" applyFill="1" applyBorder="1"/>
    <xf numFmtId="0" fontId="11" fillId="11" borderId="4" xfId="0" applyFont="1" applyFill="1" applyBorder="1" applyAlignment="1">
      <alignment horizontal="center" vertical="center"/>
    </xf>
    <xf numFmtId="0" fontId="12" fillId="6" borderId="2" xfId="0" applyFont="1" applyFill="1" applyBorder="1" applyAlignment="1">
      <alignment horizontal="left" vertical="center" indent="1"/>
    </xf>
    <xf numFmtId="0" fontId="12" fillId="6" borderId="2" xfId="0" applyFont="1" applyFill="1" applyBorder="1" applyAlignment="1">
      <alignment horizontal="center" vertical="center"/>
    </xf>
    <xf numFmtId="0" fontId="5" fillId="6" borderId="2" xfId="0" applyFont="1" applyFill="1" applyBorder="1" applyAlignment="1">
      <alignment horizontal="left" vertical="center" indent="1"/>
    </xf>
    <xf numFmtId="0" fontId="12" fillId="7" borderId="2" xfId="0" applyFont="1" applyFill="1" applyBorder="1" applyAlignment="1">
      <alignment horizontal="left" vertical="center" indent="1"/>
    </xf>
    <xf numFmtId="0" fontId="12" fillId="7" borderId="2" xfId="0" applyFont="1" applyFill="1" applyBorder="1" applyAlignment="1">
      <alignment horizontal="center" vertical="center"/>
    </xf>
    <xf numFmtId="0" fontId="5" fillId="7" borderId="2" xfId="0" applyFont="1" applyFill="1" applyBorder="1" applyAlignment="1">
      <alignment horizontal="left" vertical="center" indent="1"/>
    </xf>
    <xf numFmtId="0" fontId="5" fillId="7" borderId="2" xfId="0" applyFont="1" applyFill="1" applyBorder="1" applyAlignment="1">
      <alignment horizontal="center" vertical="center"/>
    </xf>
    <xf numFmtId="0" fontId="13" fillId="12" borderId="2" xfId="0" applyFont="1" applyFill="1" applyBorder="1" applyAlignment="1">
      <alignment horizontal="center" vertical="center"/>
    </xf>
    <xf numFmtId="0" fontId="14" fillId="13" borderId="2" xfId="0" applyFont="1" applyFill="1" applyBorder="1" applyAlignment="1">
      <alignment horizontal="center" vertical="center"/>
    </xf>
    <xf numFmtId="0" fontId="15" fillId="14" borderId="2" xfId="0" applyFont="1" applyFill="1" applyBorder="1" applyAlignment="1">
      <alignment horizontal="center" vertical="center"/>
    </xf>
    <xf numFmtId="0" fontId="14" fillId="15" borderId="2" xfId="0" applyFont="1" applyFill="1" applyBorder="1" applyAlignment="1">
      <alignment horizontal="center" vertical="center"/>
    </xf>
    <xf numFmtId="0" fontId="6" fillId="7" borderId="2" xfId="0" applyFont="1" applyFill="1" applyBorder="1" applyAlignment="1">
      <alignment horizontal="center" vertical="center"/>
    </xf>
    <xf numFmtId="0" fontId="16" fillId="16" borderId="2" xfId="0" applyFont="1" applyFill="1" applyBorder="1" applyAlignment="1">
      <alignment horizontal="center" vertical="center"/>
    </xf>
    <xf numFmtId="0" fontId="17" fillId="17" borderId="4" xfId="0" applyFont="1" applyFill="1" applyBorder="1" applyAlignment="1">
      <alignment horizontal="left" vertical="center" indent="1"/>
    </xf>
    <xf numFmtId="0" fontId="0" fillId="17" borderId="4" xfId="0" applyFill="1" applyBorder="1"/>
    <xf numFmtId="0" fontId="18" fillId="8" borderId="0" xfId="0" applyFont="1" applyFill="1" applyAlignment="1">
      <alignment horizontal="left" vertical="center" indent="1"/>
    </xf>
    <xf numFmtId="0" fontId="0" fillId="8" borderId="0" xfId="0" applyFill="1"/>
    <xf numFmtId="0" fontId="20" fillId="2" borderId="1" xfId="0" applyFont="1" applyFill="1" applyBorder="1" applyAlignment="1">
      <alignment horizontal="center" vertical="center" wrapText="1"/>
    </xf>
    <xf numFmtId="0" fontId="21" fillId="0" borderId="0" xfId="0" applyFont="1"/>
    <xf numFmtId="0" fontId="22" fillId="0" borderId="1" xfId="0" applyFont="1" applyBorder="1" applyAlignment="1">
      <alignment horizontal="center" vertical="center" wrapText="1"/>
    </xf>
    <xf numFmtId="0" fontId="22" fillId="0" borderId="1" xfId="0" applyFont="1" applyBorder="1" applyAlignment="1">
      <alignment horizontal="left" vertical="center" wrapText="1"/>
    </xf>
    <xf numFmtId="165" fontId="22" fillId="0" borderId="1" xfId="0" applyNumberFormat="1" applyFont="1" applyBorder="1" applyAlignment="1">
      <alignment horizontal="center" vertical="center" wrapText="1"/>
    </xf>
    <xf numFmtId="164" fontId="24" fillId="0" borderId="2" xfId="0" applyNumberFormat="1" applyFont="1" applyBorder="1" applyAlignment="1">
      <alignment horizontal="right" vertical="center"/>
    </xf>
    <xf numFmtId="0" fontId="25" fillId="0" borderId="2" xfId="0" applyFont="1" applyBorder="1" applyAlignment="1">
      <alignment horizontal="center" vertical="center"/>
    </xf>
    <xf numFmtId="1" fontId="26" fillId="0" borderId="2" xfId="0" applyNumberFormat="1" applyFont="1" applyBorder="1" applyAlignment="1">
      <alignment horizontal="center" vertical="center"/>
    </xf>
    <xf numFmtId="0" fontId="24" fillId="0" borderId="2" xfId="0" applyFont="1" applyBorder="1" applyAlignment="1">
      <alignment horizontal="center" vertical="center"/>
    </xf>
    <xf numFmtId="0" fontId="22" fillId="0" borderId="2" xfId="0" applyFont="1" applyBorder="1" applyAlignment="1">
      <alignment horizontal="left" vertical="center" wrapText="1"/>
    </xf>
    <xf numFmtId="164" fontId="27" fillId="0" borderId="2" xfId="0" applyNumberFormat="1" applyFont="1" applyBorder="1" applyAlignment="1">
      <alignment horizontal="right" vertical="center"/>
    </xf>
    <xf numFmtId="0" fontId="29" fillId="18"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7" fillId="0" borderId="9" xfId="0" applyFont="1" applyBorder="1" applyAlignment="1">
      <alignment horizontal="left" vertical="center"/>
    </xf>
    <xf numFmtId="0" fontId="28" fillId="0" borderId="9" xfId="0" applyFont="1" applyBorder="1" applyAlignment="1">
      <alignment horizontal="left" vertical="center"/>
    </xf>
    <xf numFmtId="0" fontId="30" fillId="0" borderId="9" xfId="0" applyFont="1" applyBorder="1" applyAlignment="1">
      <alignment horizontal="left" vertical="center"/>
    </xf>
    <xf numFmtId="0" fontId="31" fillId="19" borderId="10" xfId="0" applyFont="1" applyFill="1" applyBorder="1" applyAlignment="1">
      <alignment horizontal="left" vertical="center"/>
    </xf>
    <xf numFmtId="0" fontId="19" fillId="0" borderId="0" xfId="0" applyFont="1"/>
    <xf numFmtId="8" fontId="22" fillId="0" borderId="1" xfId="0" applyNumberFormat="1" applyFont="1" applyBorder="1" applyAlignment="1">
      <alignment horizontal="center" vertical="center" wrapText="1"/>
    </xf>
    <xf numFmtId="8" fontId="23" fillId="0" borderId="2" xfId="0" applyNumberFormat="1" applyFont="1" applyBorder="1" applyAlignment="1">
      <alignment horizontal="right" vertical="center"/>
    </xf>
    <xf numFmtId="8" fontId="24" fillId="0" borderId="2" xfId="0" applyNumberFormat="1" applyFont="1" applyBorder="1" applyAlignment="1">
      <alignment horizontal="right" vertical="center"/>
    </xf>
    <xf numFmtId="166" fontId="24" fillId="0" borderId="2" xfId="0" applyNumberFormat="1" applyFont="1" applyBorder="1" applyAlignment="1">
      <alignment horizontal="center" vertical="center"/>
    </xf>
    <xf numFmtId="167" fontId="0" fillId="0" borderId="0" xfId="0" applyNumberFormat="1" applyAlignment="1">
      <alignment horizontal="center"/>
    </xf>
    <xf numFmtId="167" fontId="4" fillId="2" borderId="8" xfId="0" applyNumberFormat="1" applyFont="1" applyFill="1" applyBorder="1" applyAlignment="1">
      <alignment horizontal="center" vertical="center" wrapText="1"/>
    </xf>
    <xf numFmtId="8" fontId="7" fillId="0" borderId="9" xfId="0" applyNumberFormat="1" applyFont="1" applyBorder="1" applyAlignment="1">
      <alignment vertical="center"/>
    </xf>
    <xf numFmtId="168" fontId="31" fillId="19" borderId="10" xfId="0" applyNumberFormat="1" applyFont="1" applyFill="1" applyBorder="1" applyAlignment="1">
      <alignment horizontal="left" vertical="center"/>
    </xf>
    <xf numFmtId="0" fontId="32" fillId="20" borderId="11" xfId="0" applyFont="1" applyFill="1" applyBorder="1" applyAlignment="1">
      <alignment horizontal="left" vertical="center"/>
    </xf>
    <xf numFmtId="168" fontId="32" fillId="20" borderId="11" xfId="0" applyNumberFormat="1" applyFont="1" applyFill="1" applyBorder="1" applyAlignment="1">
      <alignment horizontal="left" vertical="center"/>
    </xf>
    <xf numFmtId="0" fontId="32" fillId="21" borderId="11" xfId="0" applyFont="1" applyFill="1" applyBorder="1" applyAlignment="1">
      <alignment horizontal="left" vertical="center"/>
    </xf>
    <xf numFmtId="168" fontId="32" fillId="21" borderId="11" xfId="0" applyNumberFormat="1" applyFont="1" applyFill="1" applyBorder="1" applyAlignment="1">
      <alignment horizontal="left" vertical="center"/>
    </xf>
    <xf numFmtId="0" fontId="32" fillId="22" borderId="12" xfId="0" applyFont="1" applyFill="1" applyBorder="1" applyAlignment="1">
      <alignment horizontal="left" vertical="center"/>
    </xf>
    <xf numFmtId="168" fontId="32" fillId="22" borderId="12" xfId="0" applyNumberFormat="1" applyFont="1" applyFill="1" applyBorder="1" applyAlignment="1">
      <alignment horizontal="left" vertical="center"/>
    </xf>
    <xf numFmtId="0" fontId="32" fillId="23" borderId="12" xfId="0" applyFont="1" applyFill="1" applyBorder="1" applyAlignment="1">
      <alignment horizontal="left" vertical="center"/>
    </xf>
    <xf numFmtId="168" fontId="32" fillId="23" borderId="12" xfId="0" applyNumberFormat="1" applyFont="1" applyFill="1" applyBorder="1" applyAlignment="1">
      <alignment horizontal="left" vertical="center"/>
    </xf>
    <xf numFmtId="0" fontId="33" fillId="24" borderId="13" xfId="0" applyFont="1" applyFill="1" applyBorder="1" applyAlignment="1">
      <alignment horizontal="left" vertical="center"/>
    </xf>
    <xf numFmtId="168" fontId="33" fillId="24" borderId="13" xfId="0" applyNumberFormat="1" applyFont="1" applyFill="1" applyBorder="1" applyAlignment="1">
      <alignment horizontal="left" vertical="center"/>
    </xf>
    <xf numFmtId="0" fontId="33" fillId="25" borderId="13" xfId="0" applyFont="1" applyFill="1" applyBorder="1" applyAlignment="1">
      <alignment horizontal="left" vertical="center"/>
    </xf>
    <xf numFmtId="168" fontId="33" fillId="25" borderId="13" xfId="0" applyNumberFormat="1" applyFont="1" applyFill="1" applyBorder="1" applyAlignment="1">
      <alignment horizontal="left" vertical="center"/>
    </xf>
    <xf numFmtId="0" fontId="34" fillId="26" borderId="14" xfId="0" applyFont="1" applyFill="1" applyBorder="1" applyAlignment="1">
      <alignment horizontal="left" vertical="center"/>
    </xf>
    <xf numFmtId="168" fontId="34" fillId="26" borderId="14" xfId="0" applyNumberFormat="1" applyFont="1" applyFill="1" applyBorder="1" applyAlignment="1">
      <alignment horizontal="left" vertical="center"/>
    </xf>
    <xf numFmtId="0" fontId="34" fillId="27" borderId="15" xfId="0" applyFont="1" applyFill="1" applyBorder="1" applyAlignment="1">
      <alignment horizontal="left" vertical="center"/>
    </xf>
    <xf numFmtId="168" fontId="34" fillId="27" borderId="15" xfId="0" applyNumberFormat="1" applyFont="1" applyFill="1" applyBorder="1" applyAlignment="1">
      <alignment horizontal="left" vertical="center"/>
    </xf>
    <xf numFmtId="0" fontId="34" fillId="28" borderId="15" xfId="0" applyFont="1" applyFill="1" applyBorder="1" applyAlignment="1">
      <alignment horizontal="left" vertical="center"/>
    </xf>
    <xf numFmtId="168" fontId="34" fillId="28" borderId="15" xfId="0" applyNumberFormat="1" applyFont="1" applyFill="1" applyBorder="1" applyAlignment="1">
      <alignment horizontal="left" vertical="center"/>
    </xf>
    <xf numFmtId="165" fontId="34" fillId="27" borderId="15" xfId="0" applyNumberFormat="1" applyFont="1" applyFill="1" applyBorder="1" applyAlignment="1">
      <alignment horizontal="left" vertical="center"/>
    </xf>
    <xf numFmtId="0" fontId="35" fillId="29" borderId="16" xfId="0" applyFont="1" applyFill="1" applyBorder="1" applyAlignment="1">
      <alignment horizontal="left" vertical="center"/>
    </xf>
    <xf numFmtId="168" fontId="35" fillId="29" borderId="16" xfId="0" applyNumberFormat="1" applyFont="1" applyFill="1" applyBorder="1" applyAlignment="1">
      <alignment horizontal="left" vertical="center"/>
    </xf>
    <xf numFmtId="0" fontId="36" fillId="32" borderId="17" xfId="0" applyFont="1" applyFill="1" applyBorder="1" applyAlignment="1">
      <alignment horizontal="left" vertical="center"/>
    </xf>
    <xf numFmtId="168" fontId="36" fillId="32" borderId="17" xfId="0" applyNumberFormat="1" applyFont="1" applyFill="1" applyBorder="1" applyAlignment="1">
      <alignment horizontal="left" vertical="center"/>
    </xf>
    <xf numFmtId="0" fontId="36" fillId="31" borderId="17" xfId="0" applyFont="1" applyFill="1" applyBorder="1" applyAlignment="1">
      <alignment horizontal="left" vertical="center"/>
    </xf>
    <xf numFmtId="168" fontId="36" fillId="31" borderId="17" xfId="0" applyNumberFormat="1" applyFont="1" applyFill="1" applyBorder="1" applyAlignment="1">
      <alignment horizontal="left" vertical="center"/>
    </xf>
    <xf numFmtId="165" fontId="36" fillId="31" borderId="17" xfId="0" applyNumberFormat="1" applyFont="1" applyFill="1" applyBorder="1" applyAlignment="1">
      <alignment horizontal="left" vertical="center"/>
    </xf>
    <xf numFmtId="165" fontId="36" fillId="32" borderId="17" xfId="0" applyNumberFormat="1" applyFont="1" applyFill="1" applyBorder="1" applyAlignment="1">
      <alignment horizontal="left" vertical="center"/>
    </xf>
    <xf numFmtId="0" fontId="36" fillId="30" borderId="17" xfId="0" applyFont="1" applyFill="1" applyBorder="1" applyAlignment="1">
      <alignment horizontal="left" vertical="center"/>
    </xf>
    <xf numFmtId="168" fontId="36" fillId="30" borderId="17" xfId="0" applyNumberFormat="1" applyFont="1" applyFill="1" applyBorder="1" applyAlignment="1">
      <alignment horizontal="left" vertical="center"/>
    </xf>
    <xf numFmtId="0" fontId="36" fillId="35" borderId="18" xfId="0" applyFont="1" applyFill="1" applyBorder="1" applyAlignment="1">
      <alignment horizontal="left" vertical="center"/>
    </xf>
    <xf numFmtId="168" fontId="36" fillId="35" borderId="18" xfId="0" applyNumberFormat="1" applyFont="1" applyFill="1" applyBorder="1" applyAlignment="1">
      <alignment horizontal="left" vertical="center"/>
    </xf>
    <xf numFmtId="0" fontId="36" fillId="34" borderId="18" xfId="0" applyFont="1" applyFill="1" applyBorder="1" applyAlignment="1">
      <alignment horizontal="left" vertical="center"/>
    </xf>
    <xf numFmtId="168" fontId="36" fillId="34" borderId="18" xfId="0" applyNumberFormat="1" applyFont="1" applyFill="1" applyBorder="1" applyAlignment="1">
      <alignment horizontal="left" vertical="center"/>
    </xf>
    <xf numFmtId="165" fontId="36" fillId="34" borderId="18" xfId="0" applyNumberFormat="1" applyFont="1" applyFill="1" applyBorder="1" applyAlignment="1">
      <alignment horizontal="left" vertical="center"/>
    </xf>
    <xf numFmtId="165" fontId="36" fillId="35" borderId="18" xfId="0" applyNumberFormat="1" applyFont="1" applyFill="1" applyBorder="1" applyAlignment="1">
      <alignment horizontal="left" vertical="center"/>
    </xf>
    <xf numFmtId="0" fontId="36" fillId="33" borderId="18" xfId="0" applyFont="1" applyFill="1" applyBorder="1" applyAlignment="1">
      <alignment horizontal="left" vertical="center"/>
    </xf>
    <xf numFmtId="168" fontId="36" fillId="33" borderId="18" xfId="0" applyNumberFormat="1" applyFont="1" applyFill="1" applyBorder="1" applyAlignment="1">
      <alignment horizontal="left" vertical="center"/>
    </xf>
    <xf numFmtId="0" fontId="37" fillId="37" borderId="19" xfId="0" applyFont="1" applyFill="1" applyBorder="1" applyAlignment="1">
      <alignment horizontal="left" vertical="center"/>
    </xf>
    <xf numFmtId="168" fontId="37" fillId="37" borderId="19" xfId="0" applyNumberFormat="1" applyFont="1" applyFill="1" applyBorder="1" applyAlignment="1">
      <alignment horizontal="left" vertical="center"/>
    </xf>
    <xf numFmtId="0" fontId="37" fillId="36" borderId="19" xfId="0" applyFont="1" applyFill="1" applyBorder="1" applyAlignment="1">
      <alignment horizontal="left" vertical="center"/>
    </xf>
    <xf numFmtId="168" fontId="37" fillId="36" borderId="19" xfId="0" applyNumberFormat="1" applyFont="1" applyFill="1" applyBorder="1" applyAlignment="1">
      <alignment horizontal="left" vertical="center"/>
    </xf>
    <xf numFmtId="165" fontId="37" fillId="36" borderId="19" xfId="0" applyNumberFormat="1" applyFont="1" applyFill="1" applyBorder="1" applyAlignment="1">
      <alignment horizontal="left" vertical="center"/>
    </xf>
    <xf numFmtId="0" fontId="37" fillId="38" borderId="19" xfId="0" applyFont="1" applyFill="1" applyBorder="1" applyAlignment="1">
      <alignment horizontal="left" vertical="center"/>
    </xf>
    <xf numFmtId="168" fontId="37" fillId="38" borderId="19" xfId="0" applyNumberFormat="1" applyFont="1" applyFill="1" applyBorder="1" applyAlignment="1">
      <alignment horizontal="left" vertical="center"/>
    </xf>
    <xf numFmtId="165" fontId="37" fillId="38" borderId="19" xfId="0" applyNumberFormat="1" applyFont="1" applyFill="1" applyBorder="1" applyAlignment="1">
      <alignment horizontal="left" vertical="center"/>
    </xf>
    <xf numFmtId="0" fontId="37" fillId="39" borderId="20" xfId="0" applyFont="1" applyFill="1" applyBorder="1" applyAlignment="1">
      <alignment horizontal="left" vertical="center"/>
    </xf>
    <xf numFmtId="168" fontId="37" fillId="39" borderId="20" xfId="0" applyNumberFormat="1" applyFont="1" applyFill="1" applyBorder="1" applyAlignment="1">
      <alignment horizontal="left" vertical="center"/>
    </xf>
    <xf numFmtId="165" fontId="37" fillId="39" borderId="20" xfId="0" applyNumberFormat="1" applyFont="1" applyFill="1" applyBorder="1" applyAlignment="1">
      <alignment horizontal="left" vertical="center"/>
    </xf>
    <xf numFmtId="0" fontId="37" fillId="40" borderId="20" xfId="0" applyFont="1" applyFill="1" applyBorder="1" applyAlignment="1">
      <alignment horizontal="left" vertical="center"/>
    </xf>
    <xf numFmtId="168" fontId="37" fillId="40" borderId="20" xfId="0" applyNumberFormat="1" applyFont="1" applyFill="1" applyBorder="1" applyAlignment="1">
      <alignment horizontal="left" vertical="center"/>
    </xf>
    <xf numFmtId="165" fontId="37" fillId="40" borderId="20" xfId="0" applyNumberFormat="1" applyFont="1" applyFill="1" applyBorder="1" applyAlignment="1">
      <alignment horizontal="left" vertical="center"/>
    </xf>
    <xf numFmtId="0" fontId="5" fillId="18" borderId="7" xfId="0" applyFont="1" applyFill="1" applyBorder="1" applyAlignment="1">
      <alignment horizontal="center" vertical="center" wrapText="1"/>
    </xf>
    <xf numFmtId="0" fontId="38" fillId="41" borderId="21" xfId="0" applyFont="1" applyFill="1" applyBorder="1" applyAlignment="1">
      <alignment horizontal="left" vertical="center"/>
    </xf>
    <xf numFmtId="168" fontId="38" fillId="41" borderId="21" xfId="0" applyNumberFormat="1" applyFont="1" applyFill="1" applyBorder="1" applyAlignment="1">
      <alignment horizontal="left" vertical="center"/>
    </xf>
    <xf numFmtId="0" fontId="39" fillId="43" borderId="22" xfId="0" applyFont="1" applyFill="1" applyBorder="1" applyAlignment="1">
      <alignment horizontal="left" vertical="center"/>
    </xf>
    <xf numFmtId="168" fontId="39" fillId="43" borderId="22" xfId="0" applyNumberFormat="1" applyFont="1" applyFill="1" applyBorder="1" applyAlignment="1">
      <alignment horizontal="left" vertical="center"/>
    </xf>
    <xf numFmtId="0" fontId="39" fillId="42" borderId="22" xfId="0" applyFont="1" applyFill="1" applyBorder="1" applyAlignment="1">
      <alignment horizontal="left" vertical="center"/>
    </xf>
    <xf numFmtId="168" fontId="39" fillId="42" borderId="22" xfId="0" applyNumberFormat="1" applyFont="1" applyFill="1" applyBorder="1" applyAlignment="1">
      <alignment horizontal="left" vertical="center"/>
    </xf>
    <xf numFmtId="165" fontId="39" fillId="42" borderId="22" xfId="0" applyNumberFormat="1" applyFont="1" applyFill="1" applyBorder="1" applyAlignment="1">
      <alignment horizontal="left" vertical="center"/>
    </xf>
    <xf numFmtId="165" fontId="39" fillId="43" borderId="22" xfId="0" applyNumberFormat="1" applyFont="1" applyFill="1" applyBorder="1" applyAlignment="1">
      <alignment horizontal="left" vertical="center"/>
    </xf>
    <xf numFmtId="8" fontId="24" fillId="0" borderId="22" xfId="0" applyNumberFormat="1" applyFont="1" applyBorder="1" applyAlignment="1">
      <alignment horizontal="right" vertical="center"/>
    </xf>
    <xf numFmtId="0" fontId="25" fillId="0" borderId="22" xfId="0" applyFont="1" applyBorder="1" applyAlignment="1">
      <alignment horizontal="center" vertical="center"/>
    </xf>
    <xf numFmtId="0" fontId="1" fillId="2" borderId="0" xfId="0" applyFont="1" applyFill="1" applyAlignment="1">
      <alignment horizontal="center" vertical="center"/>
    </xf>
    <xf numFmtId="0" fontId="0" fillId="0" borderId="0" xfId="0"/>
    <xf numFmtId="0" fontId="19" fillId="0" borderId="0" xfId="0" applyFont="1"/>
    <xf numFmtId="0" fontId="3" fillId="5" borderId="1" xfId="0" applyFont="1" applyFill="1" applyBorder="1" applyAlignment="1">
      <alignment horizontal="center" vertical="center" wrapText="1"/>
    </xf>
    <xf numFmtId="0" fontId="0" fillId="0" borderId="5" xfId="0" applyBorder="1"/>
    <xf numFmtId="0" fontId="0" fillId="0" borderId="6" xfId="0" applyBorder="1"/>
    <xf numFmtId="0" fontId="2" fillId="3" borderId="0" xfId="0" applyFont="1" applyFill="1" applyAlignment="1">
      <alignment horizontal="center" vertical="center"/>
    </xf>
    <xf numFmtId="0" fontId="3"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167" fontId="0" fillId="0" borderId="0" xfId="0" applyNumberFormat="1" applyAlignment="1">
      <alignment horizontal="center"/>
    </xf>
    <xf numFmtId="0" fontId="21" fillId="0" borderId="0" xfId="0" applyFont="1" applyFill="1" applyBorder="1"/>
    <xf numFmtId="8" fontId="21" fillId="0" borderId="0" xfId="0" applyNumberFormat="1" applyFont="1" applyFill="1" applyBorder="1"/>
    <xf numFmtId="8" fontId="23" fillId="44" borderId="23" xfId="0" applyNumberFormat="1" applyFont="1" applyFill="1" applyBorder="1" applyAlignment="1">
      <alignment horizontal="right" vertical="center"/>
    </xf>
    <xf numFmtId="0" fontId="40" fillId="45" borderId="23" xfId="0" applyFont="1" applyFill="1" applyBorder="1" applyAlignment="1">
      <alignment horizontal="center" vertical="center"/>
    </xf>
    <xf numFmtId="0" fontId="24" fillId="46" borderId="23" xfId="0" applyFont="1" applyFill="1" applyBorder="1" applyAlignment="1">
      <alignment horizontal="center" vertical="center"/>
    </xf>
    <xf numFmtId="0" fontId="41" fillId="0" borderId="0" xfId="0" applyFont="1" applyFill="1" applyBorder="1" applyAlignment="1">
      <alignment horizontal="left" vertical="center" wrapText="1"/>
    </xf>
    <xf numFmtId="164" fontId="27" fillId="47" borderId="23" xfId="0" applyNumberFormat="1" applyFont="1" applyFill="1" applyBorder="1" applyAlignment="1">
      <alignment horizontal="right" vertical="center"/>
    </xf>
    <xf numFmtId="0" fontId="21" fillId="0" borderId="0" xfId="0" applyNumberFormat="1" applyFont="1" applyFill="1" applyBorder="1"/>
    <xf numFmtId="0" fontId="22" fillId="0" borderId="8" xfId="0" applyFont="1" applyFill="1" applyBorder="1" applyAlignment="1">
      <alignment horizontal="center" vertical="center" wrapText="1"/>
    </xf>
    <xf numFmtId="0" fontId="22" fillId="0" borderId="8" xfId="0" applyFont="1" applyFill="1" applyBorder="1" applyAlignment="1">
      <alignment horizontal="left" vertical="center" wrapText="1"/>
    </xf>
    <xf numFmtId="165" fontId="22" fillId="0" borderId="8" xfId="0" applyNumberFormat="1" applyFont="1" applyFill="1" applyBorder="1" applyAlignment="1">
      <alignment horizontal="center" vertical="center" wrapText="1"/>
    </xf>
    <xf numFmtId="8" fontId="22" fillId="0" borderId="8" xfId="0" applyNumberFormat="1" applyFont="1" applyFill="1" applyBorder="1" applyAlignment="1">
      <alignment horizontal="center" vertical="center" wrapText="1"/>
    </xf>
    <xf numFmtId="8" fontId="24" fillId="0" borderId="23" xfId="0" applyNumberFormat="1" applyFont="1" applyFill="1" applyBorder="1" applyAlignment="1">
      <alignment horizontal="right" vertical="center"/>
    </xf>
    <xf numFmtId="0" fontId="25" fillId="0" borderId="23" xfId="0" applyFont="1" applyFill="1" applyBorder="1" applyAlignment="1">
      <alignment horizontal="center" vertical="center"/>
    </xf>
    <xf numFmtId="164" fontId="24" fillId="0" borderId="23" xfId="0" applyNumberFormat="1" applyFont="1" applyFill="1" applyBorder="1" applyAlignment="1">
      <alignment horizontal="right" vertical="center"/>
    </xf>
    <xf numFmtId="0" fontId="22" fillId="0" borderId="23" xfId="0" applyFont="1" applyFill="1" applyBorder="1" applyAlignment="1">
      <alignment horizontal="left" vertical="center" wrapText="1"/>
    </xf>
    <xf numFmtId="166" fontId="24" fillId="0" borderId="23" xfId="0" applyNumberFormat="1" applyFont="1" applyFill="1" applyBorder="1" applyAlignment="1">
      <alignment horizontal="center" vertical="center"/>
    </xf>
    <xf numFmtId="0" fontId="24" fillId="0" borderId="23" xfId="0" applyNumberFormat="1" applyFont="1" applyFill="1" applyBorder="1" applyAlignment="1">
      <alignment horizontal="center" vertical="center"/>
    </xf>
    <xf numFmtId="1" fontId="0" fillId="0" borderId="23" xfId="0" applyNumberFormat="1" applyFont="1" applyFill="1" applyBorder="1" applyAlignment="1">
      <alignment horizontal="center" vertical="center"/>
    </xf>
  </cellXfs>
  <cellStyles count="1">
    <cellStyle name="Normal" xfId="0" builtinId="0"/>
  </cellStyles>
  <dxfs count="118">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ill>
        <patternFill>
          <bgColor rgb="FFFFF2CC"/>
        </patternFill>
      </fill>
    </dxf>
    <dxf>
      <fill>
        <patternFill>
          <bgColor rgb="FFFFB3B3"/>
        </patternFill>
      </fill>
    </dxf>
    <dxf>
      <fill>
        <patternFill>
          <bgColor rgb="FFC6EFCE"/>
        </patternFill>
      </fill>
    </dxf>
    <dxf>
      <fill>
        <patternFill>
          <bgColor rgb="FFDDEBF7"/>
        </patternFill>
      </fill>
    </dxf>
    <dxf>
      <font>
        <b/>
        <color rgb="FF276221"/>
      </font>
      <fill>
        <patternFill>
          <bgColor rgb="FFC6EFCE"/>
        </patternFill>
      </fill>
    </dxf>
    <dxf>
      <font>
        <b/>
        <color rgb="FF7D6608"/>
      </font>
      <fill>
        <patternFill>
          <bgColor rgb="FFFFEB9C"/>
        </patternFill>
      </fill>
    </dxf>
    <dxf>
      <font>
        <b/>
        <color rgb="FF9C0006"/>
      </font>
      <fill>
        <patternFill>
          <bgColor rgb="FFFFB3B3"/>
        </patternFill>
      </fill>
    </dxf>
    <dxf>
      <font>
        <strike val="0"/>
        <condense val="0"/>
        <extend val="0"/>
        <outline val="0"/>
        <shadow val="0"/>
        <vertAlign val="baseline"/>
        <sz val="10"/>
        <color auto="1"/>
        <name val="Arial"/>
        <family val="2"/>
      </font>
      <numFmt numFmtId="165" formatCode="dd/mm/yyyy"/>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numFmt numFmtId="168" formatCode="&quot;$&quot;#,##0.00"/>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numFmt numFmtId="168" formatCode="&quot;$&quot;#,##0.00"/>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numFmt numFmtId="168" formatCode="&quot;$&quot;#,##0.00"/>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numFmt numFmtId="168" formatCode="&quot;$&quot;#,##0.00"/>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left" vertical="center"/>
      <border>
        <left style="thin">
          <color rgb="FFBBBBBB"/>
        </left>
        <right style="thin">
          <color rgb="FFBBBBBB"/>
        </right>
        <top style="thin">
          <color rgb="FFBBBBBB"/>
        </top>
        <bottom style="thin">
          <color rgb="FFBBBBBB"/>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left" vertical="center"/>
    </dxf>
    <dxf>
      <numFmt numFmtId="12" formatCode="&quot;$&quot;#,##0.00;[Red]&quot;$&quot;\-#,##0.00"/>
      <fill>
        <patternFill>
          <fgColor indexed="64"/>
          <bgColor auto="1"/>
        </patternFill>
      </fill>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Red]&quot;$&quot;\-#,##0.00"/>
      <fill>
        <patternFill>
          <fgColor indexed="64"/>
          <bgColor auto="1"/>
        </patternFill>
      </fill>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Red]&quot;$&quot;\-#,##0.00"/>
      <fill>
        <patternFill>
          <fgColor indexed="64"/>
          <bgColor auto="1"/>
        </patternFill>
      </fill>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Red]&quot;$&quot;\-#,##0.00"/>
      <fill>
        <patternFill>
          <fgColor indexed="64"/>
          <bgColor auto="1"/>
        </patternFill>
      </fill>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Red]&quot;$&quot;\-#,##0.00"/>
      <fill>
        <patternFill>
          <fgColor indexed="64"/>
          <bgColor auto="1"/>
        </patternFill>
      </fill>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Red]&quot;$&quot;\-#,##0.00"/>
      <fill>
        <patternFill>
          <fgColor indexed="64"/>
          <bgColor auto="1"/>
        </patternFill>
      </fill>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dxf>
    <dxf>
      <font>
        <strike val="0"/>
        <outline val="0"/>
        <shadow val="0"/>
        <vertAlign val="baseline"/>
        <name val="Cambria"/>
        <family val="1"/>
        <scheme val="major"/>
      </font>
      <numFmt numFmtId="0" formatCode="General"/>
      <fill>
        <patternFill>
          <bgColor auto="1"/>
        </patternFill>
      </fill>
    </dxf>
    <dxf>
      <font>
        <strike val="0"/>
        <outline val="0"/>
        <shadow val="0"/>
        <vertAlign val="baseline"/>
        <name val="Cambria"/>
        <family val="1"/>
        <scheme val="major"/>
      </font>
      <fill>
        <patternFill>
          <bgColor auto="1"/>
        </patternFill>
      </fill>
    </dxf>
    <dxf>
      <font>
        <strike val="0"/>
        <condense val="0"/>
        <extend val="0"/>
        <outline val="0"/>
        <shadow val="0"/>
        <vertAlign val="baseline"/>
        <sz val="10"/>
        <color rgb="FF1F4E79"/>
        <name val="Cambria"/>
        <family val="1"/>
        <scheme val="major"/>
      </font>
      <numFmt numFmtId="164" formatCode="\$#,##0.00"/>
      <fill>
        <patternFill>
          <fgColor rgb="FFF2F2F2"/>
          <bgColor auto="1"/>
        </patternFill>
      </fill>
      <alignment horizontal="right" vertical="center"/>
      <border outline="0">
        <left style="thin">
          <color rgb="FFBBBBBB"/>
        </left>
        <right style="thin">
          <color rgb="FFBBBBBB"/>
        </right>
        <top style="thin">
          <color rgb="FFBBBBBB"/>
        </top>
        <bottom style="thin">
          <color rgb="FFBBBBBB"/>
        </bottom>
      </border>
    </dxf>
    <dxf>
      <font>
        <strike val="0"/>
        <outline val="0"/>
        <shadow val="0"/>
        <vertAlign val="baseline"/>
        <sz val="8"/>
        <name val="Cambria"/>
        <family val="1"/>
        <scheme val="major"/>
      </font>
      <fill>
        <patternFill>
          <bgColor auto="1"/>
        </patternFill>
      </fill>
      <alignment horizontal="left" vertical="center" wrapText="1"/>
    </dxf>
    <dxf>
      <font>
        <strike val="0"/>
        <condense val="0"/>
        <extend val="0"/>
        <outline val="0"/>
        <shadow val="0"/>
        <vertAlign val="baseline"/>
        <sz val="10"/>
        <color rgb="FF000000"/>
        <name val="Cambria"/>
        <family val="1"/>
        <scheme val="major"/>
      </font>
      <fill>
        <patternFill>
          <fgColor rgb="FFF9F9F9"/>
          <bgColor auto="1"/>
        </patternFill>
      </fill>
      <alignment horizontal="center" vertical="center"/>
      <border outline="0">
        <left style="thin">
          <color rgb="FFBBBBBB"/>
        </left>
        <right style="thin">
          <color rgb="FFBBBBBB"/>
        </right>
        <top style="thin">
          <color rgb="FFBBBBBB"/>
        </top>
        <bottom style="thin">
          <color rgb="FFBBBBBB"/>
        </bottom>
      </border>
    </dxf>
    <dxf>
      <font>
        <strike val="0"/>
        <condense val="0"/>
        <extend val="0"/>
        <outline val="0"/>
        <shadow val="0"/>
        <vertAlign val="baseline"/>
        <sz val="10"/>
        <color rgb="FF000000"/>
        <name val="Arial"/>
        <scheme val="major"/>
      </font>
      <fill>
        <patternFill patternType="solid">
          <fgColor indexed="64"/>
          <bgColor rgb="FFFFFFFF"/>
        </patternFill>
      </fill>
      <alignment horizontal="center" vertical="center"/>
      <border>
        <left style="thin">
          <color rgb="FFBBBBBB"/>
        </left>
        <right style="thin">
          <color rgb="FFBBBBBB"/>
        </right>
        <top style="thin">
          <color rgb="FFBBBBBB"/>
        </top>
        <bottom style="thin">
          <color rgb="FFBBBBBB"/>
        </bottom>
        <vertical/>
        <horizontal/>
      </border>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condense val="0"/>
        <extend val="0"/>
        <outline val="0"/>
        <shadow val="0"/>
        <vertAlign val="baseline"/>
        <sz val="10"/>
        <color auto="1"/>
        <name val="Cambria"/>
        <family val="1"/>
        <scheme val="major"/>
      </font>
      <numFmt numFmtId="12" formatCode="&quot;$&quot;#,##0.00;[Red]&quot;$&quot;\-#,##0.00"/>
      <fill>
        <patternFill>
          <fgColor rgb="FFEBF3FB"/>
          <bgColor auto="1"/>
        </patternFill>
      </fill>
      <alignment horizontal="right" vertical="center" textRotation="0" wrapText="0"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numFmt numFmtId="12" formatCode="&quot;$&quot;#,##0.00;[Red]&quot;$&quot;\-#,##0.00"/>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fill>
        <patternFill>
          <bgColor auto="1"/>
        </patternFill>
      </fill>
    </dxf>
    <dxf>
      <font>
        <strike val="0"/>
        <outline val="0"/>
        <shadow val="0"/>
        <vertAlign val="baseline"/>
        <name val="Cambria"/>
        <family val="1"/>
        <scheme val="major"/>
      </font>
    </dxf>
  </dxfs>
  <tableStyles count="0" defaultTableStyle="TableStyleMedium2" defaultPivotStyle="PivotStyleLight16"/>
  <colors>
    <indexedColors>
      <rgbColor rgb="FF000000"/>
      <rgbColor rgb="FFFFFFFF"/>
      <rgbColor rgb="FFFF0000"/>
      <rgbColor rgb="FF00FF00"/>
      <rgbColor rgb="FF0000FF"/>
      <rgbColor rgb="FFFAEEDA"/>
      <rgbColor rgb="FFFF00FF"/>
      <rgbColor rgb="FF00FFFF"/>
      <rgbColor rgb="FF9C0006"/>
      <rgbColor rgb="FF1D6A39"/>
      <rgbColor rgb="FF000080"/>
      <rgbColor rgb="FF7D6608"/>
      <rgbColor rgb="FF800080"/>
      <rgbColor rgb="FF2E75B6"/>
      <rgbColor rgb="FFBFBFBF"/>
      <rgbColor rgb="FF808080"/>
      <rgbColor rgb="FFD6E4F0"/>
      <rgbColor rgb="FF7B2C2C"/>
      <rgbColor rgb="FFFFF2CC"/>
      <rgbColor rgb="FFDDEBF7"/>
      <rgbColor rgb="FF501313"/>
      <rgbColor rgb="FFFCEBEB"/>
      <rgbColor rgb="FF1F5C8B"/>
      <rgbColor rgb="FFBDD7EE"/>
      <rgbColor rgb="FF000080"/>
      <rgbColor rgb="FFFF00FF"/>
      <rgbColor rgb="FFEAF3DE"/>
      <rgbColor rgb="FF00FFFF"/>
      <rgbColor rgb="FF800080"/>
      <rgbColor rgb="FF791F1F"/>
      <rgbColor rgb="FF008080"/>
      <rgbColor rgb="FF0000FF"/>
      <rgbColor rgb="FF00CCFF"/>
      <rgbColor rgb="FFEBF3FB"/>
      <rgbColor rgb="FFD5F5E3"/>
      <rgbColor rgb="FFFFEB9C"/>
      <rgbColor rgb="FFBBBBBB"/>
      <rgbColor rgb="FFFFB3B3"/>
      <rgbColor rgb="FFFADADD"/>
      <rgbColor rgb="FFF7C1C1"/>
      <rgbColor rgb="FF4472C4"/>
      <rgbColor rgb="FFF9F9F9"/>
      <rgbColor rgb="FFFCF2E4"/>
      <rgbColor rgb="FFFCE4D6"/>
      <rgbColor rgb="FFF2F2F2"/>
      <rgbColor rgb="FFFF6600"/>
      <rgbColor rgb="FF2E5FA3"/>
      <rgbColor rgb="FFC6EFCE"/>
      <rgbColor rgb="FF1F3864"/>
      <rgbColor rgb="FF339966"/>
      <rgbColor rgb="FF276221"/>
      <rgbColor rgb="FF27500A"/>
      <rgbColor rgb="FF833C00"/>
      <rgbColor rgb="FF633806"/>
      <rgbColor rgb="FF1F4E79"/>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Auditorias" displayName="Tabla_Auditorias" ref="A4:AJ512" totalsRowShown="0" headerRowDxfId="117" dataDxfId="116">
  <autoFilter ref="A4:AJ512" xr:uid="{00000000-0009-0000-0100-000001000000}"/>
  <tableColumns count="36">
    <tableColumn id="1" xr3:uid="{00000000-0010-0000-0000-000001000000}" name="No." dataDxfId="115"/>
    <tableColumn id="2" xr3:uid="{00000000-0010-0000-0000-000002000000}" name="ALMACÉN" dataDxfId="114"/>
    <tableColumn id="3" xr3:uid="{00000000-0010-0000-0000-000003000000}" name="SOCIEDAD" dataDxfId="113"/>
    <tableColumn id="4" xr3:uid="{00000000-0010-0000-0000-000004000000}" name="LÍNEA" dataDxfId="112"/>
    <tableColumn id="5" xr3:uid="{00000000-0010-0000-0000-000005000000}" name="ZONA" dataDxfId="111"/>
    <tableColumn id="6" xr3:uid="{00000000-0010-0000-0000-000006000000}" name="CE." dataDxfId="110"/>
    <tableColumn id="7" xr3:uid="{00000000-0010-0000-0000-000007000000}" name="AUDITOR" dataDxfId="109"/>
    <tableColumn id="8" xr3:uid="{00000000-0010-0000-0000-000008000000}" name="TIPO_x000a_AUDITORÍA" dataDxfId="108"/>
    <tableColumn id="9" xr3:uid="{00000000-0010-0000-0000-000009000000}" name="REF._x000a_INFORME" dataDxfId="107"/>
    <tableColumn id="10" xr3:uid="{00000000-0010-0000-0000-00000A000000}" name="FECHA_x000a_AUDITORÍA" dataDxfId="106"/>
    <tableColumn id="11" xr3:uid="{00000000-0010-0000-0000-00000B000000}" name="FECHA_x000a_ENVÍO" dataDxfId="105"/>
    <tableColumn id="12" xr3:uid="{00000000-0010-0000-0000-00000C000000}" name="VERSIÓN" dataDxfId="104"/>
    <tableColumn id="13" xr3:uid="{00000000-0010-0000-0000-00000D000000}" name="TOTAL_x000a_INVENTARIO_x000a_COSTO" dataDxfId="103"/>
    <tableColumn id="14" xr3:uid="{00000000-0010-0000-0000-00000E000000}" name="SOBRANTES_x000a_PVP" dataDxfId="102"/>
    <tableColumn id="15" xr3:uid="{00000000-0010-0000-0000-00000F000000}" name="FALTANTES_x000a_PVP" dataDxfId="101"/>
    <tableColumn id="16" xr3:uid="{00000000-0010-0000-0000-000010000000}" name="DIF._x000a_CRUCES_x000a_PVP" dataDxfId="100"/>
    <tableColumn id="17" xr3:uid="{00000000-0010-0000-0000-000011000000}" name="MAL ESTADO_x000a_CADUCADOS_x000a_PVP" dataDxfId="99"/>
    <tableColumn id="18" xr3:uid="{00000000-0010-0000-0000-000012000000}" name="DEFECTOS_x000a_FÁBRICA_x000a_PVP" dataDxfId="98"/>
    <tableColumn id="19" xr3:uid="{00000000-0010-0000-0000-000013000000}" name="OTROS_x000a_PVP" dataDxfId="97"/>
    <tableColumn id="20" xr3:uid="{00000000-0010-0000-0000-000014000000}" name="RESULT._x000a_NETO_x000a_PVP" dataDxfId="96"/>
    <tableColumn id="21" xr3:uid="{00000000-0010-0000-0000-000015000000}" name="RESULT._x000a_A COBRAR PVP" dataDxfId="95"/>
    <tableColumn id="22" xr3:uid="{00000000-0010-0000-0000-000016000000}" name="RESULT._x000a_A COBRAR COSTO" dataDxfId="94">
      <calculatedColumnFormula>+Tabla_Auditorias[[#This Row],[AJUSTE
EGRESO
COSTO]]+Tabla_Auditorias[[#This Row],[AJUSTE EGRESO
MAL ESTADO]]+Tabla_Auditorias[[#This Row],[AJUSTE
INGRESO
COSTO]]</calculatedColumnFormula>
    </tableColumn>
    <tableColumn id="23" xr3:uid="{00000000-0010-0000-0000-000017000000}" name="AJUSTE_x000a_EGRESO_x000a_COSTO" dataDxfId="93"/>
    <tableColumn id="24" xr3:uid="{00000000-0010-0000-0000-000018000000}" name="AJUSTE EGRESO_x000a_MAL ESTADO" dataDxfId="92"/>
    <tableColumn id="38" xr3:uid="{00000000-0010-0000-0000-000026000000}" name="AJUSTE EGRESO_x000a_DEFECTO FAB." dataDxfId="91"/>
    <tableColumn id="25" xr3:uid="{00000000-0010-0000-0000-000019000000}" name="AJUSTE_x000a_INGRESO_x000a_COSTO" dataDxfId="90"/>
    <tableColumn id="26" xr3:uid="{00000000-0010-0000-0000-00001A000000}" name="TOTAL_x000a_COSTO_x000a_NETO" dataDxfId="89"/>
    <tableColumn id="27" xr3:uid="{00000000-0010-0000-0000-00001B000000}" name="RIESGO" dataDxfId="88">
      <calculatedColumnFormula>IFERROR(IF(AC5&lt;=10,"BAJO",IF(AC5&lt;=35,"MEDIO",IF(AC5&lt;=65,"ALTO","CRÍTICO"))),"BAJO")</calculatedColumnFormula>
    </tableColumn>
    <tableColumn id="28" xr3:uid="{00000000-0010-0000-0000-00001C000000}" name="SCORE_x000a_(0/100)" dataDxfId="87"/>
    <tableColumn id="29" xr3:uid="{00000000-0010-0000-0000-00001D000000}" name="PEND._x000a_FACTURAR_x000a_COSTO" dataDxfId="86"/>
    <tableColumn id="30" xr3:uid="{00000000-0010-0000-0000-00001E000000}" name="ESTADO_x000a_REGISTRO" dataDxfId="85"/>
    <tableColumn id="31" xr3:uid="{00000000-0010-0000-0000-00001F000000}" name="Ajuste (Si/No)" dataDxfId="84">
      <calculatedColumnFormula>IF(Tabla_Auditorias[[#This Row],[TOTAL
COSTO
NETO]]&lt;&gt;0,"Si","No")</calculatedColumnFormula>
    </tableColumn>
    <tableColumn id="32" xr3:uid="{00000000-0010-0000-0000-000020000000}" name="OBSERVACIONES" dataDxfId="83"/>
    <tableColumn id="33" xr3:uid="{00000000-0010-0000-0000-000021000000}" name="VALOR COBRADO" dataDxfId="82"/>
    <tableColumn id="34" xr3:uid="{00000000-0010-0000-0000-000022000000}" name="% COBRO VS A COBRAR COSTO" dataDxfId="81">
      <calculatedColumnFormula>IFERROR(IF(V5&lt;0,ABS(AH5/V5),""),"")</calculatedColumnFormula>
    </tableColumn>
    <tableColumn id="35" xr3:uid="{00000000-0010-0000-0000-000023000000}" name="ESTADO COBRO" dataDxfId="80">
      <calculatedColumnFormula>IF(V5&gt;0,"No Aplica",IF(AND(V5&lt;0,AH5=0),"Pendiente",IF(AND(AH5&gt;0,AH5&gt;=ABS(V5)),"Cobrado Total",IF(AND(AH5&gt;0,AH5&lt;ABS(V5)),"Cobrado Parcial","Pendiente"))))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Pendientes" displayName="Tabla_Pendientes" ref="A3:G111" totalsRowShown="0" dataDxfId="79">
  <autoFilter ref="A3:G111" xr:uid="{00000000-0009-0000-0100-000002000000}"/>
  <tableColumns count="7">
    <tableColumn id="1" xr3:uid="{00000000-0010-0000-0100-000001000000}" name="REF. INFORME" dataDxfId="78"/>
    <tableColumn id="2" xr3:uid="{00000000-0010-0000-0100-000002000000}" name="RESULT. A COBRAR" dataDxfId="77"/>
    <tableColumn id="3" xr3:uid="{00000000-0010-0000-0100-000003000000}" name="TOTAL COSTO NETO" dataDxfId="76"/>
    <tableColumn id="4" xr3:uid="{00000000-0010-0000-0100-000004000000}" name="COSTO T." dataDxfId="75"/>
    <tableColumn id="5" xr3:uid="{00000000-0010-0000-0100-000005000000}" name="PRECIO T." dataDxfId="74"/>
    <tableColumn id="6" xr3:uid="{00000000-0010-0000-0100-000006000000}" name="DIFERENCIA COSTO" dataDxfId="73"/>
    <tableColumn id="7" xr3:uid="{00000000-0010-0000-0100-000007000000}" name="DIFERENCIA P.V.P" dataDxfId="7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_SKUs" displayName="Tabla_SKUs" ref="A3:L1794" totalsRowShown="0" dataDxfId="71">
  <autoFilter ref="A3:L1794" xr:uid="{00000000-0009-0000-0100-000003000000}">
    <filterColumn colId="9">
      <filters>
        <filter val="AUD-GO-TCL-MALL-DEL-ALTO-006-001"/>
      </filters>
    </filterColumn>
  </autoFilter>
  <tableColumns count="12">
    <tableColumn id="1" xr3:uid="{00000000-0010-0000-0200-000001000000}" name="TIPO_x000a_HALLAZGO" dataDxfId="70"/>
    <tableColumn id="2" xr3:uid="{00000000-0010-0000-0200-000002000000}" name="MATERIAL_x000a_(SKU)" dataDxfId="69"/>
    <tableColumn id="3" xr3:uid="{00000000-0010-0000-0200-000003000000}" name="DESCRIPCIÓN" dataDxfId="68"/>
    <tableColumn id="4" xr3:uid="{00000000-0010-0000-0200-000004000000}" name="CENTRO_x000a_(CE)" dataDxfId="67"/>
    <tableColumn id="5" xr3:uid="{00000000-0010-0000-0200-000005000000}" name="CANTIDAD" dataDxfId="66"/>
    <tableColumn id="6" xr3:uid="{00000000-0010-0000-0200-000006000000}" name="COSTO_x000a_UNITARIO" dataDxfId="65"/>
    <tableColumn id="7" xr3:uid="{00000000-0010-0000-0200-000007000000}" name="PVP_x000a_UNITARIO" dataDxfId="64"/>
    <tableColumn id="8" xr3:uid="{00000000-0010-0000-0200-000008000000}" name="COSTO_x000a_TOTAL" dataDxfId="63"/>
    <tableColumn id="9" xr3:uid="{00000000-0010-0000-0200-000009000000}" name="PVP_x000a_TOTAL" dataDxfId="62"/>
    <tableColumn id="10" xr3:uid="{00000000-0010-0000-0200-00000A000000}" name="REF._x000a_INFORME" dataDxfId="61"/>
    <tableColumn id="11" xr3:uid="{00000000-0010-0000-0200-00000B000000}" name="ALMACÉN" dataDxfId="60"/>
    <tableColumn id="12" xr3:uid="{00000000-0010-0000-0200-00000C000000}" name="FECHA_x000a_AUDITORÍA" dataDxfId="5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512"/>
  <sheetViews>
    <sheetView showGridLines="0" tabSelected="1" zoomScaleNormal="100" workbookViewId="0">
      <pane xSplit="1" ySplit="4" topLeftCell="Z503" activePane="bottomRight" state="frozen"/>
      <selection pane="topRight" activeCell="AB1" sqref="AB1"/>
      <selection pane="bottomLeft" activeCell="A71" sqref="A71"/>
      <selection pane="bottomRight" activeCell="AE504" sqref="AE504"/>
    </sheetView>
  </sheetViews>
  <sheetFormatPr baseColWidth="10" defaultColWidth="92.28515625" defaultRowHeight="15" x14ac:dyDescent="0.25"/>
  <cols>
    <col min="1" max="1" width="7.85546875" bestFit="1" customWidth="1"/>
    <col min="2" max="2" width="27.5703125" bestFit="1" customWidth="1"/>
    <col min="3" max="3" width="13.140625" bestFit="1" customWidth="1"/>
    <col min="4" max="4" width="9.85546875" bestFit="1" customWidth="1"/>
    <col min="5" max="5" width="9.5703125" bestFit="1" customWidth="1"/>
    <col min="6" max="6" width="7.7109375" bestFit="1" customWidth="1"/>
    <col min="7" max="7" width="12.42578125" bestFit="1" customWidth="1"/>
    <col min="8" max="8" width="14" bestFit="1" customWidth="1"/>
    <col min="9" max="9" width="41.140625" bestFit="1" customWidth="1"/>
    <col min="10" max="10" width="14" bestFit="1" customWidth="1"/>
    <col min="11" max="11" width="10.28515625" bestFit="1" customWidth="1"/>
    <col min="12" max="12" width="12" bestFit="1" customWidth="1"/>
    <col min="13" max="13" width="14.7109375" bestFit="1" customWidth="1"/>
    <col min="14" max="14" width="14.28515625" bestFit="1" customWidth="1"/>
    <col min="15" max="15" width="14" bestFit="1" customWidth="1"/>
    <col min="16" max="16" width="11" bestFit="1" customWidth="1"/>
    <col min="17" max="17" width="15" bestFit="1" customWidth="1"/>
    <col min="18" max="18" width="13.140625" bestFit="1" customWidth="1"/>
    <col min="19" max="19" width="10.7109375" bestFit="1" customWidth="1"/>
    <col min="20" max="20" width="11.5703125" bestFit="1" customWidth="1"/>
    <col min="21" max="21" width="16.140625" bestFit="1" customWidth="1"/>
    <col min="22" max="22" width="18.140625" bestFit="1" customWidth="1"/>
    <col min="23" max="23" width="11.28515625" bestFit="1" customWidth="1"/>
    <col min="24" max="25" width="16.85546875" bestFit="1" customWidth="1"/>
    <col min="26" max="26" width="12" bestFit="1" customWidth="1"/>
    <col min="27" max="27" width="10.5703125" bestFit="1" customWidth="1"/>
    <col min="28" max="28" width="11" bestFit="1" customWidth="1"/>
    <col min="29" max="29" width="11.5703125" bestFit="1" customWidth="1"/>
    <col min="30" max="30" width="13.28515625" bestFit="1" customWidth="1"/>
    <col min="31" max="31" width="21.5703125" bestFit="1" customWidth="1"/>
    <col min="32" max="32" width="10.7109375" bestFit="1" customWidth="1"/>
    <col min="33" max="33" width="53.28515625" style="47" customWidth="1"/>
    <col min="34" max="34" width="12.85546875" bestFit="1" customWidth="1"/>
    <col min="35" max="35" width="16.85546875" bestFit="1" customWidth="1"/>
    <col min="36" max="36" width="17" bestFit="1" customWidth="1"/>
  </cols>
  <sheetData>
    <row r="1" spans="1:36" ht="16.5" customHeight="1" x14ac:dyDescent="0.25">
      <c r="A1" s="118" t="s">
        <v>0</v>
      </c>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20"/>
    </row>
    <row r="2" spans="1:36" x14ac:dyDescent="0.25">
      <c r="A2" s="124" t="s">
        <v>1</v>
      </c>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20"/>
    </row>
    <row r="3" spans="1:36" x14ac:dyDescent="0.25">
      <c r="A3" s="125" t="s">
        <v>2</v>
      </c>
      <c r="B3" s="122"/>
      <c r="C3" s="122"/>
      <c r="D3" s="122"/>
      <c r="E3" s="122"/>
      <c r="F3" s="122"/>
      <c r="G3" s="122"/>
      <c r="H3" s="122"/>
      <c r="I3" s="122"/>
      <c r="J3" s="122"/>
      <c r="K3" s="122"/>
      <c r="L3" s="123"/>
      <c r="M3" s="121" t="s">
        <v>3</v>
      </c>
      <c r="N3" s="122"/>
      <c r="O3" s="122"/>
      <c r="P3" s="122"/>
      <c r="Q3" s="122"/>
      <c r="R3" s="122"/>
      <c r="S3" s="122"/>
      <c r="T3" s="122"/>
      <c r="U3" s="123"/>
      <c r="V3" s="125" t="s">
        <v>4</v>
      </c>
      <c r="W3" s="122"/>
      <c r="X3" s="122"/>
      <c r="Y3" s="122"/>
      <c r="Z3" s="122"/>
      <c r="AA3" s="123"/>
      <c r="AB3" s="126" t="s">
        <v>5</v>
      </c>
      <c r="AC3" s="122"/>
      <c r="AD3" s="122"/>
      <c r="AE3" s="122"/>
      <c r="AF3" s="122"/>
      <c r="AG3" s="123"/>
    </row>
    <row r="4" spans="1:36" s="31" customFormat="1" ht="31.5" customHeight="1" x14ac:dyDescent="0.2">
      <c r="A4" s="30" t="s">
        <v>6</v>
      </c>
      <c r="B4" s="30" t="s">
        <v>7</v>
      </c>
      <c r="C4" s="30" t="s">
        <v>8</v>
      </c>
      <c r="D4" s="30" t="s">
        <v>9</v>
      </c>
      <c r="E4" s="30" t="s">
        <v>10</v>
      </c>
      <c r="F4" s="30" t="s">
        <v>11</v>
      </c>
      <c r="G4" s="30" t="s">
        <v>12</v>
      </c>
      <c r="H4" s="30" t="s">
        <v>13</v>
      </c>
      <c r="I4" s="30" t="s">
        <v>14</v>
      </c>
      <c r="J4" s="30" t="s">
        <v>15</v>
      </c>
      <c r="K4" s="30" t="s">
        <v>16</v>
      </c>
      <c r="L4" s="30" t="s">
        <v>17</v>
      </c>
      <c r="M4" s="30" t="s">
        <v>18</v>
      </c>
      <c r="N4" s="30" t="s">
        <v>19</v>
      </c>
      <c r="O4" s="30" t="s">
        <v>20</v>
      </c>
      <c r="P4" s="30" t="s">
        <v>21</v>
      </c>
      <c r="Q4" s="30" t="s">
        <v>22</v>
      </c>
      <c r="R4" s="30" t="s">
        <v>23</v>
      </c>
      <c r="S4" s="30" t="s">
        <v>24</v>
      </c>
      <c r="T4" s="30" t="s">
        <v>25</v>
      </c>
      <c r="U4" s="30" t="s">
        <v>26</v>
      </c>
      <c r="V4" s="30" t="s">
        <v>27</v>
      </c>
      <c r="W4" s="30" t="s">
        <v>28</v>
      </c>
      <c r="X4" s="30" t="s">
        <v>29</v>
      </c>
      <c r="Y4" s="30" t="s">
        <v>30</v>
      </c>
      <c r="Z4" s="30" t="s">
        <v>31</v>
      </c>
      <c r="AA4" s="30" t="s">
        <v>32</v>
      </c>
      <c r="AB4" s="30" t="s">
        <v>33</v>
      </c>
      <c r="AC4" s="30" t="s">
        <v>34</v>
      </c>
      <c r="AD4" s="30" t="s">
        <v>35</v>
      </c>
      <c r="AE4" s="30" t="s">
        <v>36</v>
      </c>
      <c r="AF4" s="30" t="s">
        <v>37</v>
      </c>
      <c r="AG4" s="30" t="s">
        <v>38</v>
      </c>
      <c r="AH4" s="30" t="s">
        <v>39</v>
      </c>
      <c r="AI4" s="30" t="s">
        <v>40</v>
      </c>
      <c r="AJ4" s="30" t="s">
        <v>41</v>
      </c>
    </row>
    <row r="5" spans="1:36" s="31" customFormat="1" ht="25.5" customHeight="1" x14ac:dyDescent="0.2">
      <c r="A5" s="32">
        <v>1</v>
      </c>
      <c r="B5" s="33" t="s">
        <v>42</v>
      </c>
      <c r="C5" s="32" t="s">
        <v>43</v>
      </c>
      <c r="D5" s="32" t="s">
        <v>44</v>
      </c>
      <c r="E5" s="32" t="s">
        <v>45</v>
      </c>
      <c r="F5" s="32">
        <v>1310</v>
      </c>
      <c r="G5" s="33" t="s">
        <v>46</v>
      </c>
      <c r="H5" s="32" t="s">
        <v>47</v>
      </c>
      <c r="I5" s="32"/>
      <c r="J5" s="34">
        <v>45293</v>
      </c>
      <c r="K5" s="34">
        <v>45293</v>
      </c>
      <c r="L5" s="32" t="s">
        <v>48</v>
      </c>
      <c r="M5" s="48">
        <v>182360.55879999991</v>
      </c>
      <c r="N5" s="48">
        <v>24.19</v>
      </c>
      <c r="O5" s="48">
        <v>-223.47</v>
      </c>
      <c r="P5" s="48">
        <v>-76.980000000000047</v>
      </c>
      <c r="Q5" s="48">
        <v>0</v>
      </c>
      <c r="R5" s="48">
        <v>0</v>
      </c>
      <c r="S5" s="48"/>
      <c r="T5" s="48">
        <f t="shared" ref="T5:T68" si="0">N5+O5+P5+Q5+R5+S5</f>
        <v>-276.26000000000005</v>
      </c>
      <c r="U5" s="48">
        <f t="shared" ref="U5:U68" si="1">N5+O5+P5+Q5+S5</f>
        <v>-276.26000000000005</v>
      </c>
      <c r="V5" s="49">
        <f>+Tabla_Auditorias[[#This Row],[AJUSTE
EGRESO
COSTO]]+Tabla_Auditorias[[#This Row],[AJUSTE EGRESO
MAL ESTADO]]+Tabla_Auditorias[[#This Row],[AJUSTE
INGRESO
COSTO]]</f>
        <v>-205.53699195402305</v>
      </c>
      <c r="W5" s="48">
        <v>-1754.110633333333</v>
      </c>
      <c r="X5" s="48"/>
      <c r="Y5" s="48"/>
      <c r="Z5" s="48">
        <v>1548.5736413793099</v>
      </c>
      <c r="AA5" s="50">
        <f>+SUM(Tabla_Auditorias[[#This Row],[AJUSTE
EGRESO
COSTO]:[AJUSTE
INGRESO
COSTO]])</f>
        <v>-205.53699195402305</v>
      </c>
      <c r="AB5" s="36" t="str">
        <f t="shared" ref="AB5:AB68" si="2">IFERROR(IF(AC5&lt;=10,"BAJO",IF(AC5&lt;=35,"MEDIO",IF(AC5&lt;=65,"ALTO","CRÍTICO"))),"BAJO")</f>
        <v>MEDIO</v>
      </c>
      <c r="AC5" s="37">
        <f t="shared" ref="AC5:AC68" si="3">IFERROR(IF(M5=0,0,IF(ABS(O5)/M5=0,0,IF(ABS(O5)/M5&lt;=0.01,10,IF(ABS(O5)/M5&lt;=0.03,25,IF(ABS(O5)/M5&lt;=0.05,40,50)))))+IF(ABS(U5)=0,0,IF(ABS(U5)&lt;=200,10,IF(ABS(U5)&lt;=500,15,IF(ABS(U5)&lt;=2000,22,30))))+0+IF(OR(Q5&lt;0,R5&lt;0),5,0),0)</f>
        <v>25</v>
      </c>
      <c r="AD5" s="35">
        <v>0</v>
      </c>
      <c r="AE5" s="41" t="s">
        <v>49</v>
      </c>
      <c r="AF5" s="38" t="str">
        <f>IF(Tabla_Auditorias[[#This Row],[TOTAL
COSTO
NETO]]&lt;&gt;0,"Si","No")</f>
        <v>Si</v>
      </c>
      <c r="AG5" s="39"/>
      <c r="AH5" s="40"/>
      <c r="AI5" s="51">
        <f t="shared" ref="AI5:AI68" si="4">IFERROR(IF(V5&lt;0,ABS(AH5/V5),""),"")</f>
        <v>0</v>
      </c>
      <c r="AJ5" s="38" t="str">
        <f t="shared" ref="AJ5:AJ68" si="5">IF(V5&gt;0,"No Aplica",IF(AND(V5&lt;0,AH5=0),"Pendiente",IF(AND(AH5&gt;0,AH5&gt;=ABS(V5)),"Cobrado Total",IF(AND(AH5&gt;0,AH5&lt;ABS(V5)),"Cobrado Parcial","Pendiente"))))</f>
        <v>Pendiente</v>
      </c>
    </row>
    <row r="6" spans="1:36" s="31" customFormat="1" ht="25.5" customHeight="1" x14ac:dyDescent="0.2">
      <c r="A6" s="32">
        <v>2</v>
      </c>
      <c r="B6" s="33" t="s">
        <v>50</v>
      </c>
      <c r="C6" s="32" t="s">
        <v>51</v>
      </c>
      <c r="D6" s="32" t="s">
        <v>52</v>
      </c>
      <c r="E6" s="32" t="s">
        <v>53</v>
      </c>
      <c r="F6" s="32">
        <v>1732</v>
      </c>
      <c r="G6" s="33" t="s">
        <v>54</v>
      </c>
      <c r="H6" s="32" t="s">
        <v>47</v>
      </c>
      <c r="I6" s="32"/>
      <c r="J6" s="34">
        <v>45294</v>
      </c>
      <c r="K6" s="34">
        <v>45294</v>
      </c>
      <c r="L6" s="32" t="s">
        <v>48</v>
      </c>
      <c r="M6" s="48">
        <v>25716.58</v>
      </c>
      <c r="N6" s="48">
        <v>0</v>
      </c>
      <c r="O6" s="48">
        <v>0</v>
      </c>
      <c r="P6" s="48">
        <v>0</v>
      </c>
      <c r="Q6" s="48">
        <v>0</v>
      </c>
      <c r="R6" s="48">
        <v>0</v>
      </c>
      <c r="S6" s="48"/>
      <c r="T6" s="48">
        <f t="shared" si="0"/>
        <v>0</v>
      </c>
      <c r="U6" s="48">
        <f t="shared" si="1"/>
        <v>0</v>
      </c>
      <c r="V6" s="49">
        <f>+Tabla_Auditorias[[#This Row],[AJUSTE
EGRESO
COSTO]]+Tabla_Auditorias[[#This Row],[AJUSTE EGRESO
MAL ESTADO]]+Tabla_Auditorias[[#This Row],[AJUSTE
INGRESO
COSTO]]</f>
        <v>0</v>
      </c>
      <c r="W6" s="48">
        <v>0</v>
      </c>
      <c r="X6" s="48"/>
      <c r="Y6" s="48"/>
      <c r="Z6" s="48">
        <v>0</v>
      </c>
      <c r="AA6" s="50">
        <f>+SUM(Tabla_Auditorias[[#This Row],[AJUSTE
EGRESO
COSTO]:[AJUSTE
INGRESO
COSTO]])</f>
        <v>0</v>
      </c>
      <c r="AB6" s="36" t="str">
        <f t="shared" si="2"/>
        <v>BAJO</v>
      </c>
      <c r="AC6" s="37">
        <f t="shared" si="3"/>
        <v>0</v>
      </c>
      <c r="AD6" s="35">
        <v>0</v>
      </c>
      <c r="AE6" s="41" t="s">
        <v>49</v>
      </c>
      <c r="AF6" s="38" t="str">
        <f>IF(Tabla_Auditorias[[#This Row],[TOTAL
COSTO
NETO]]&lt;&gt;0,"Si","No")</f>
        <v>No</v>
      </c>
      <c r="AG6" s="39" t="s">
        <v>55</v>
      </c>
      <c r="AH6" s="40"/>
      <c r="AI6" s="51" t="str">
        <f t="shared" si="4"/>
        <v/>
      </c>
      <c r="AJ6" s="38" t="str">
        <f t="shared" si="5"/>
        <v>Pendiente</v>
      </c>
    </row>
    <row r="7" spans="1:36" s="31" customFormat="1" ht="25.5" customHeight="1" x14ac:dyDescent="0.2">
      <c r="A7" s="32">
        <v>3</v>
      </c>
      <c r="B7" s="33" t="s">
        <v>56</v>
      </c>
      <c r="C7" s="32" t="s">
        <v>51</v>
      </c>
      <c r="D7" s="32" t="s">
        <v>57</v>
      </c>
      <c r="E7" s="32" t="s">
        <v>58</v>
      </c>
      <c r="F7" s="32">
        <v>1727</v>
      </c>
      <c r="G7" s="33" t="s">
        <v>59</v>
      </c>
      <c r="H7" s="32" t="s">
        <v>47</v>
      </c>
      <c r="I7" s="32"/>
      <c r="J7" s="34">
        <v>45295</v>
      </c>
      <c r="K7" s="34">
        <v>45295</v>
      </c>
      <c r="L7" s="32" t="s">
        <v>48</v>
      </c>
      <c r="M7" s="48">
        <v>52246.678099999997</v>
      </c>
      <c r="N7" s="48">
        <v>0</v>
      </c>
      <c r="O7" s="48">
        <v>-19.05</v>
      </c>
      <c r="P7" s="48">
        <v>-31.969999999999899</v>
      </c>
      <c r="Q7" s="48">
        <v>0</v>
      </c>
      <c r="R7" s="48">
        <v>0</v>
      </c>
      <c r="S7" s="48"/>
      <c r="T7" s="48">
        <f t="shared" si="0"/>
        <v>-51.019999999999897</v>
      </c>
      <c r="U7" s="48">
        <f t="shared" si="1"/>
        <v>-51.019999999999897</v>
      </c>
      <c r="V7" s="49">
        <f>+Tabla_Auditorias[[#This Row],[AJUSTE
EGRESO
COSTO]]+Tabla_Auditorias[[#This Row],[AJUSTE EGRESO
MAL ESTADO]]+Tabla_Auditorias[[#This Row],[AJUSTE
INGRESO
COSTO]]</f>
        <v>-22.254666666670005</v>
      </c>
      <c r="W7" s="48">
        <v>-1022.4963</v>
      </c>
      <c r="X7" s="48"/>
      <c r="Y7" s="48"/>
      <c r="Z7" s="48">
        <v>1000.24163333333</v>
      </c>
      <c r="AA7" s="50">
        <f>+SUM(Tabla_Auditorias[[#This Row],[AJUSTE
EGRESO
COSTO]:[AJUSTE
INGRESO
COSTO]])</f>
        <v>-22.254666666670005</v>
      </c>
      <c r="AB7" s="36" t="str">
        <f t="shared" si="2"/>
        <v>MEDIO</v>
      </c>
      <c r="AC7" s="37">
        <f t="shared" si="3"/>
        <v>20</v>
      </c>
      <c r="AD7" s="35">
        <v>0</v>
      </c>
      <c r="AE7" s="41" t="s">
        <v>49</v>
      </c>
      <c r="AF7" s="38" t="str">
        <f>IF(Tabla_Auditorias[[#This Row],[TOTAL
COSTO
NETO]]&lt;&gt;0,"Si","No")</f>
        <v>Si</v>
      </c>
      <c r="AG7" s="39" t="s">
        <v>60</v>
      </c>
      <c r="AH7" s="40"/>
      <c r="AI7" s="51">
        <f t="shared" si="4"/>
        <v>0</v>
      </c>
      <c r="AJ7" s="38" t="str">
        <f t="shared" si="5"/>
        <v>Pendiente</v>
      </c>
    </row>
    <row r="8" spans="1:36" s="31" customFormat="1" ht="25.5" customHeight="1" x14ac:dyDescent="0.2">
      <c r="A8" s="32">
        <v>4</v>
      </c>
      <c r="B8" s="33" t="s">
        <v>61</v>
      </c>
      <c r="C8" s="32" t="s">
        <v>43</v>
      </c>
      <c r="D8" s="32" t="s">
        <v>44</v>
      </c>
      <c r="E8" s="32" t="s">
        <v>53</v>
      </c>
      <c r="F8" s="32">
        <v>1484</v>
      </c>
      <c r="G8" s="33" t="s">
        <v>54</v>
      </c>
      <c r="H8" s="32" t="s">
        <v>47</v>
      </c>
      <c r="I8" s="32"/>
      <c r="J8" s="34">
        <v>45299</v>
      </c>
      <c r="K8" s="34">
        <v>45299</v>
      </c>
      <c r="L8" s="32" t="s">
        <v>48</v>
      </c>
      <c r="M8" s="48">
        <v>184230.75</v>
      </c>
      <c r="N8" s="48">
        <v>0</v>
      </c>
      <c r="O8" s="48">
        <v>0</v>
      </c>
      <c r="P8" s="48">
        <v>0</v>
      </c>
      <c r="Q8" s="48">
        <v>0</v>
      </c>
      <c r="R8" s="48">
        <v>-86.73</v>
      </c>
      <c r="S8" s="48"/>
      <c r="T8" s="48">
        <f t="shared" si="0"/>
        <v>-86.73</v>
      </c>
      <c r="U8" s="48">
        <f t="shared" si="1"/>
        <v>0</v>
      </c>
      <c r="V8" s="49">
        <f>+Tabla_Auditorias[[#This Row],[AJUSTE
EGRESO
COSTO]]+Tabla_Auditorias[[#This Row],[AJUSTE EGRESO
MAL ESTADO]]+Tabla_Auditorias[[#This Row],[AJUSTE
INGRESO
COSTO]]</f>
        <v>-56.4</v>
      </c>
      <c r="W8" s="48">
        <v>-56.4</v>
      </c>
      <c r="X8" s="48"/>
      <c r="Y8" s="48"/>
      <c r="Z8" s="48">
        <v>0</v>
      </c>
      <c r="AA8" s="50">
        <f>+SUM(Tabla_Auditorias[[#This Row],[AJUSTE
EGRESO
COSTO]:[AJUSTE
INGRESO
COSTO]])</f>
        <v>-56.4</v>
      </c>
      <c r="AB8" s="36" t="str">
        <f t="shared" si="2"/>
        <v>BAJO</v>
      </c>
      <c r="AC8" s="37">
        <f t="shared" si="3"/>
        <v>5</v>
      </c>
      <c r="AD8" s="35">
        <v>0</v>
      </c>
      <c r="AE8" s="41" t="s">
        <v>49</v>
      </c>
      <c r="AF8" s="38" t="str">
        <f>IF(Tabla_Auditorias[[#This Row],[TOTAL
COSTO
NETO]]&lt;&gt;0,"Si","No")</f>
        <v>Si</v>
      </c>
      <c r="AG8" s="39" t="s">
        <v>62</v>
      </c>
      <c r="AH8" s="40"/>
      <c r="AI8" s="51">
        <f t="shared" si="4"/>
        <v>0</v>
      </c>
      <c r="AJ8" s="38" t="str">
        <f t="shared" si="5"/>
        <v>Pendiente</v>
      </c>
    </row>
    <row r="9" spans="1:36" s="31" customFormat="1" ht="25.5" customHeight="1" x14ac:dyDescent="0.2">
      <c r="A9" s="32">
        <v>5</v>
      </c>
      <c r="B9" s="33" t="s">
        <v>63</v>
      </c>
      <c r="C9" s="32" t="s">
        <v>51</v>
      </c>
      <c r="D9" s="32" t="s">
        <v>64</v>
      </c>
      <c r="E9" s="32" t="s">
        <v>53</v>
      </c>
      <c r="F9" s="32">
        <v>1729</v>
      </c>
      <c r="G9" s="33" t="s">
        <v>54</v>
      </c>
      <c r="H9" s="32" t="s">
        <v>47</v>
      </c>
      <c r="I9" s="32"/>
      <c r="J9" s="34">
        <v>45299</v>
      </c>
      <c r="K9" s="34">
        <v>45299</v>
      </c>
      <c r="L9" s="32" t="s">
        <v>48</v>
      </c>
      <c r="M9" s="48">
        <v>138281.60000000001</v>
      </c>
      <c r="N9" s="48">
        <v>0</v>
      </c>
      <c r="O9" s="48">
        <v>0</v>
      </c>
      <c r="P9" s="48">
        <v>0</v>
      </c>
      <c r="Q9" s="48">
        <v>0</v>
      </c>
      <c r="R9" s="48">
        <v>0</v>
      </c>
      <c r="S9" s="48"/>
      <c r="T9" s="48">
        <f t="shared" si="0"/>
        <v>0</v>
      </c>
      <c r="U9" s="48">
        <f t="shared" si="1"/>
        <v>0</v>
      </c>
      <c r="V9" s="49">
        <f>+Tabla_Auditorias[[#This Row],[AJUSTE
EGRESO
COSTO]]+Tabla_Auditorias[[#This Row],[AJUSTE EGRESO
MAL ESTADO]]+Tabla_Auditorias[[#This Row],[AJUSTE
INGRESO
COSTO]]</f>
        <v>0</v>
      </c>
      <c r="W9" s="48">
        <v>0</v>
      </c>
      <c r="X9" s="48"/>
      <c r="Y9" s="48"/>
      <c r="Z9" s="48">
        <v>0</v>
      </c>
      <c r="AA9" s="50">
        <f>+SUM(Tabla_Auditorias[[#This Row],[AJUSTE
EGRESO
COSTO]:[AJUSTE
INGRESO
COSTO]])</f>
        <v>0</v>
      </c>
      <c r="AB9" s="36" t="str">
        <f t="shared" si="2"/>
        <v>BAJO</v>
      </c>
      <c r="AC9" s="37">
        <f t="shared" si="3"/>
        <v>0</v>
      </c>
      <c r="AD9" s="35">
        <v>0</v>
      </c>
      <c r="AE9" s="41" t="s">
        <v>49</v>
      </c>
      <c r="AF9" s="38" t="str">
        <f>IF(Tabla_Auditorias[[#This Row],[TOTAL
COSTO
NETO]]&lt;&gt;0,"Si","No")</f>
        <v>No</v>
      </c>
      <c r="AG9" s="39" t="s">
        <v>55</v>
      </c>
      <c r="AH9" s="40"/>
      <c r="AI9" s="51" t="str">
        <f t="shared" si="4"/>
        <v/>
      </c>
      <c r="AJ9" s="38" t="str">
        <f t="shared" si="5"/>
        <v>Pendiente</v>
      </c>
    </row>
    <row r="10" spans="1:36" s="31" customFormat="1" ht="25.5" customHeight="1" x14ac:dyDescent="0.2">
      <c r="A10" s="32">
        <v>6</v>
      </c>
      <c r="B10" s="33" t="s">
        <v>65</v>
      </c>
      <c r="C10" s="32" t="s">
        <v>51</v>
      </c>
      <c r="D10" s="32" t="s">
        <v>57</v>
      </c>
      <c r="E10" s="32" t="s">
        <v>58</v>
      </c>
      <c r="F10" s="32">
        <v>1707</v>
      </c>
      <c r="G10" s="33" t="s">
        <v>59</v>
      </c>
      <c r="H10" s="32" t="s">
        <v>47</v>
      </c>
      <c r="I10" s="32"/>
      <c r="J10" s="34">
        <v>45300</v>
      </c>
      <c r="K10" s="34">
        <v>45300</v>
      </c>
      <c r="L10" s="32" t="s">
        <v>48</v>
      </c>
      <c r="M10" s="48">
        <v>130943.1672</v>
      </c>
      <c r="N10" s="48">
        <v>0</v>
      </c>
      <c r="O10" s="48">
        <v>-255.69</v>
      </c>
      <c r="P10" s="48">
        <v>-102.25</v>
      </c>
      <c r="Q10" s="48">
        <v>0</v>
      </c>
      <c r="R10" s="48">
        <v>0</v>
      </c>
      <c r="S10" s="48"/>
      <c r="T10" s="48">
        <f t="shared" si="0"/>
        <v>-357.94</v>
      </c>
      <c r="U10" s="48">
        <f t="shared" si="1"/>
        <v>-357.94</v>
      </c>
      <c r="V10" s="49">
        <f>+Tabla_Auditorias[[#This Row],[AJUSTE
EGRESO
COSTO]]+Tabla_Auditorias[[#This Row],[AJUSTE EGRESO
MAL ESTADO]]+Tabla_Auditorias[[#This Row],[AJUSTE
INGRESO
COSTO]]</f>
        <v>-199.70349999999996</v>
      </c>
      <c r="W10" s="48">
        <v>-515.72349999999994</v>
      </c>
      <c r="X10" s="48"/>
      <c r="Y10" s="48"/>
      <c r="Z10" s="48">
        <v>316.02</v>
      </c>
      <c r="AA10" s="50">
        <f>+SUM(Tabla_Auditorias[[#This Row],[AJUSTE
EGRESO
COSTO]:[AJUSTE
INGRESO
COSTO]])</f>
        <v>-199.70349999999996</v>
      </c>
      <c r="AB10" s="36" t="str">
        <f t="shared" si="2"/>
        <v>MEDIO</v>
      </c>
      <c r="AC10" s="37">
        <f t="shared" si="3"/>
        <v>25</v>
      </c>
      <c r="AD10" s="35">
        <v>0</v>
      </c>
      <c r="AE10" s="41" t="s">
        <v>49</v>
      </c>
      <c r="AF10" s="38" t="str">
        <f>IF(Tabla_Auditorias[[#This Row],[TOTAL
COSTO
NETO]]&lt;&gt;0,"Si","No")</f>
        <v>Si</v>
      </c>
      <c r="AG10" s="39" t="s">
        <v>66</v>
      </c>
      <c r="AH10" s="40"/>
      <c r="AI10" s="51">
        <f t="shared" si="4"/>
        <v>0</v>
      </c>
      <c r="AJ10" s="38" t="str">
        <f t="shared" si="5"/>
        <v>Pendiente</v>
      </c>
    </row>
    <row r="11" spans="1:36" s="31" customFormat="1" ht="25.5" customHeight="1" x14ac:dyDescent="0.2">
      <c r="A11" s="32">
        <v>7</v>
      </c>
      <c r="B11" s="33" t="s">
        <v>67</v>
      </c>
      <c r="C11" s="32" t="s">
        <v>43</v>
      </c>
      <c r="D11" s="32" t="s">
        <v>44</v>
      </c>
      <c r="E11" s="32" t="s">
        <v>58</v>
      </c>
      <c r="F11" s="32">
        <v>1308</v>
      </c>
      <c r="G11" s="33" t="s">
        <v>59</v>
      </c>
      <c r="H11" s="32" t="s">
        <v>47</v>
      </c>
      <c r="I11" s="32"/>
      <c r="J11" s="34">
        <v>45302</v>
      </c>
      <c r="K11" s="34">
        <v>45302</v>
      </c>
      <c r="L11" s="32" t="s">
        <v>48</v>
      </c>
      <c r="M11" s="48">
        <v>207426.1397</v>
      </c>
      <c r="N11" s="48">
        <v>56.52</v>
      </c>
      <c r="O11" s="48">
        <v>-346.24</v>
      </c>
      <c r="P11" s="48">
        <v>76.069999999999993</v>
      </c>
      <c r="Q11" s="48">
        <v>-5.45</v>
      </c>
      <c r="R11" s="48">
        <v>0</v>
      </c>
      <c r="S11" s="48"/>
      <c r="T11" s="48">
        <f t="shared" si="0"/>
        <v>-219.10000000000002</v>
      </c>
      <c r="U11" s="48">
        <f t="shared" si="1"/>
        <v>-219.10000000000002</v>
      </c>
      <c r="V11" s="49">
        <f>+Tabla_Auditorias[[#This Row],[AJUSTE
EGRESO
COSTO]]+Tabla_Auditorias[[#This Row],[AJUSTE EGRESO
MAL ESTADO]]+Tabla_Auditorias[[#This Row],[AJUSTE
INGRESO
COSTO]]</f>
        <v>-173.13105483193999</v>
      </c>
      <c r="W11" s="48">
        <v>-1841.9722691176501</v>
      </c>
      <c r="X11" s="48"/>
      <c r="Y11" s="48"/>
      <c r="Z11" s="48">
        <v>1668.8412142857101</v>
      </c>
      <c r="AA11" s="50">
        <f>+SUM(Tabla_Auditorias[[#This Row],[AJUSTE
EGRESO
COSTO]:[AJUSTE
INGRESO
COSTO]])</f>
        <v>-173.13105483193999</v>
      </c>
      <c r="AB11" s="36" t="str">
        <f t="shared" si="2"/>
        <v>MEDIO</v>
      </c>
      <c r="AC11" s="37">
        <f t="shared" si="3"/>
        <v>30</v>
      </c>
      <c r="AD11" s="35">
        <v>0</v>
      </c>
      <c r="AE11" s="41" t="s">
        <v>49</v>
      </c>
      <c r="AF11" s="38" t="str">
        <f>IF(Tabla_Auditorias[[#This Row],[TOTAL
COSTO
NETO]]&lt;&gt;0,"Si","No")</f>
        <v>Si</v>
      </c>
      <c r="AG11" s="39" t="s">
        <v>68</v>
      </c>
      <c r="AH11" s="40"/>
      <c r="AI11" s="51">
        <f t="shared" si="4"/>
        <v>0</v>
      </c>
      <c r="AJ11" s="38" t="str">
        <f t="shared" si="5"/>
        <v>Pendiente</v>
      </c>
    </row>
    <row r="12" spans="1:36" s="31" customFormat="1" ht="25.5" customHeight="1" x14ac:dyDescent="0.2">
      <c r="A12" s="32">
        <v>8</v>
      </c>
      <c r="B12" s="33" t="s">
        <v>69</v>
      </c>
      <c r="C12" s="32" t="s">
        <v>51</v>
      </c>
      <c r="D12" s="32" t="s">
        <v>57</v>
      </c>
      <c r="E12" s="32" t="s">
        <v>53</v>
      </c>
      <c r="F12" s="32">
        <v>1705</v>
      </c>
      <c r="G12" s="33" t="s">
        <v>54</v>
      </c>
      <c r="H12" s="32" t="s">
        <v>47</v>
      </c>
      <c r="I12" s="32"/>
      <c r="J12" s="34">
        <v>45303</v>
      </c>
      <c r="K12" s="34">
        <v>45303</v>
      </c>
      <c r="L12" s="32" t="s">
        <v>48</v>
      </c>
      <c r="M12" s="48">
        <v>120382.81</v>
      </c>
      <c r="N12" s="48">
        <v>202.72</v>
      </c>
      <c r="O12" s="48">
        <v>-394.97</v>
      </c>
      <c r="P12" s="48">
        <v>23.53999999999996</v>
      </c>
      <c r="Q12" s="48">
        <v>-38.619999999999997</v>
      </c>
      <c r="R12" s="48">
        <v>-44.92</v>
      </c>
      <c r="S12" s="48"/>
      <c r="T12" s="48">
        <f t="shared" si="0"/>
        <v>-252.25000000000006</v>
      </c>
      <c r="U12" s="48">
        <f t="shared" si="1"/>
        <v>-207.33000000000007</v>
      </c>
      <c r="V12" s="49">
        <f>+Tabla_Auditorias[[#This Row],[AJUSTE
EGRESO
COSTO]]+Tabla_Auditorias[[#This Row],[AJUSTE EGRESO
MAL ESTADO]]+Tabla_Auditorias[[#This Row],[AJUSTE
INGRESO
COSTO]]</f>
        <v>113.88000000000011</v>
      </c>
      <c r="W12" s="48">
        <v>-654.08999999999992</v>
      </c>
      <c r="X12" s="48"/>
      <c r="Y12" s="48"/>
      <c r="Z12" s="48">
        <v>767.97</v>
      </c>
      <c r="AA12" s="50">
        <f>+SUM(Tabla_Auditorias[[#This Row],[AJUSTE
EGRESO
COSTO]:[AJUSTE
INGRESO
COSTO]])</f>
        <v>113.88000000000011</v>
      </c>
      <c r="AB12" s="36" t="str">
        <f t="shared" si="2"/>
        <v>MEDIO</v>
      </c>
      <c r="AC12" s="37">
        <f t="shared" si="3"/>
        <v>30</v>
      </c>
      <c r="AD12" s="35">
        <v>0</v>
      </c>
      <c r="AE12" s="41" t="s">
        <v>49</v>
      </c>
      <c r="AF12" s="38" t="str">
        <f>IF(Tabla_Auditorias[[#This Row],[TOTAL
COSTO
NETO]]&lt;&gt;0,"Si","No")</f>
        <v>Si</v>
      </c>
      <c r="AG12" s="39" t="s">
        <v>70</v>
      </c>
      <c r="AH12" s="40"/>
      <c r="AI12" s="51" t="str">
        <f t="shared" si="4"/>
        <v/>
      </c>
      <c r="AJ12" s="38" t="str">
        <f t="shared" si="5"/>
        <v>No Aplica</v>
      </c>
    </row>
    <row r="13" spans="1:36" s="31" customFormat="1" ht="25.5" customHeight="1" x14ac:dyDescent="0.2">
      <c r="A13" s="32">
        <v>9</v>
      </c>
      <c r="B13" s="33" t="s">
        <v>71</v>
      </c>
      <c r="C13" s="32" t="s">
        <v>43</v>
      </c>
      <c r="D13" s="32" t="s">
        <v>44</v>
      </c>
      <c r="E13" s="32" t="s">
        <v>45</v>
      </c>
      <c r="F13" s="32">
        <v>1317</v>
      </c>
      <c r="G13" s="33" t="s">
        <v>46</v>
      </c>
      <c r="H13" s="32" t="s">
        <v>47</v>
      </c>
      <c r="I13" s="32"/>
      <c r="J13" s="34">
        <v>45306</v>
      </c>
      <c r="K13" s="34">
        <v>45306</v>
      </c>
      <c r="L13" s="32" t="s">
        <v>48</v>
      </c>
      <c r="M13" s="48">
        <v>263707.52760000038</v>
      </c>
      <c r="N13" s="48">
        <v>221.47</v>
      </c>
      <c r="O13" s="48">
        <v>-366.91</v>
      </c>
      <c r="P13" s="48">
        <v>24.94</v>
      </c>
      <c r="Q13" s="48">
        <v>0</v>
      </c>
      <c r="R13" s="48">
        <v>-59.17</v>
      </c>
      <c r="S13" s="48"/>
      <c r="T13" s="48">
        <f t="shared" si="0"/>
        <v>-179.67000000000002</v>
      </c>
      <c r="U13" s="48">
        <f t="shared" si="1"/>
        <v>-120.50000000000003</v>
      </c>
      <c r="V13" s="49">
        <f>+Tabla_Auditorias[[#This Row],[AJUSTE
EGRESO
COSTO]]+Tabla_Auditorias[[#This Row],[AJUSTE EGRESO
MAL ESTADO]]+Tabla_Auditorias[[#This Row],[AJUSTE
INGRESO
COSTO]]</f>
        <v>-16.331362121211896</v>
      </c>
      <c r="W13" s="48">
        <v>-861.48934545454529</v>
      </c>
      <c r="X13" s="48"/>
      <c r="Y13" s="48"/>
      <c r="Z13" s="48">
        <v>845.15798333333339</v>
      </c>
      <c r="AA13" s="50">
        <f>+SUM(Tabla_Auditorias[[#This Row],[AJUSTE
EGRESO
COSTO]:[AJUSTE
INGRESO
COSTO]])</f>
        <v>-16.331362121211896</v>
      </c>
      <c r="AB13" s="36" t="str">
        <f t="shared" si="2"/>
        <v>MEDIO</v>
      </c>
      <c r="AC13" s="37">
        <f t="shared" si="3"/>
        <v>25</v>
      </c>
      <c r="AD13" s="35">
        <v>0</v>
      </c>
      <c r="AE13" s="41" t="s">
        <v>49</v>
      </c>
      <c r="AF13" s="38" t="str">
        <f>IF(Tabla_Auditorias[[#This Row],[TOTAL
COSTO
NETO]]&lt;&gt;0,"Si","No")</f>
        <v>Si</v>
      </c>
      <c r="AG13" s="39"/>
      <c r="AH13" s="40"/>
      <c r="AI13" s="51">
        <f t="shared" si="4"/>
        <v>0</v>
      </c>
      <c r="AJ13" s="38" t="str">
        <f t="shared" si="5"/>
        <v>Pendiente</v>
      </c>
    </row>
    <row r="14" spans="1:36" s="31" customFormat="1" ht="25.5" customHeight="1" x14ac:dyDescent="0.2">
      <c r="A14" s="32">
        <v>10</v>
      </c>
      <c r="B14" s="33" t="s">
        <v>72</v>
      </c>
      <c r="C14" s="32" t="s">
        <v>43</v>
      </c>
      <c r="D14" s="32" t="s">
        <v>44</v>
      </c>
      <c r="E14" s="32" t="s">
        <v>58</v>
      </c>
      <c r="F14" s="32">
        <v>1319</v>
      </c>
      <c r="G14" s="33" t="s">
        <v>59</v>
      </c>
      <c r="H14" s="32" t="s">
        <v>47</v>
      </c>
      <c r="I14" s="32"/>
      <c r="J14" s="34">
        <v>45307</v>
      </c>
      <c r="K14" s="34">
        <v>45307</v>
      </c>
      <c r="L14" s="32" t="s">
        <v>48</v>
      </c>
      <c r="M14" s="48">
        <v>137763.875</v>
      </c>
      <c r="N14" s="48">
        <v>40.520000000000003</v>
      </c>
      <c r="O14" s="48">
        <v>-280.83</v>
      </c>
      <c r="P14" s="48">
        <v>-17.43</v>
      </c>
      <c r="Q14" s="48">
        <v>-23.32</v>
      </c>
      <c r="R14" s="48">
        <v>0</v>
      </c>
      <c r="S14" s="48"/>
      <c r="T14" s="48">
        <f t="shared" si="0"/>
        <v>-281.05999999999995</v>
      </c>
      <c r="U14" s="48">
        <f t="shared" si="1"/>
        <v>-281.05999999999995</v>
      </c>
      <c r="V14" s="49">
        <f>+Tabla_Auditorias[[#This Row],[AJUSTE
EGRESO
COSTO]]+Tabla_Auditorias[[#This Row],[AJUSTE EGRESO
MAL ESTADO]]+Tabla_Auditorias[[#This Row],[AJUSTE
INGRESO
COSTO]]</f>
        <v>-103.36827500000004</v>
      </c>
      <c r="W14" s="48">
        <v>-1625.659275</v>
      </c>
      <c r="X14" s="48"/>
      <c r="Y14" s="48"/>
      <c r="Z14" s="48">
        <v>1522.2909999999999</v>
      </c>
      <c r="AA14" s="50">
        <f>+SUM(Tabla_Auditorias[[#This Row],[AJUSTE
EGRESO
COSTO]:[AJUSTE
INGRESO
COSTO]])</f>
        <v>-103.36827500000004</v>
      </c>
      <c r="AB14" s="36" t="str">
        <f t="shared" si="2"/>
        <v>MEDIO</v>
      </c>
      <c r="AC14" s="37">
        <f t="shared" si="3"/>
        <v>30</v>
      </c>
      <c r="AD14" s="35">
        <v>0</v>
      </c>
      <c r="AE14" s="41" t="s">
        <v>49</v>
      </c>
      <c r="AF14" s="38" t="str">
        <f>IF(Tabla_Auditorias[[#This Row],[TOTAL
COSTO
NETO]]&lt;&gt;0,"Si","No")</f>
        <v>Si</v>
      </c>
      <c r="AG14" s="39" t="s">
        <v>73</v>
      </c>
      <c r="AH14" s="40"/>
      <c r="AI14" s="51">
        <f t="shared" si="4"/>
        <v>0</v>
      </c>
      <c r="AJ14" s="38" t="str">
        <f t="shared" si="5"/>
        <v>Pendiente</v>
      </c>
    </row>
    <row r="15" spans="1:36" s="31" customFormat="1" ht="25.5" customHeight="1" x14ac:dyDescent="0.2">
      <c r="A15" s="32">
        <v>11</v>
      </c>
      <c r="B15" s="33" t="s">
        <v>74</v>
      </c>
      <c r="C15" s="32" t="s">
        <v>51</v>
      </c>
      <c r="D15" s="32" t="s">
        <v>57</v>
      </c>
      <c r="E15" s="32" t="s">
        <v>58</v>
      </c>
      <c r="F15" s="32">
        <v>1700</v>
      </c>
      <c r="G15" s="33" t="s">
        <v>59</v>
      </c>
      <c r="H15" s="32" t="s">
        <v>47</v>
      </c>
      <c r="I15" s="32"/>
      <c r="J15" s="34">
        <v>45309</v>
      </c>
      <c r="K15" s="34">
        <v>45309</v>
      </c>
      <c r="L15" s="32" t="s">
        <v>48</v>
      </c>
      <c r="M15" s="48">
        <v>149782.61060000001</v>
      </c>
      <c r="N15" s="48">
        <v>0</v>
      </c>
      <c r="O15" s="48">
        <v>-62.76</v>
      </c>
      <c r="P15" s="48">
        <v>26.81</v>
      </c>
      <c r="Q15" s="48">
        <v>0</v>
      </c>
      <c r="R15" s="48">
        <v>0</v>
      </c>
      <c r="S15" s="48"/>
      <c r="T15" s="48">
        <f t="shared" si="0"/>
        <v>-35.950000000000003</v>
      </c>
      <c r="U15" s="48">
        <f t="shared" si="1"/>
        <v>-35.950000000000003</v>
      </c>
      <c r="V15" s="49">
        <f>+Tabla_Auditorias[[#This Row],[AJUSTE
EGRESO
COSTO]]+Tabla_Auditorias[[#This Row],[AJUSTE EGRESO
MAL ESTADO]]+Tabla_Auditorias[[#This Row],[AJUSTE
INGRESO
COSTO]]</f>
        <v>-24.391692857142999</v>
      </c>
      <c r="W15" s="48">
        <v>-247.77884285714299</v>
      </c>
      <c r="X15" s="48"/>
      <c r="Y15" s="48"/>
      <c r="Z15" s="48">
        <v>223.38714999999999</v>
      </c>
      <c r="AA15" s="50">
        <f>+SUM(Tabla_Auditorias[[#This Row],[AJUSTE
EGRESO
COSTO]:[AJUSTE
INGRESO
COSTO]])</f>
        <v>-24.391692857142999</v>
      </c>
      <c r="AB15" s="36" t="str">
        <f t="shared" si="2"/>
        <v>MEDIO</v>
      </c>
      <c r="AC15" s="37">
        <f t="shared" si="3"/>
        <v>20</v>
      </c>
      <c r="AD15" s="35">
        <v>0</v>
      </c>
      <c r="AE15" s="41" t="s">
        <v>49</v>
      </c>
      <c r="AF15" s="38" t="str">
        <f>IF(Tabla_Auditorias[[#This Row],[TOTAL
COSTO
NETO]]&lt;&gt;0,"Si","No")</f>
        <v>Si</v>
      </c>
      <c r="AG15" s="39" t="s">
        <v>75</v>
      </c>
      <c r="AH15" s="40"/>
      <c r="AI15" s="51">
        <f t="shared" si="4"/>
        <v>0</v>
      </c>
      <c r="AJ15" s="38" t="str">
        <f t="shared" si="5"/>
        <v>Pendiente</v>
      </c>
    </row>
    <row r="16" spans="1:36" s="31" customFormat="1" ht="25.5" customHeight="1" x14ac:dyDescent="0.2">
      <c r="A16" s="32">
        <v>12</v>
      </c>
      <c r="B16" s="33" t="s">
        <v>76</v>
      </c>
      <c r="C16" s="32" t="s">
        <v>51</v>
      </c>
      <c r="D16" s="32" t="s">
        <v>52</v>
      </c>
      <c r="E16" s="32" t="s">
        <v>45</v>
      </c>
      <c r="F16" s="32">
        <v>1733</v>
      </c>
      <c r="G16" s="33" t="s">
        <v>46</v>
      </c>
      <c r="H16" s="32" t="s">
        <v>47</v>
      </c>
      <c r="I16" s="32"/>
      <c r="J16" s="34">
        <v>45310</v>
      </c>
      <c r="K16" s="34">
        <v>45310</v>
      </c>
      <c r="L16" s="32" t="s">
        <v>48</v>
      </c>
      <c r="M16" s="48">
        <v>46797.475699999988</v>
      </c>
      <c r="N16" s="48">
        <v>0</v>
      </c>
      <c r="O16" s="48">
        <v>0</v>
      </c>
      <c r="P16" s="48">
        <v>0</v>
      </c>
      <c r="Q16" s="48">
        <v>0</v>
      </c>
      <c r="R16" s="48">
        <v>0</v>
      </c>
      <c r="S16" s="48"/>
      <c r="T16" s="48">
        <f t="shared" si="0"/>
        <v>0</v>
      </c>
      <c r="U16" s="48">
        <f t="shared" si="1"/>
        <v>0</v>
      </c>
      <c r="V16" s="49">
        <f>+Tabla_Auditorias[[#This Row],[AJUSTE
EGRESO
COSTO]]+Tabla_Auditorias[[#This Row],[AJUSTE EGRESO
MAL ESTADO]]+Tabla_Auditorias[[#This Row],[AJUSTE
INGRESO
COSTO]]</f>
        <v>0</v>
      </c>
      <c r="W16" s="48">
        <v>0</v>
      </c>
      <c r="X16" s="48"/>
      <c r="Y16" s="48"/>
      <c r="Z16" s="48">
        <v>0</v>
      </c>
      <c r="AA16" s="50">
        <f>+SUM(Tabla_Auditorias[[#This Row],[AJUSTE
EGRESO
COSTO]:[AJUSTE
INGRESO
COSTO]])</f>
        <v>0</v>
      </c>
      <c r="AB16" s="36" t="str">
        <f t="shared" si="2"/>
        <v>BAJO</v>
      </c>
      <c r="AC16" s="37">
        <f t="shared" si="3"/>
        <v>0</v>
      </c>
      <c r="AD16" s="35">
        <v>0</v>
      </c>
      <c r="AE16" s="41" t="s">
        <v>49</v>
      </c>
      <c r="AF16" s="38" t="str">
        <f>IF(Tabla_Auditorias[[#This Row],[TOTAL
COSTO
NETO]]&lt;&gt;0,"Si","No")</f>
        <v>No</v>
      </c>
      <c r="AG16" s="39"/>
      <c r="AH16" s="40"/>
      <c r="AI16" s="51" t="str">
        <f t="shared" si="4"/>
        <v/>
      </c>
      <c r="AJ16" s="38" t="str">
        <f t="shared" si="5"/>
        <v>Pendiente</v>
      </c>
    </row>
    <row r="17" spans="1:36" s="31" customFormat="1" ht="25.5" customHeight="1" x14ac:dyDescent="0.2">
      <c r="A17" s="32">
        <v>13</v>
      </c>
      <c r="B17" s="33" t="s">
        <v>77</v>
      </c>
      <c r="C17" s="32" t="s">
        <v>43</v>
      </c>
      <c r="D17" s="32" t="s">
        <v>44</v>
      </c>
      <c r="E17" s="32" t="s">
        <v>58</v>
      </c>
      <c r="F17" s="32">
        <v>1313</v>
      </c>
      <c r="G17" s="33" t="s">
        <v>59</v>
      </c>
      <c r="H17" s="32" t="s">
        <v>47</v>
      </c>
      <c r="I17" s="32"/>
      <c r="J17" s="34">
        <v>45313</v>
      </c>
      <c r="K17" s="34">
        <v>45313</v>
      </c>
      <c r="L17" s="32" t="s">
        <v>48</v>
      </c>
      <c r="M17" s="48">
        <v>255289.05470000001</v>
      </c>
      <c r="N17" s="48">
        <v>336.8</v>
      </c>
      <c r="O17" s="48">
        <v>-1155.5999999999999</v>
      </c>
      <c r="P17" s="48">
        <v>-197.89</v>
      </c>
      <c r="Q17" s="48">
        <v>-42</v>
      </c>
      <c r="R17" s="48">
        <v>0</v>
      </c>
      <c r="S17" s="48"/>
      <c r="T17" s="48">
        <f t="shared" si="0"/>
        <v>-1058.69</v>
      </c>
      <c r="U17" s="48">
        <f t="shared" si="1"/>
        <v>-1058.69</v>
      </c>
      <c r="V17" s="49">
        <f>+Tabla_Auditorias[[#This Row],[AJUSTE
EGRESO
COSTO]]+Tabla_Auditorias[[#This Row],[AJUSTE EGRESO
MAL ESTADO]]+Tabla_Auditorias[[#This Row],[AJUSTE
INGRESO
COSTO]]</f>
        <v>-459.9239558122099</v>
      </c>
      <c r="W17" s="48">
        <v>-3376.91131581221</v>
      </c>
      <c r="X17" s="48"/>
      <c r="Y17" s="48"/>
      <c r="Z17" s="48">
        <v>2916.9873600000001</v>
      </c>
      <c r="AA17" s="50">
        <f>+SUM(Tabla_Auditorias[[#This Row],[AJUSTE
EGRESO
COSTO]:[AJUSTE
INGRESO
COSTO]])</f>
        <v>-459.9239558122099</v>
      </c>
      <c r="AB17" s="36" t="str">
        <f t="shared" si="2"/>
        <v>ALTO</v>
      </c>
      <c r="AC17" s="37">
        <f t="shared" si="3"/>
        <v>37</v>
      </c>
      <c r="AD17" s="35">
        <v>0</v>
      </c>
      <c r="AE17" s="41" t="s">
        <v>49</v>
      </c>
      <c r="AF17" s="38" t="str">
        <f>IF(Tabla_Auditorias[[#This Row],[TOTAL
COSTO
NETO]]&lt;&gt;0,"Si","No")</f>
        <v>Si</v>
      </c>
      <c r="AG17" s="39" t="s">
        <v>78</v>
      </c>
      <c r="AH17" s="40"/>
      <c r="AI17" s="51">
        <f t="shared" si="4"/>
        <v>0</v>
      </c>
      <c r="AJ17" s="38" t="str">
        <f t="shared" si="5"/>
        <v>Pendiente</v>
      </c>
    </row>
    <row r="18" spans="1:36" s="31" customFormat="1" ht="25.5" customHeight="1" x14ac:dyDescent="0.2">
      <c r="A18" s="32">
        <v>14</v>
      </c>
      <c r="B18" s="33" t="s">
        <v>79</v>
      </c>
      <c r="C18" s="32" t="s">
        <v>43</v>
      </c>
      <c r="D18" s="32" t="s">
        <v>44</v>
      </c>
      <c r="E18" s="32" t="s">
        <v>45</v>
      </c>
      <c r="F18" s="32">
        <v>1316</v>
      </c>
      <c r="G18" s="33" t="s">
        <v>46</v>
      </c>
      <c r="H18" s="32" t="s">
        <v>47</v>
      </c>
      <c r="I18" s="32"/>
      <c r="J18" s="34">
        <v>45316</v>
      </c>
      <c r="K18" s="34">
        <v>45316</v>
      </c>
      <c r="L18" s="32" t="s">
        <v>48</v>
      </c>
      <c r="M18" s="48">
        <v>149422.78479999979</v>
      </c>
      <c r="N18" s="48">
        <v>232.28</v>
      </c>
      <c r="O18" s="48">
        <v>-281.92</v>
      </c>
      <c r="P18" s="48">
        <v>63.13</v>
      </c>
      <c r="Q18" s="48">
        <v>0</v>
      </c>
      <c r="R18" s="48">
        <v>0</v>
      </c>
      <c r="S18" s="48"/>
      <c r="T18" s="48">
        <f t="shared" si="0"/>
        <v>13.489999999999988</v>
      </c>
      <c r="U18" s="48">
        <f t="shared" si="1"/>
        <v>13.489999999999988</v>
      </c>
      <c r="V18" s="49">
        <f>+Tabla_Auditorias[[#This Row],[AJUSTE
EGRESO
COSTO]]+Tabla_Auditorias[[#This Row],[AJUSTE EGRESO
MAL ESTADO]]+Tabla_Auditorias[[#This Row],[AJUSTE
INGRESO
COSTO]]</f>
        <v>20.249039047619021</v>
      </c>
      <c r="W18" s="48">
        <v>-597.45621428571428</v>
      </c>
      <c r="X18" s="48"/>
      <c r="Y18" s="48"/>
      <c r="Z18" s="48">
        <v>617.7052533333333</v>
      </c>
      <c r="AA18" s="50">
        <f>+SUM(Tabla_Auditorias[[#This Row],[AJUSTE
EGRESO
COSTO]:[AJUSTE
INGRESO
COSTO]])</f>
        <v>20.249039047619021</v>
      </c>
      <c r="AB18" s="36" t="str">
        <f t="shared" si="2"/>
        <v>MEDIO</v>
      </c>
      <c r="AC18" s="37">
        <f t="shared" si="3"/>
        <v>20</v>
      </c>
      <c r="AD18" s="35">
        <v>0</v>
      </c>
      <c r="AE18" s="41" t="s">
        <v>49</v>
      </c>
      <c r="AF18" s="38" t="str">
        <f>IF(Tabla_Auditorias[[#This Row],[TOTAL
COSTO
NETO]]&lt;&gt;0,"Si","No")</f>
        <v>Si</v>
      </c>
      <c r="AG18" s="39"/>
      <c r="AH18" s="40"/>
      <c r="AI18" s="51" t="str">
        <f t="shared" si="4"/>
        <v/>
      </c>
      <c r="AJ18" s="38" t="str">
        <f t="shared" si="5"/>
        <v>No Aplica</v>
      </c>
    </row>
    <row r="19" spans="1:36" s="31" customFormat="1" ht="25.5" customHeight="1" x14ac:dyDescent="0.2">
      <c r="A19" s="32">
        <v>15</v>
      </c>
      <c r="B19" s="33" t="s">
        <v>80</v>
      </c>
      <c r="C19" s="32" t="s">
        <v>51</v>
      </c>
      <c r="D19" s="32" t="s">
        <v>52</v>
      </c>
      <c r="E19" s="32" t="s">
        <v>58</v>
      </c>
      <c r="F19" s="32">
        <v>1731</v>
      </c>
      <c r="G19" s="33" t="s">
        <v>59</v>
      </c>
      <c r="H19" s="32" t="s">
        <v>47</v>
      </c>
      <c r="I19" s="32"/>
      <c r="J19" s="34">
        <v>45324</v>
      </c>
      <c r="K19" s="34">
        <v>45324</v>
      </c>
      <c r="L19" s="32" t="s">
        <v>48</v>
      </c>
      <c r="M19" s="48">
        <v>77921.470799999996</v>
      </c>
      <c r="N19" s="48">
        <v>0</v>
      </c>
      <c r="O19" s="48">
        <v>0</v>
      </c>
      <c r="P19" s="48">
        <v>0</v>
      </c>
      <c r="Q19" s="48">
        <v>0</v>
      </c>
      <c r="R19" s="48">
        <v>0</v>
      </c>
      <c r="S19" s="48"/>
      <c r="T19" s="48">
        <f t="shared" si="0"/>
        <v>0</v>
      </c>
      <c r="U19" s="48">
        <f t="shared" si="1"/>
        <v>0</v>
      </c>
      <c r="V19" s="49">
        <f>+Tabla_Auditorias[[#This Row],[AJUSTE
EGRESO
COSTO]]+Tabla_Auditorias[[#This Row],[AJUSTE EGRESO
MAL ESTADO]]+Tabla_Auditorias[[#This Row],[AJUSTE
INGRESO
COSTO]]</f>
        <v>0</v>
      </c>
      <c r="W19" s="48">
        <v>0</v>
      </c>
      <c r="X19" s="48"/>
      <c r="Y19" s="48"/>
      <c r="Z19" s="48">
        <v>0</v>
      </c>
      <c r="AA19" s="50">
        <f>+SUM(Tabla_Auditorias[[#This Row],[AJUSTE
EGRESO
COSTO]:[AJUSTE
INGRESO
COSTO]])</f>
        <v>0</v>
      </c>
      <c r="AB19" s="36" t="str">
        <f t="shared" si="2"/>
        <v>BAJO</v>
      </c>
      <c r="AC19" s="37">
        <f t="shared" si="3"/>
        <v>0</v>
      </c>
      <c r="AD19" s="35">
        <v>0</v>
      </c>
      <c r="AE19" s="41" t="s">
        <v>49</v>
      </c>
      <c r="AF19" s="38" t="str">
        <f>IF(Tabla_Auditorias[[#This Row],[TOTAL
COSTO
NETO]]&lt;&gt;0,"Si","No")</f>
        <v>No</v>
      </c>
      <c r="AG19" s="39" t="s">
        <v>81</v>
      </c>
      <c r="AH19" s="40"/>
      <c r="AI19" s="51" t="str">
        <f t="shared" si="4"/>
        <v/>
      </c>
      <c r="AJ19" s="38" t="str">
        <f t="shared" si="5"/>
        <v>Pendiente</v>
      </c>
    </row>
    <row r="20" spans="1:36" s="31" customFormat="1" ht="25.5" customHeight="1" x14ac:dyDescent="0.2">
      <c r="A20" s="32">
        <v>16</v>
      </c>
      <c r="B20" s="33" t="s">
        <v>82</v>
      </c>
      <c r="C20" s="32" t="s">
        <v>43</v>
      </c>
      <c r="D20" s="32" t="s">
        <v>44</v>
      </c>
      <c r="E20" s="32" t="s">
        <v>45</v>
      </c>
      <c r="F20" s="32">
        <v>1320</v>
      </c>
      <c r="G20" s="33" t="s">
        <v>46</v>
      </c>
      <c r="H20" s="32" t="s">
        <v>47</v>
      </c>
      <c r="I20" s="32"/>
      <c r="J20" s="34">
        <v>45327</v>
      </c>
      <c r="K20" s="34">
        <v>45327</v>
      </c>
      <c r="L20" s="32" t="s">
        <v>48</v>
      </c>
      <c r="M20" s="48">
        <v>224320.23780000009</v>
      </c>
      <c r="N20" s="48">
        <v>76.400000000000006</v>
      </c>
      <c r="O20" s="48">
        <v>-636.05000000000018</v>
      </c>
      <c r="P20" s="48">
        <v>266.89</v>
      </c>
      <c r="Q20" s="48">
        <v>0</v>
      </c>
      <c r="R20" s="48">
        <v>-37.44</v>
      </c>
      <c r="S20" s="48"/>
      <c r="T20" s="48">
        <f t="shared" si="0"/>
        <v>-330.20000000000022</v>
      </c>
      <c r="U20" s="48">
        <f t="shared" si="1"/>
        <v>-292.76000000000022</v>
      </c>
      <c r="V20" s="49">
        <f>+Tabla_Auditorias[[#This Row],[AJUSTE
EGRESO
COSTO]]+Tabla_Auditorias[[#This Row],[AJUSTE EGRESO
MAL ESTADO]]+Tabla_Auditorias[[#This Row],[AJUSTE
INGRESO
COSTO]]</f>
        <v>-308.07850000000099</v>
      </c>
      <c r="W20" s="48">
        <v>-4230.7735166666671</v>
      </c>
      <c r="X20" s="48"/>
      <c r="Y20" s="48"/>
      <c r="Z20" s="48">
        <v>3922.6950166666661</v>
      </c>
      <c r="AA20" s="50">
        <f>+SUM(Tabla_Auditorias[[#This Row],[AJUSTE
EGRESO
COSTO]:[AJUSTE
INGRESO
COSTO]])</f>
        <v>-308.07850000000099</v>
      </c>
      <c r="AB20" s="36" t="str">
        <f t="shared" si="2"/>
        <v>MEDIO</v>
      </c>
      <c r="AC20" s="37">
        <f t="shared" si="3"/>
        <v>30</v>
      </c>
      <c r="AD20" s="35">
        <v>0</v>
      </c>
      <c r="AE20" s="41" t="s">
        <v>49</v>
      </c>
      <c r="AF20" s="38" t="str">
        <f>IF(Tabla_Auditorias[[#This Row],[TOTAL
COSTO
NETO]]&lt;&gt;0,"Si","No")</f>
        <v>Si</v>
      </c>
      <c r="AG20" s="39"/>
      <c r="AH20" s="40"/>
      <c r="AI20" s="51">
        <f t="shared" si="4"/>
        <v>0</v>
      </c>
      <c r="AJ20" s="38" t="str">
        <f t="shared" si="5"/>
        <v>Pendiente</v>
      </c>
    </row>
    <row r="21" spans="1:36" s="31" customFormat="1" ht="25.5" customHeight="1" x14ac:dyDescent="0.2">
      <c r="A21" s="32">
        <v>17</v>
      </c>
      <c r="B21" s="33" t="s">
        <v>83</v>
      </c>
      <c r="C21" s="32" t="s">
        <v>51</v>
      </c>
      <c r="D21" s="32" t="s">
        <v>57</v>
      </c>
      <c r="E21" s="32" t="s">
        <v>58</v>
      </c>
      <c r="F21" s="32">
        <v>1704</v>
      </c>
      <c r="G21" s="33" t="s">
        <v>59</v>
      </c>
      <c r="H21" s="32" t="s">
        <v>47</v>
      </c>
      <c r="I21" s="32"/>
      <c r="J21" s="34">
        <v>45327</v>
      </c>
      <c r="K21" s="34">
        <v>45327</v>
      </c>
      <c r="L21" s="32" t="s">
        <v>48</v>
      </c>
      <c r="M21" s="48">
        <v>98081.918300000005</v>
      </c>
      <c r="N21" s="48">
        <v>198.12</v>
      </c>
      <c r="O21" s="48">
        <v>-65.81</v>
      </c>
      <c r="P21" s="48">
        <v>-63.93</v>
      </c>
      <c r="Q21" s="48">
        <v>-62.05</v>
      </c>
      <c r="R21" s="48">
        <v>0</v>
      </c>
      <c r="S21" s="48"/>
      <c r="T21" s="48">
        <f t="shared" si="0"/>
        <v>6.3299999999999983</v>
      </c>
      <c r="U21" s="48">
        <f t="shared" si="1"/>
        <v>6.3299999999999983</v>
      </c>
      <c r="V21" s="49">
        <f>+Tabla_Auditorias[[#This Row],[AJUSTE
EGRESO
COSTO]]+Tabla_Auditorias[[#This Row],[AJUSTE EGRESO
MAL ESTADO]]+Tabla_Auditorias[[#This Row],[AJUSTE
INGRESO
COSTO]]</f>
        <v>15.754843333332985</v>
      </c>
      <c r="W21" s="48">
        <v>-356.56915666666703</v>
      </c>
      <c r="X21" s="48"/>
      <c r="Y21" s="48"/>
      <c r="Z21" s="48">
        <v>372.32400000000001</v>
      </c>
      <c r="AA21" s="50">
        <f>+SUM(Tabla_Auditorias[[#This Row],[AJUSTE
EGRESO
COSTO]:[AJUSTE
INGRESO
COSTO]])</f>
        <v>15.754843333332985</v>
      </c>
      <c r="AB21" s="36" t="str">
        <f t="shared" si="2"/>
        <v>MEDIO</v>
      </c>
      <c r="AC21" s="37">
        <f t="shared" si="3"/>
        <v>25</v>
      </c>
      <c r="AD21" s="35">
        <v>0</v>
      </c>
      <c r="AE21" s="41" t="s">
        <v>49</v>
      </c>
      <c r="AF21" s="38" t="str">
        <f>IF(Tabla_Auditorias[[#This Row],[TOTAL
COSTO
NETO]]&lt;&gt;0,"Si","No")</f>
        <v>Si</v>
      </c>
      <c r="AG21" s="39" t="s">
        <v>84</v>
      </c>
      <c r="AH21" s="40"/>
      <c r="AI21" s="51" t="str">
        <f t="shared" si="4"/>
        <v/>
      </c>
      <c r="AJ21" s="38" t="str">
        <f t="shared" si="5"/>
        <v>No Aplica</v>
      </c>
    </row>
    <row r="22" spans="1:36" s="31" customFormat="1" ht="25.5" customHeight="1" x14ac:dyDescent="0.2">
      <c r="A22" s="32">
        <v>18</v>
      </c>
      <c r="B22" s="33" t="s">
        <v>85</v>
      </c>
      <c r="C22" s="32" t="s">
        <v>43</v>
      </c>
      <c r="D22" s="32" t="s">
        <v>44</v>
      </c>
      <c r="E22" s="32" t="s">
        <v>53</v>
      </c>
      <c r="F22" s="32">
        <v>1481</v>
      </c>
      <c r="G22" s="33" t="s">
        <v>54</v>
      </c>
      <c r="H22" s="32" t="s">
        <v>47</v>
      </c>
      <c r="I22" s="32"/>
      <c r="J22" s="34">
        <v>45327</v>
      </c>
      <c r="K22" s="34">
        <v>45327</v>
      </c>
      <c r="L22" s="32" t="s">
        <v>48</v>
      </c>
      <c r="M22" s="48">
        <v>59924.49</v>
      </c>
      <c r="N22" s="48">
        <v>0</v>
      </c>
      <c r="O22" s="48">
        <v>-2585.8000000000002</v>
      </c>
      <c r="P22" s="48">
        <v>0</v>
      </c>
      <c r="Q22" s="48">
        <v>-269.58999999999997</v>
      </c>
      <c r="R22" s="48">
        <v>-149.41999999999999</v>
      </c>
      <c r="S22" s="48"/>
      <c r="T22" s="48">
        <f t="shared" si="0"/>
        <v>-3004.8100000000004</v>
      </c>
      <c r="U22" s="48">
        <f t="shared" si="1"/>
        <v>-2855.3900000000003</v>
      </c>
      <c r="V22" s="49">
        <f>+Tabla_Auditorias[[#This Row],[AJUSTE
EGRESO
COSTO]]+Tabla_Auditorias[[#This Row],[AJUSTE EGRESO
MAL ESTADO]]+Tabla_Auditorias[[#This Row],[AJUSTE
INGRESO
COSTO]]</f>
        <v>-2375.29</v>
      </c>
      <c r="W22" s="48">
        <v>-2375.29</v>
      </c>
      <c r="X22" s="48"/>
      <c r="Y22" s="48"/>
      <c r="Z22" s="48">
        <v>0</v>
      </c>
      <c r="AA22" s="50">
        <f>+SUM(Tabla_Auditorias[[#This Row],[AJUSTE
EGRESO
COSTO]:[AJUSTE
INGRESO
COSTO]])</f>
        <v>-2375.29</v>
      </c>
      <c r="AB22" s="36" t="str">
        <f t="shared" si="2"/>
        <v>CRÍTICO</v>
      </c>
      <c r="AC22" s="37">
        <f t="shared" si="3"/>
        <v>75</v>
      </c>
      <c r="AD22" s="35">
        <v>0</v>
      </c>
      <c r="AE22" s="41" t="s">
        <v>49</v>
      </c>
      <c r="AF22" s="38" t="str">
        <f>IF(Tabla_Auditorias[[#This Row],[TOTAL
COSTO
NETO]]&lt;&gt;0,"Si","No")</f>
        <v>Si</v>
      </c>
      <c r="AG22" s="39" t="s">
        <v>86</v>
      </c>
      <c r="AH22" s="40"/>
      <c r="AI22" s="51">
        <f t="shared" si="4"/>
        <v>0</v>
      </c>
      <c r="AJ22" s="38" t="str">
        <f t="shared" si="5"/>
        <v>Pendiente</v>
      </c>
    </row>
    <row r="23" spans="1:36" s="31" customFormat="1" ht="25.5" customHeight="1" x14ac:dyDescent="0.2">
      <c r="A23" s="32">
        <v>19</v>
      </c>
      <c r="B23" s="33" t="s">
        <v>87</v>
      </c>
      <c r="C23" s="32" t="s">
        <v>88</v>
      </c>
      <c r="D23" s="32" t="s">
        <v>89</v>
      </c>
      <c r="E23" s="32" t="s">
        <v>58</v>
      </c>
      <c r="F23" s="32">
        <v>1242</v>
      </c>
      <c r="G23" s="33" t="s">
        <v>59</v>
      </c>
      <c r="H23" s="32" t="s">
        <v>47</v>
      </c>
      <c r="I23" s="32"/>
      <c r="J23" s="34">
        <v>45328</v>
      </c>
      <c r="K23" s="34">
        <v>45328</v>
      </c>
      <c r="L23" s="32" t="s">
        <v>48</v>
      </c>
      <c r="M23" s="48">
        <v>17918.188399999999</v>
      </c>
      <c r="N23" s="48">
        <v>12.28</v>
      </c>
      <c r="O23" s="48">
        <v>-131.03</v>
      </c>
      <c r="P23" s="48">
        <v>110.89</v>
      </c>
      <c r="Q23" s="48">
        <v>-557.53</v>
      </c>
      <c r="R23" s="48">
        <v>0</v>
      </c>
      <c r="S23" s="48"/>
      <c r="T23" s="48">
        <f t="shared" si="0"/>
        <v>-565.39</v>
      </c>
      <c r="U23" s="48">
        <f t="shared" si="1"/>
        <v>-565.39</v>
      </c>
      <c r="V23" s="49">
        <f>+Tabla_Auditorias[[#This Row],[AJUSTE
EGRESO
COSTO]]+Tabla_Auditorias[[#This Row],[AJUSTE EGRESO
MAL ESTADO]]+Tabla_Auditorias[[#This Row],[AJUSTE
INGRESO
COSTO]]</f>
        <v>-390.55545258145594</v>
      </c>
      <c r="W23" s="48">
        <v>-1100.8624671428599</v>
      </c>
      <c r="X23" s="48"/>
      <c r="Y23" s="48"/>
      <c r="Z23" s="48">
        <v>710.307014561404</v>
      </c>
      <c r="AA23" s="50">
        <f>+SUM(Tabla_Auditorias[[#This Row],[AJUSTE
EGRESO
COSTO]:[AJUSTE
INGRESO
COSTO]])</f>
        <v>-390.55545258145594</v>
      </c>
      <c r="AB23" s="36" t="str">
        <f t="shared" si="2"/>
        <v>ALTO</v>
      </c>
      <c r="AC23" s="37">
        <f t="shared" si="3"/>
        <v>37</v>
      </c>
      <c r="AD23" s="35">
        <v>0</v>
      </c>
      <c r="AE23" s="41" t="s">
        <v>49</v>
      </c>
      <c r="AF23" s="38" t="str">
        <f>IF(Tabla_Auditorias[[#This Row],[TOTAL
COSTO
NETO]]&lt;&gt;0,"Si","No")</f>
        <v>Si</v>
      </c>
      <c r="AG23" s="39" t="s">
        <v>90</v>
      </c>
      <c r="AH23" s="40"/>
      <c r="AI23" s="51">
        <f t="shared" si="4"/>
        <v>0</v>
      </c>
      <c r="AJ23" s="38" t="str">
        <f t="shared" si="5"/>
        <v>Pendiente</v>
      </c>
    </row>
    <row r="24" spans="1:36" s="31" customFormat="1" ht="25.5" customHeight="1" x14ac:dyDescent="0.2">
      <c r="A24" s="32">
        <v>20</v>
      </c>
      <c r="B24" s="33" t="s">
        <v>91</v>
      </c>
      <c r="C24" s="32" t="s">
        <v>43</v>
      </c>
      <c r="D24" s="32" t="s">
        <v>44</v>
      </c>
      <c r="E24" s="32" t="s">
        <v>53</v>
      </c>
      <c r="F24" s="32">
        <v>1489</v>
      </c>
      <c r="G24" s="33" t="s">
        <v>54</v>
      </c>
      <c r="H24" s="32" t="s">
        <v>47</v>
      </c>
      <c r="I24" s="32"/>
      <c r="J24" s="34">
        <v>45330</v>
      </c>
      <c r="K24" s="34">
        <v>45330</v>
      </c>
      <c r="L24" s="32" t="s">
        <v>48</v>
      </c>
      <c r="M24" s="48">
        <v>132084.31</v>
      </c>
      <c r="N24" s="48">
        <v>0</v>
      </c>
      <c r="O24" s="48">
        <v>0</v>
      </c>
      <c r="P24" s="48">
        <v>0</v>
      </c>
      <c r="Q24" s="48">
        <v>-45</v>
      </c>
      <c r="R24" s="48">
        <v>-46.38</v>
      </c>
      <c r="S24" s="48"/>
      <c r="T24" s="48">
        <f t="shared" si="0"/>
        <v>-91.38</v>
      </c>
      <c r="U24" s="48">
        <f t="shared" si="1"/>
        <v>-45</v>
      </c>
      <c r="V24" s="49">
        <f>+Tabla_Auditorias[[#This Row],[AJUSTE
EGRESO
COSTO]]+Tabla_Auditorias[[#This Row],[AJUSTE EGRESO
MAL ESTADO]]+Tabla_Auditorias[[#This Row],[AJUSTE
INGRESO
COSTO]]</f>
        <v>-47.71</v>
      </c>
      <c r="W24" s="48">
        <v>-47.71</v>
      </c>
      <c r="X24" s="48"/>
      <c r="Y24" s="48"/>
      <c r="Z24" s="48">
        <v>0</v>
      </c>
      <c r="AA24" s="50">
        <f>+SUM(Tabla_Auditorias[[#This Row],[AJUSTE
EGRESO
COSTO]:[AJUSTE
INGRESO
COSTO]])</f>
        <v>-47.71</v>
      </c>
      <c r="AB24" s="36" t="str">
        <f t="shared" si="2"/>
        <v>MEDIO</v>
      </c>
      <c r="AC24" s="37">
        <f t="shared" si="3"/>
        <v>15</v>
      </c>
      <c r="AD24" s="35">
        <v>0</v>
      </c>
      <c r="AE24" s="41" t="s">
        <v>49</v>
      </c>
      <c r="AF24" s="38" t="str">
        <f>IF(Tabla_Auditorias[[#This Row],[TOTAL
COSTO
NETO]]&lt;&gt;0,"Si","No")</f>
        <v>Si</v>
      </c>
      <c r="AG24" s="39" t="s">
        <v>92</v>
      </c>
      <c r="AH24" s="40"/>
      <c r="AI24" s="51">
        <f t="shared" si="4"/>
        <v>0</v>
      </c>
      <c r="AJ24" s="38" t="str">
        <f t="shared" si="5"/>
        <v>Pendiente</v>
      </c>
    </row>
    <row r="25" spans="1:36" s="31" customFormat="1" ht="25.5" customHeight="1" x14ac:dyDescent="0.2">
      <c r="A25" s="32">
        <v>21</v>
      </c>
      <c r="B25" s="33" t="s">
        <v>93</v>
      </c>
      <c r="C25" s="32" t="s">
        <v>51</v>
      </c>
      <c r="D25" s="32" t="s">
        <v>64</v>
      </c>
      <c r="E25" s="32" t="s">
        <v>45</v>
      </c>
      <c r="F25" s="32">
        <v>1723</v>
      </c>
      <c r="G25" s="33" t="s">
        <v>46</v>
      </c>
      <c r="H25" s="32" t="s">
        <v>47</v>
      </c>
      <c r="I25" s="32"/>
      <c r="J25" s="34">
        <v>45331</v>
      </c>
      <c r="K25" s="34">
        <v>45331</v>
      </c>
      <c r="L25" s="32" t="s">
        <v>48</v>
      </c>
      <c r="M25" s="48">
        <v>241177.93200000009</v>
      </c>
      <c r="N25" s="48">
        <v>0</v>
      </c>
      <c r="O25" s="48">
        <v>0</v>
      </c>
      <c r="P25" s="48">
        <v>0</v>
      </c>
      <c r="Q25" s="48">
        <v>0</v>
      </c>
      <c r="R25" s="48">
        <v>0</v>
      </c>
      <c r="S25" s="48"/>
      <c r="T25" s="48">
        <f t="shared" si="0"/>
        <v>0</v>
      </c>
      <c r="U25" s="48">
        <f t="shared" si="1"/>
        <v>0</v>
      </c>
      <c r="V25" s="49">
        <f>+Tabla_Auditorias[[#This Row],[AJUSTE
EGRESO
COSTO]]+Tabla_Auditorias[[#This Row],[AJUSTE EGRESO
MAL ESTADO]]+Tabla_Auditorias[[#This Row],[AJUSTE
INGRESO
COSTO]]</f>
        <v>0</v>
      </c>
      <c r="W25" s="48">
        <v>0</v>
      </c>
      <c r="X25" s="48"/>
      <c r="Y25" s="48"/>
      <c r="Z25" s="48">
        <v>0</v>
      </c>
      <c r="AA25" s="50">
        <f>+SUM(Tabla_Auditorias[[#This Row],[AJUSTE
EGRESO
COSTO]:[AJUSTE
INGRESO
COSTO]])</f>
        <v>0</v>
      </c>
      <c r="AB25" s="36" t="str">
        <f t="shared" si="2"/>
        <v>BAJO</v>
      </c>
      <c r="AC25" s="37">
        <f t="shared" si="3"/>
        <v>0</v>
      </c>
      <c r="AD25" s="35">
        <v>0</v>
      </c>
      <c r="AE25" s="41" t="s">
        <v>49</v>
      </c>
      <c r="AF25" s="38" t="str">
        <f>IF(Tabla_Auditorias[[#This Row],[TOTAL
COSTO
NETO]]&lt;&gt;0,"Si","No")</f>
        <v>No</v>
      </c>
      <c r="AG25" s="39"/>
      <c r="AH25" s="40"/>
      <c r="AI25" s="51" t="str">
        <f t="shared" si="4"/>
        <v/>
      </c>
      <c r="AJ25" s="38" t="str">
        <f t="shared" si="5"/>
        <v>Pendiente</v>
      </c>
    </row>
    <row r="26" spans="1:36" s="31" customFormat="1" ht="25.5" customHeight="1" x14ac:dyDescent="0.2">
      <c r="A26" s="32">
        <v>22</v>
      </c>
      <c r="B26" s="33" t="s">
        <v>42</v>
      </c>
      <c r="C26" s="32" t="s">
        <v>43</v>
      </c>
      <c r="D26" s="32" t="s">
        <v>44</v>
      </c>
      <c r="E26" s="32" t="s">
        <v>45</v>
      </c>
      <c r="F26" s="32">
        <v>1310</v>
      </c>
      <c r="G26" s="33" t="s">
        <v>46</v>
      </c>
      <c r="H26" s="32" t="s">
        <v>47</v>
      </c>
      <c r="I26" s="32"/>
      <c r="J26" s="34">
        <v>45336</v>
      </c>
      <c r="K26" s="34">
        <v>45336</v>
      </c>
      <c r="L26" s="32" t="s">
        <v>48</v>
      </c>
      <c r="M26" s="48">
        <v>181169.59979999979</v>
      </c>
      <c r="N26" s="48">
        <v>0</v>
      </c>
      <c r="O26" s="48">
        <v>0</v>
      </c>
      <c r="P26" s="48">
        <v>-4.07</v>
      </c>
      <c r="Q26" s="48">
        <v>0</v>
      </c>
      <c r="R26" s="48">
        <v>-113.29</v>
      </c>
      <c r="S26" s="48"/>
      <c r="T26" s="48">
        <f t="shared" si="0"/>
        <v>-117.36000000000001</v>
      </c>
      <c r="U26" s="48">
        <f t="shared" si="1"/>
        <v>-4.07</v>
      </c>
      <c r="V26" s="49">
        <f>+Tabla_Auditorias[[#This Row],[AJUSTE
EGRESO
COSTO]]+Tabla_Auditorias[[#This Row],[AJUSTE EGRESO
MAL ESTADO]]+Tabla_Auditorias[[#This Row],[AJUSTE
INGRESO
COSTO]]</f>
        <v>-68.512900000000002</v>
      </c>
      <c r="W26" s="48">
        <v>-405.16019999999997</v>
      </c>
      <c r="X26" s="48"/>
      <c r="Y26" s="48"/>
      <c r="Z26" s="48">
        <v>336.64729999999997</v>
      </c>
      <c r="AA26" s="50">
        <f>+SUM(Tabla_Auditorias[[#This Row],[AJUSTE
EGRESO
COSTO]:[AJUSTE
INGRESO
COSTO]])</f>
        <v>-68.512900000000002</v>
      </c>
      <c r="AB26" s="36" t="str">
        <f t="shared" si="2"/>
        <v>MEDIO</v>
      </c>
      <c r="AC26" s="37">
        <f t="shared" si="3"/>
        <v>15</v>
      </c>
      <c r="AD26" s="35">
        <v>0</v>
      </c>
      <c r="AE26" s="41" t="s">
        <v>49</v>
      </c>
      <c r="AF26" s="38" t="str">
        <f>IF(Tabla_Auditorias[[#This Row],[TOTAL
COSTO
NETO]]&lt;&gt;0,"Si","No")</f>
        <v>Si</v>
      </c>
      <c r="AG26" s="39"/>
      <c r="AH26" s="40"/>
      <c r="AI26" s="51">
        <f t="shared" si="4"/>
        <v>0</v>
      </c>
      <c r="AJ26" s="38" t="str">
        <f t="shared" si="5"/>
        <v>Pendiente</v>
      </c>
    </row>
    <row r="27" spans="1:36" s="31" customFormat="1" ht="25.5" customHeight="1" x14ac:dyDescent="0.2">
      <c r="A27" s="32">
        <v>23</v>
      </c>
      <c r="B27" s="33" t="s">
        <v>94</v>
      </c>
      <c r="C27" s="32" t="s">
        <v>43</v>
      </c>
      <c r="D27" s="32" t="s">
        <v>44</v>
      </c>
      <c r="E27" s="32" t="s">
        <v>53</v>
      </c>
      <c r="F27" s="32">
        <v>1473</v>
      </c>
      <c r="G27" s="33" t="s">
        <v>54</v>
      </c>
      <c r="H27" s="32" t="s">
        <v>47</v>
      </c>
      <c r="I27" s="32"/>
      <c r="J27" s="34">
        <v>45336</v>
      </c>
      <c r="K27" s="34">
        <v>45336</v>
      </c>
      <c r="L27" s="32" t="s">
        <v>48</v>
      </c>
      <c r="M27" s="48">
        <v>175496.88</v>
      </c>
      <c r="N27" s="48">
        <v>0</v>
      </c>
      <c r="O27" s="48">
        <v>-1405.8</v>
      </c>
      <c r="P27" s="48">
        <v>-13.44</v>
      </c>
      <c r="Q27" s="48">
        <v>-201.62</v>
      </c>
      <c r="R27" s="48">
        <v>-118.93</v>
      </c>
      <c r="S27" s="48"/>
      <c r="T27" s="48">
        <f t="shared" si="0"/>
        <v>-1739.7900000000002</v>
      </c>
      <c r="U27" s="48">
        <f t="shared" si="1"/>
        <v>-1620.8600000000001</v>
      </c>
      <c r="V27" s="49">
        <f>+Tabla_Auditorias[[#This Row],[AJUSTE
EGRESO
COSTO]]+Tabla_Auditorias[[#This Row],[AJUSTE EGRESO
MAL ESTADO]]+Tabla_Auditorias[[#This Row],[AJUSTE
INGRESO
COSTO]]</f>
        <v>-1125.8300000000002</v>
      </c>
      <c r="W27" s="48">
        <v>-1148.45</v>
      </c>
      <c r="X27" s="48"/>
      <c r="Y27" s="48"/>
      <c r="Z27" s="48">
        <v>22.62</v>
      </c>
      <c r="AA27" s="50">
        <f>+SUM(Tabla_Auditorias[[#This Row],[AJUSTE
EGRESO
COSTO]:[AJUSTE
INGRESO
COSTO]])</f>
        <v>-1125.8300000000002</v>
      </c>
      <c r="AB27" s="36" t="str">
        <f t="shared" si="2"/>
        <v>ALTO</v>
      </c>
      <c r="AC27" s="37">
        <f t="shared" si="3"/>
        <v>37</v>
      </c>
      <c r="AD27" s="35">
        <v>0</v>
      </c>
      <c r="AE27" s="41" t="s">
        <v>49</v>
      </c>
      <c r="AF27" s="38" t="str">
        <f>IF(Tabla_Auditorias[[#This Row],[TOTAL
COSTO
NETO]]&lt;&gt;0,"Si","No")</f>
        <v>Si</v>
      </c>
      <c r="AG27" s="39" t="s">
        <v>95</v>
      </c>
      <c r="AH27" s="40"/>
      <c r="AI27" s="51">
        <f t="shared" si="4"/>
        <v>0</v>
      </c>
      <c r="AJ27" s="38" t="str">
        <f t="shared" si="5"/>
        <v>Pendiente</v>
      </c>
    </row>
    <row r="28" spans="1:36" s="31" customFormat="1" ht="25.5" customHeight="1" x14ac:dyDescent="0.2">
      <c r="A28" s="32">
        <v>24</v>
      </c>
      <c r="B28" s="33" t="s">
        <v>96</v>
      </c>
      <c r="C28" s="32" t="s">
        <v>51</v>
      </c>
      <c r="D28" s="32" t="s">
        <v>57</v>
      </c>
      <c r="E28" s="32" t="s">
        <v>45</v>
      </c>
      <c r="F28" s="32">
        <v>1711</v>
      </c>
      <c r="G28" s="33" t="s">
        <v>46</v>
      </c>
      <c r="H28" s="32" t="s">
        <v>47</v>
      </c>
      <c r="I28" s="32"/>
      <c r="J28" s="34">
        <v>45338</v>
      </c>
      <c r="K28" s="34">
        <v>45338</v>
      </c>
      <c r="L28" s="32" t="s">
        <v>48</v>
      </c>
      <c r="M28" s="48">
        <v>30031.858700000012</v>
      </c>
      <c r="N28" s="48">
        <v>2.0299999999999998</v>
      </c>
      <c r="O28" s="48">
        <v>-93.48</v>
      </c>
      <c r="P28" s="48">
        <v>-10.09</v>
      </c>
      <c r="Q28" s="48">
        <v>0</v>
      </c>
      <c r="R28" s="48">
        <v>0</v>
      </c>
      <c r="S28" s="48"/>
      <c r="T28" s="48">
        <f t="shared" si="0"/>
        <v>-101.54</v>
      </c>
      <c r="U28" s="48">
        <f t="shared" si="1"/>
        <v>-101.54</v>
      </c>
      <c r="V28" s="49">
        <f>+Tabla_Auditorias[[#This Row],[AJUSTE
EGRESO
COSTO]]+Tabla_Auditorias[[#This Row],[AJUSTE EGRESO
MAL ESTADO]]+Tabla_Auditorias[[#This Row],[AJUSTE
INGRESO
COSTO]]</f>
        <v>-79.321700000000007</v>
      </c>
      <c r="W28" s="48">
        <v>-131.28370000000001</v>
      </c>
      <c r="X28" s="48"/>
      <c r="Y28" s="48"/>
      <c r="Z28" s="48">
        <v>51.962000000000003</v>
      </c>
      <c r="AA28" s="50">
        <f>+SUM(Tabla_Auditorias[[#This Row],[AJUSTE
EGRESO
COSTO]:[AJUSTE
INGRESO
COSTO]])</f>
        <v>-79.321700000000007</v>
      </c>
      <c r="AB28" s="36" t="str">
        <f t="shared" si="2"/>
        <v>MEDIO</v>
      </c>
      <c r="AC28" s="37">
        <f t="shared" si="3"/>
        <v>20</v>
      </c>
      <c r="AD28" s="35">
        <v>0</v>
      </c>
      <c r="AE28" s="41" t="s">
        <v>49</v>
      </c>
      <c r="AF28" s="38" t="str">
        <f>IF(Tabla_Auditorias[[#This Row],[TOTAL
COSTO
NETO]]&lt;&gt;0,"Si","No")</f>
        <v>Si</v>
      </c>
      <c r="AG28" s="39"/>
      <c r="AH28" s="40"/>
      <c r="AI28" s="51">
        <f t="shared" si="4"/>
        <v>0</v>
      </c>
      <c r="AJ28" s="38" t="str">
        <f t="shared" si="5"/>
        <v>Pendiente</v>
      </c>
    </row>
    <row r="29" spans="1:36" s="31" customFormat="1" ht="25.5" customHeight="1" x14ac:dyDescent="0.2">
      <c r="A29" s="32">
        <v>25</v>
      </c>
      <c r="B29" s="33" t="s">
        <v>71</v>
      </c>
      <c r="C29" s="32" t="s">
        <v>43</v>
      </c>
      <c r="D29" s="32" t="s">
        <v>44</v>
      </c>
      <c r="E29" s="32" t="s">
        <v>45</v>
      </c>
      <c r="F29" s="32">
        <v>1317</v>
      </c>
      <c r="G29" s="33" t="s">
        <v>46</v>
      </c>
      <c r="H29" s="32" t="s">
        <v>47</v>
      </c>
      <c r="I29" s="32"/>
      <c r="J29" s="34">
        <v>45341</v>
      </c>
      <c r="K29" s="34">
        <v>45341</v>
      </c>
      <c r="L29" s="32" t="s">
        <v>48</v>
      </c>
      <c r="M29" s="48">
        <v>278609.24380000058</v>
      </c>
      <c r="N29" s="48">
        <v>0</v>
      </c>
      <c r="O29" s="48">
        <v>0</v>
      </c>
      <c r="P29" s="48">
        <v>-1.359999999999999</v>
      </c>
      <c r="Q29" s="48">
        <v>0</v>
      </c>
      <c r="R29" s="48">
        <v>0</v>
      </c>
      <c r="S29" s="48"/>
      <c r="T29" s="48">
        <f t="shared" si="0"/>
        <v>-1.359999999999999</v>
      </c>
      <c r="U29" s="48">
        <f t="shared" si="1"/>
        <v>-1.359999999999999</v>
      </c>
      <c r="V29" s="49">
        <f>+Tabla_Auditorias[[#This Row],[AJUSTE
EGRESO
COSTO]]+Tabla_Auditorias[[#This Row],[AJUSTE EGRESO
MAL ESTADO]]+Tabla_Auditorias[[#This Row],[AJUSTE
INGRESO
COSTO]]</f>
        <v>-1.2233428571428604</v>
      </c>
      <c r="W29" s="48">
        <v>-51.393500000000003</v>
      </c>
      <c r="X29" s="48"/>
      <c r="Y29" s="48"/>
      <c r="Z29" s="48">
        <v>50.170157142857143</v>
      </c>
      <c r="AA29" s="50">
        <f>+SUM(Tabla_Auditorias[[#This Row],[AJUSTE
EGRESO
COSTO]:[AJUSTE
INGRESO
COSTO]])</f>
        <v>-1.2233428571428604</v>
      </c>
      <c r="AB29" s="36" t="str">
        <f t="shared" si="2"/>
        <v>BAJO</v>
      </c>
      <c r="AC29" s="37">
        <f t="shared" si="3"/>
        <v>10</v>
      </c>
      <c r="AD29" s="35">
        <v>0</v>
      </c>
      <c r="AE29" s="41" t="s">
        <v>49</v>
      </c>
      <c r="AF29" s="38" t="str">
        <f>IF(Tabla_Auditorias[[#This Row],[TOTAL
COSTO
NETO]]&lt;&gt;0,"Si","No")</f>
        <v>Si</v>
      </c>
      <c r="AG29" s="39"/>
      <c r="AH29" s="40"/>
      <c r="AI29" s="51">
        <f t="shared" si="4"/>
        <v>0</v>
      </c>
      <c r="AJ29" s="38" t="str">
        <f t="shared" si="5"/>
        <v>Pendiente</v>
      </c>
    </row>
    <row r="30" spans="1:36" s="31" customFormat="1" ht="25.5" customHeight="1" x14ac:dyDescent="0.2">
      <c r="A30" s="32">
        <v>26</v>
      </c>
      <c r="B30" s="33" t="s">
        <v>97</v>
      </c>
      <c r="C30" s="32" t="s">
        <v>51</v>
      </c>
      <c r="D30" s="32" t="s">
        <v>57</v>
      </c>
      <c r="E30" s="32" t="s">
        <v>53</v>
      </c>
      <c r="F30" s="32">
        <v>1701</v>
      </c>
      <c r="G30" s="33" t="s">
        <v>54</v>
      </c>
      <c r="H30" s="32" t="s">
        <v>47</v>
      </c>
      <c r="I30" s="32"/>
      <c r="J30" s="34">
        <v>45341</v>
      </c>
      <c r="K30" s="34">
        <v>45341</v>
      </c>
      <c r="L30" s="32" t="s">
        <v>48</v>
      </c>
      <c r="M30" s="48">
        <v>112283.43</v>
      </c>
      <c r="N30" s="48">
        <v>0</v>
      </c>
      <c r="O30" s="48">
        <v>0</v>
      </c>
      <c r="P30" s="48">
        <v>0</v>
      </c>
      <c r="Q30" s="48">
        <v>0</v>
      </c>
      <c r="R30" s="48">
        <v>-321.29000000000002</v>
      </c>
      <c r="S30" s="48"/>
      <c r="T30" s="48">
        <f t="shared" si="0"/>
        <v>-321.29000000000002</v>
      </c>
      <c r="U30" s="48">
        <f t="shared" si="1"/>
        <v>0</v>
      </c>
      <c r="V30" s="49">
        <f>+Tabla_Auditorias[[#This Row],[AJUSTE
EGRESO
COSTO]]+Tabla_Auditorias[[#This Row],[AJUSTE EGRESO
MAL ESTADO]]+Tabla_Auditorias[[#This Row],[AJUSTE
INGRESO
COSTO]]</f>
        <v>0</v>
      </c>
      <c r="W30" s="48">
        <v>-45.54</v>
      </c>
      <c r="X30" s="48"/>
      <c r="Y30" s="48"/>
      <c r="Z30" s="48">
        <v>45.54</v>
      </c>
      <c r="AA30" s="50">
        <f>+SUM(Tabla_Auditorias[[#This Row],[AJUSTE
EGRESO
COSTO]:[AJUSTE
INGRESO
COSTO]])</f>
        <v>0</v>
      </c>
      <c r="AB30" s="36" t="str">
        <f t="shared" si="2"/>
        <v>BAJO</v>
      </c>
      <c r="AC30" s="37">
        <f t="shared" si="3"/>
        <v>5</v>
      </c>
      <c r="AD30" s="35">
        <v>0</v>
      </c>
      <c r="AE30" s="41" t="s">
        <v>49</v>
      </c>
      <c r="AF30" s="38" t="str">
        <f>IF(Tabla_Auditorias[[#This Row],[TOTAL
COSTO
NETO]]&lt;&gt;0,"Si","No")</f>
        <v>No</v>
      </c>
      <c r="AG30" s="39" t="s">
        <v>98</v>
      </c>
      <c r="AH30" s="40"/>
      <c r="AI30" s="51" t="str">
        <f t="shared" si="4"/>
        <v/>
      </c>
      <c r="AJ30" s="38" t="str">
        <f t="shared" si="5"/>
        <v>Pendiente</v>
      </c>
    </row>
    <row r="31" spans="1:36" s="31" customFormat="1" ht="25.5" customHeight="1" x14ac:dyDescent="0.2">
      <c r="A31" s="32">
        <v>27</v>
      </c>
      <c r="B31" s="33" t="s">
        <v>99</v>
      </c>
      <c r="C31" s="32" t="s">
        <v>43</v>
      </c>
      <c r="D31" s="32" t="s">
        <v>44</v>
      </c>
      <c r="E31" s="32" t="s">
        <v>58</v>
      </c>
      <c r="F31" s="32">
        <v>1341</v>
      </c>
      <c r="G31" s="33" t="s">
        <v>59</v>
      </c>
      <c r="H31" s="32" t="s">
        <v>47</v>
      </c>
      <c r="I31" s="32"/>
      <c r="J31" s="34">
        <v>45342</v>
      </c>
      <c r="K31" s="34">
        <v>45342</v>
      </c>
      <c r="L31" s="32" t="s">
        <v>48</v>
      </c>
      <c r="M31" s="48">
        <v>162094.4969</v>
      </c>
      <c r="N31" s="48">
        <v>165.75</v>
      </c>
      <c r="O31" s="48">
        <v>-434.2</v>
      </c>
      <c r="P31" s="48">
        <v>-75.209999999999994</v>
      </c>
      <c r="Q31" s="48">
        <v>-13.2</v>
      </c>
      <c r="R31" s="48">
        <v>0</v>
      </c>
      <c r="S31" s="48"/>
      <c r="T31" s="48">
        <f t="shared" si="0"/>
        <v>-356.85999999999996</v>
      </c>
      <c r="U31" s="48">
        <f t="shared" si="1"/>
        <v>-356.85999999999996</v>
      </c>
      <c r="V31" s="49">
        <f>+Tabla_Auditorias[[#This Row],[AJUSTE
EGRESO
COSTO]]+Tabla_Auditorias[[#This Row],[AJUSTE EGRESO
MAL ESTADO]]+Tabla_Auditorias[[#This Row],[AJUSTE
INGRESO
COSTO]]</f>
        <v>-196.9457666666699</v>
      </c>
      <c r="W31" s="48">
        <v>-1676.04651666667</v>
      </c>
      <c r="X31" s="48"/>
      <c r="Y31" s="48"/>
      <c r="Z31" s="48">
        <v>1479.1007500000001</v>
      </c>
      <c r="AA31" s="50">
        <f>+SUM(Tabla_Auditorias[[#This Row],[AJUSTE
EGRESO
COSTO]:[AJUSTE
INGRESO
COSTO]])</f>
        <v>-196.9457666666699</v>
      </c>
      <c r="AB31" s="36" t="str">
        <f t="shared" si="2"/>
        <v>MEDIO</v>
      </c>
      <c r="AC31" s="37">
        <f t="shared" si="3"/>
        <v>30</v>
      </c>
      <c r="AD31" s="35">
        <v>0</v>
      </c>
      <c r="AE31" s="41" t="s">
        <v>49</v>
      </c>
      <c r="AF31" s="38" t="str">
        <f>IF(Tabla_Auditorias[[#This Row],[TOTAL
COSTO
NETO]]&lt;&gt;0,"Si","No")</f>
        <v>Si</v>
      </c>
      <c r="AG31" s="39" t="s">
        <v>100</v>
      </c>
      <c r="AH31" s="40"/>
      <c r="AI31" s="51">
        <f t="shared" si="4"/>
        <v>0</v>
      </c>
      <c r="AJ31" s="38" t="str">
        <f t="shared" si="5"/>
        <v>Pendiente</v>
      </c>
    </row>
    <row r="32" spans="1:36" s="31" customFormat="1" ht="25.5" customHeight="1" x14ac:dyDescent="0.2">
      <c r="A32" s="32">
        <v>28</v>
      </c>
      <c r="B32" s="33" t="s">
        <v>101</v>
      </c>
      <c r="C32" s="32" t="s">
        <v>51</v>
      </c>
      <c r="D32" s="32" t="s">
        <v>64</v>
      </c>
      <c r="E32" s="32" t="s">
        <v>53</v>
      </c>
      <c r="F32" s="32">
        <v>1724</v>
      </c>
      <c r="G32" s="33" t="s">
        <v>54</v>
      </c>
      <c r="H32" s="32" t="s">
        <v>47</v>
      </c>
      <c r="I32" s="32"/>
      <c r="J32" s="34">
        <v>45344</v>
      </c>
      <c r="K32" s="34">
        <v>45344</v>
      </c>
      <c r="L32" s="32" t="s">
        <v>48</v>
      </c>
      <c r="M32" s="48">
        <v>237657.45</v>
      </c>
      <c r="N32" s="48">
        <v>0</v>
      </c>
      <c r="O32" s="48">
        <v>0</v>
      </c>
      <c r="P32" s="48">
        <v>0</v>
      </c>
      <c r="Q32" s="48">
        <v>0</v>
      </c>
      <c r="R32" s="48">
        <v>0</v>
      </c>
      <c r="S32" s="48"/>
      <c r="T32" s="48">
        <f t="shared" si="0"/>
        <v>0</v>
      </c>
      <c r="U32" s="48">
        <f t="shared" si="1"/>
        <v>0</v>
      </c>
      <c r="V32" s="49">
        <f>+Tabla_Auditorias[[#This Row],[AJUSTE
EGRESO
COSTO]]+Tabla_Auditorias[[#This Row],[AJUSTE EGRESO
MAL ESTADO]]+Tabla_Auditorias[[#This Row],[AJUSTE
INGRESO
COSTO]]</f>
        <v>0</v>
      </c>
      <c r="W32" s="48">
        <v>0</v>
      </c>
      <c r="X32" s="48"/>
      <c r="Y32" s="48"/>
      <c r="Z32" s="48">
        <v>0</v>
      </c>
      <c r="AA32" s="50">
        <f>+SUM(Tabla_Auditorias[[#This Row],[AJUSTE
EGRESO
COSTO]:[AJUSTE
INGRESO
COSTO]])</f>
        <v>0</v>
      </c>
      <c r="AB32" s="36" t="str">
        <f t="shared" si="2"/>
        <v>BAJO</v>
      </c>
      <c r="AC32" s="37">
        <f t="shared" si="3"/>
        <v>0</v>
      </c>
      <c r="AD32" s="35">
        <v>0</v>
      </c>
      <c r="AE32" s="41" t="s">
        <v>49</v>
      </c>
      <c r="AF32" s="38" t="str">
        <f>IF(Tabla_Auditorias[[#This Row],[TOTAL
COSTO
NETO]]&lt;&gt;0,"Si","No")</f>
        <v>No</v>
      </c>
      <c r="AG32" s="39" t="s">
        <v>55</v>
      </c>
      <c r="AH32" s="40"/>
      <c r="AI32" s="51" t="str">
        <f t="shared" si="4"/>
        <v/>
      </c>
      <c r="AJ32" s="38" t="str">
        <f t="shared" si="5"/>
        <v>Pendiente</v>
      </c>
    </row>
    <row r="33" spans="1:36" s="31" customFormat="1" ht="25.5" customHeight="1" x14ac:dyDescent="0.2">
      <c r="A33" s="32">
        <v>29</v>
      </c>
      <c r="B33" s="33" t="s">
        <v>102</v>
      </c>
      <c r="C33" s="32" t="s">
        <v>51</v>
      </c>
      <c r="D33" s="32" t="s">
        <v>57</v>
      </c>
      <c r="E33" s="32" t="s">
        <v>53</v>
      </c>
      <c r="F33" s="32">
        <v>1709</v>
      </c>
      <c r="G33" s="33" t="s">
        <v>54</v>
      </c>
      <c r="H33" s="32" t="s">
        <v>47</v>
      </c>
      <c r="I33" s="32"/>
      <c r="J33" s="34">
        <v>45344</v>
      </c>
      <c r="K33" s="34">
        <v>45344</v>
      </c>
      <c r="L33" s="32" t="s">
        <v>48</v>
      </c>
      <c r="M33" s="48">
        <v>69397.13</v>
      </c>
      <c r="N33" s="48">
        <v>0</v>
      </c>
      <c r="O33" s="48">
        <v>0</v>
      </c>
      <c r="P33" s="48">
        <v>0</v>
      </c>
      <c r="Q33" s="48">
        <v>0</v>
      </c>
      <c r="R33" s="48">
        <v>0</v>
      </c>
      <c r="S33" s="48"/>
      <c r="T33" s="48">
        <f t="shared" si="0"/>
        <v>0</v>
      </c>
      <c r="U33" s="48">
        <f t="shared" si="1"/>
        <v>0</v>
      </c>
      <c r="V33" s="49">
        <f>+Tabla_Auditorias[[#This Row],[AJUSTE
EGRESO
COSTO]]+Tabla_Auditorias[[#This Row],[AJUSTE EGRESO
MAL ESTADO]]+Tabla_Auditorias[[#This Row],[AJUSTE
INGRESO
COSTO]]</f>
        <v>0</v>
      </c>
      <c r="W33" s="48">
        <v>0</v>
      </c>
      <c r="X33" s="48"/>
      <c r="Y33" s="48"/>
      <c r="Z33" s="48">
        <v>0</v>
      </c>
      <c r="AA33" s="50">
        <f>+SUM(Tabla_Auditorias[[#This Row],[AJUSTE
EGRESO
COSTO]:[AJUSTE
INGRESO
COSTO]])</f>
        <v>0</v>
      </c>
      <c r="AB33" s="36" t="str">
        <f t="shared" si="2"/>
        <v>BAJO</v>
      </c>
      <c r="AC33" s="37">
        <f t="shared" si="3"/>
        <v>0</v>
      </c>
      <c r="AD33" s="35">
        <v>0</v>
      </c>
      <c r="AE33" s="41" t="s">
        <v>49</v>
      </c>
      <c r="AF33" s="38" t="str">
        <f>IF(Tabla_Auditorias[[#This Row],[TOTAL
COSTO
NETO]]&lt;&gt;0,"Si","No")</f>
        <v>No</v>
      </c>
      <c r="AG33" s="39" t="s">
        <v>55</v>
      </c>
      <c r="AH33" s="40"/>
      <c r="AI33" s="51" t="str">
        <f t="shared" si="4"/>
        <v/>
      </c>
      <c r="AJ33" s="38" t="str">
        <f t="shared" si="5"/>
        <v>Pendiente</v>
      </c>
    </row>
    <row r="34" spans="1:36" s="31" customFormat="1" ht="25.5" customHeight="1" x14ac:dyDescent="0.2">
      <c r="A34" s="32">
        <v>30</v>
      </c>
      <c r="B34" s="33" t="s">
        <v>103</v>
      </c>
      <c r="C34" s="32" t="s">
        <v>43</v>
      </c>
      <c r="D34" s="32" t="s">
        <v>44</v>
      </c>
      <c r="E34" s="32" t="s">
        <v>53</v>
      </c>
      <c r="F34" s="32">
        <v>1474</v>
      </c>
      <c r="G34" s="33" t="s">
        <v>54</v>
      </c>
      <c r="H34" s="32" t="s">
        <v>47</v>
      </c>
      <c r="I34" s="32"/>
      <c r="J34" s="34">
        <v>45345</v>
      </c>
      <c r="K34" s="34">
        <v>45345</v>
      </c>
      <c r="L34" s="32" t="s">
        <v>48</v>
      </c>
      <c r="M34" s="48">
        <v>125085.7</v>
      </c>
      <c r="N34" s="48">
        <v>37.19</v>
      </c>
      <c r="O34" s="48">
        <v>-49.73</v>
      </c>
      <c r="P34" s="48">
        <v>0</v>
      </c>
      <c r="Q34" s="48">
        <v>-10.9</v>
      </c>
      <c r="R34" s="48">
        <v>0</v>
      </c>
      <c r="S34" s="48"/>
      <c r="T34" s="48">
        <f t="shared" si="0"/>
        <v>-23.439999999999998</v>
      </c>
      <c r="U34" s="48">
        <f t="shared" si="1"/>
        <v>-23.439999999999998</v>
      </c>
      <c r="V34" s="49">
        <f>+Tabla_Auditorias[[#This Row],[AJUSTE
EGRESO
COSTO]]+Tabla_Auditorias[[#This Row],[AJUSTE EGRESO
MAL ESTADO]]+Tabla_Auditorias[[#This Row],[AJUSTE
INGRESO
COSTO]]</f>
        <v>-5.7399999999999984</v>
      </c>
      <c r="W34" s="48">
        <v>-31.79</v>
      </c>
      <c r="X34" s="48"/>
      <c r="Y34" s="48"/>
      <c r="Z34" s="48">
        <v>26.05</v>
      </c>
      <c r="AA34" s="50">
        <f>+SUM(Tabla_Auditorias[[#This Row],[AJUSTE
EGRESO
COSTO]:[AJUSTE
INGRESO
COSTO]])</f>
        <v>-5.7399999999999984</v>
      </c>
      <c r="AB34" s="36" t="str">
        <f t="shared" si="2"/>
        <v>MEDIO</v>
      </c>
      <c r="AC34" s="37">
        <f t="shared" si="3"/>
        <v>25</v>
      </c>
      <c r="AD34" s="35">
        <v>0</v>
      </c>
      <c r="AE34" s="41" t="s">
        <v>49</v>
      </c>
      <c r="AF34" s="38" t="str">
        <f>IF(Tabla_Auditorias[[#This Row],[TOTAL
COSTO
NETO]]&lt;&gt;0,"Si","No")</f>
        <v>Si</v>
      </c>
      <c r="AG34" s="39" t="s">
        <v>104</v>
      </c>
      <c r="AH34" s="40"/>
      <c r="AI34" s="51">
        <f t="shared" si="4"/>
        <v>0</v>
      </c>
      <c r="AJ34" s="38" t="str">
        <f t="shared" si="5"/>
        <v>Pendiente</v>
      </c>
    </row>
    <row r="35" spans="1:36" s="31" customFormat="1" ht="25.5" customHeight="1" x14ac:dyDescent="0.2">
      <c r="A35" s="32">
        <v>31</v>
      </c>
      <c r="B35" s="33" t="s">
        <v>105</v>
      </c>
      <c r="C35" s="32" t="s">
        <v>51</v>
      </c>
      <c r="D35" s="32" t="s">
        <v>57</v>
      </c>
      <c r="E35" s="32" t="s">
        <v>53</v>
      </c>
      <c r="F35" s="32">
        <v>1710</v>
      </c>
      <c r="G35" s="33" t="s">
        <v>54</v>
      </c>
      <c r="H35" s="32" t="s">
        <v>47</v>
      </c>
      <c r="I35" s="32"/>
      <c r="J35" s="34">
        <v>45349</v>
      </c>
      <c r="K35" s="34">
        <v>45349</v>
      </c>
      <c r="L35" s="32" t="s">
        <v>48</v>
      </c>
      <c r="M35" s="48">
        <v>117093.78</v>
      </c>
      <c r="N35" s="48">
        <v>0</v>
      </c>
      <c r="O35" s="48">
        <v>0</v>
      </c>
      <c r="P35" s="48">
        <v>0</v>
      </c>
      <c r="Q35" s="48">
        <v>-1.34</v>
      </c>
      <c r="R35" s="48">
        <v>0</v>
      </c>
      <c r="S35" s="48"/>
      <c r="T35" s="48">
        <f t="shared" si="0"/>
        <v>-1.34</v>
      </c>
      <c r="U35" s="48">
        <f t="shared" si="1"/>
        <v>-1.34</v>
      </c>
      <c r="V35" s="49">
        <f>+Tabla_Auditorias[[#This Row],[AJUSTE
EGRESO
COSTO]]+Tabla_Auditorias[[#This Row],[AJUSTE EGRESO
MAL ESTADO]]+Tabla_Auditorias[[#This Row],[AJUSTE
INGRESO
COSTO]]</f>
        <v>-0.93</v>
      </c>
      <c r="W35" s="48">
        <v>-0.93</v>
      </c>
      <c r="X35" s="48"/>
      <c r="Y35" s="48"/>
      <c r="Z35" s="48">
        <v>0</v>
      </c>
      <c r="AA35" s="50">
        <f>+SUM(Tabla_Auditorias[[#This Row],[AJUSTE
EGRESO
COSTO]:[AJUSTE
INGRESO
COSTO]])</f>
        <v>-0.93</v>
      </c>
      <c r="AB35" s="36" t="str">
        <f t="shared" si="2"/>
        <v>MEDIO</v>
      </c>
      <c r="AC35" s="37">
        <f t="shared" si="3"/>
        <v>15</v>
      </c>
      <c r="AD35" s="35">
        <v>0</v>
      </c>
      <c r="AE35" s="41" t="s">
        <v>49</v>
      </c>
      <c r="AF35" s="38" t="str">
        <f>IF(Tabla_Auditorias[[#This Row],[TOTAL
COSTO
NETO]]&lt;&gt;0,"Si","No")</f>
        <v>Si</v>
      </c>
      <c r="AG35" s="39" t="s">
        <v>106</v>
      </c>
      <c r="AH35" s="40"/>
      <c r="AI35" s="51">
        <f t="shared" si="4"/>
        <v>0</v>
      </c>
      <c r="AJ35" s="38" t="str">
        <f t="shared" si="5"/>
        <v>Pendiente</v>
      </c>
    </row>
    <row r="36" spans="1:36" s="31" customFormat="1" ht="25.5" customHeight="1" x14ac:dyDescent="0.2">
      <c r="A36" s="32">
        <v>32</v>
      </c>
      <c r="B36" s="33" t="s">
        <v>107</v>
      </c>
      <c r="C36" s="32" t="s">
        <v>51</v>
      </c>
      <c r="D36" s="32" t="s">
        <v>57</v>
      </c>
      <c r="E36" s="32" t="s">
        <v>53</v>
      </c>
      <c r="F36" s="32">
        <v>1708</v>
      </c>
      <c r="G36" s="33" t="s">
        <v>54</v>
      </c>
      <c r="H36" s="32" t="s">
        <v>47</v>
      </c>
      <c r="I36" s="32"/>
      <c r="J36" s="34">
        <v>45350</v>
      </c>
      <c r="K36" s="34">
        <v>45350</v>
      </c>
      <c r="L36" s="32" t="s">
        <v>48</v>
      </c>
      <c r="M36" s="48">
        <v>101127.37</v>
      </c>
      <c r="N36" s="48">
        <v>0</v>
      </c>
      <c r="O36" s="48">
        <v>-20.16</v>
      </c>
      <c r="P36" s="48">
        <v>5.25</v>
      </c>
      <c r="Q36" s="48">
        <v>0</v>
      </c>
      <c r="R36" s="48">
        <v>0</v>
      </c>
      <c r="S36" s="48"/>
      <c r="T36" s="48">
        <f t="shared" si="0"/>
        <v>-14.91</v>
      </c>
      <c r="U36" s="48">
        <f t="shared" si="1"/>
        <v>-14.91</v>
      </c>
      <c r="V36" s="49">
        <f>+Tabla_Auditorias[[#This Row],[AJUSTE
EGRESO
COSTO]]+Tabla_Auditorias[[#This Row],[AJUSTE EGRESO
MAL ESTADO]]+Tabla_Auditorias[[#This Row],[AJUSTE
INGRESO
COSTO]]</f>
        <v>-10.09</v>
      </c>
      <c r="W36" s="48">
        <v>-18.09</v>
      </c>
      <c r="X36" s="48"/>
      <c r="Y36" s="48"/>
      <c r="Z36" s="48">
        <v>8</v>
      </c>
      <c r="AA36" s="50">
        <f>+SUM(Tabla_Auditorias[[#This Row],[AJUSTE
EGRESO
COSTO]:[AJUSTE
INGRESO
COSTO]])</f>
        <v>-10.09</v>
      </c>
      <c r="AB36" s="36" t="str">
        <f t="shared" si="2"/>
        <v>MEDIO</v>
      </c>
      <c r="AC36" s="37">
        <f t="shared" si="3"/>
        <v>20</v>
      </c>
      <c r="AD36" s="35">
        <v>0</v>
      </c>
      <c r="AE36" s="41" t="s">
        <v>49</v>
      </c>
      <c r="AF36" s="38" t="str">
        <f>IF(Tabla_Auditorias[[#This Row],[TOTAL
COSTO
NETO]]&lt;&gt;0,"Si","No")</f>
        <v>Si</v>
      </c>
      <c r="AG36" s="39" t="s">
        <v>108</v>
      </c>
      <c r="AH36" s="40"/>
      <c r="AI36" s="51">
        <f t="shared" si="4"/>
        <v>0</v>
      </c>
      <c r="AJ36" s="38" t="str">
        <f t="shared" si="5"/>
        <v>Pendiente</v>
      </c>
    </row>
    <row r="37" spans="1:36" s="31" customFormat="1" ht="25.5" customHeight="1" x14ac:dyDescent="0.2">
      <c r="A37" s="32">
        <v>33</v>
      </c>
      <c r="B37" s="33" t="s">
        <v>76</v>
      </c>
      <c r="C37" s="32" t="s">
        <v>51</v>
      </c>
      <c r="D37" s="32" t="s">
        <v>52</v>
      </c>
      <c r="E37" s="32" t="s">
        <v>45</v>
      </c>
      <c r="F37" s="32">
        <v>1733</v>
      </c>
      <c r="G37" s="33" t="s">
        <v>46</v>
      </c>
      <c r="H37" s="32" t="s">
        <v>47</v>
      </c>
      <c r="I37" s="32"/>
      <c r="J37" s="34">
        <v>45352</v>
      </c>
      <c r="K37" s="34">
        <v>45352</v>
      </c>
      <c r="L37" s="32" t="s">
        <v>48</v>
      </c>
      <c r="M37" s="48">
        <v>48506.404799999989</v>
      </c>
      <c r="N37" s="48">
        <v>0</v>
      </c>
      <c r="O37" s="48">
        <v>0</v>
      </c>
      <c r="P37" s="48">
        <v>0</v>
      </c>
      <c r="Q37" s="48">
        <v>0</v>
      </c>
      <c r="R37" s="48">
        <v>0</v>
      </c>
      <c r="S37" s="48"/>
      <c r="T37" s="48">
        <f t="shared" si="0"/>
        <v>0</v>
      </c>
      <c r="U37" s="48">
        <f t="shared" si="1"/>
        <v>0</v>
      </c>
      <c r="V37" s="49">
        <f>+Tabla_Auditorias[[#This Row],[AJUSTE
EGRESO
COSTO]]+Tabla_Auditorias[[#This Row],[AJUSTE EGRESO
MAL ESTADO]]+Tabla_Auditorias[[#This Row],[AJUSTE
INGRESO
COSTO]]</f>
        <v>0</v>
      </c>
      <c r="W37" s="48">
        <v>0</v>
      </c>
      <c r="X37" s="48"/>
      <c r="Y37" s="48"/>
      <c r="Z37" s="48">
        <v>0</v>
      </c>
      <c r="AA37" s="50">
        <f>+SUM(Tabla_Auditorias[[#This Row],[AJUSTE
EGRESO
COSTO]:[AJUSTE
INGRESO
COSTO]])</f>
        <v>0</v>
      </c>
      <c r="AB37" s="36" t="str">
        <f t="shared" si="2"/>
        <v>BAJO</v>
      </c>
      <c r="AC37" s="37">
        <f t="shared" si="3"/>
        <v>0</v>
      </c>
      <c r="AD37" s="35">
        <v>0</v>
      </c>
      <c r="AE37" s="41" t="s">
        <v>49</v>
      </c>
      <c r="AF37" s="38" t="str">
        <f>IF(Tabla_Auditorias[[#This Row],[TOTAL
COSTO
NETO]]&lt;&gt;0,"Si","No")</f>
        <v>No</v>
      </c>
      <c r="AG37" s="39"/>
      <c r="AH37" s="40"/>
      <c r="AI37" s="51" t="str">
        <f t="shared" si="4"/>
        <v/>
      </c>
      <c r="AJ37" s="38" t="str">
        <f t="shared" si="5"/>
        <v>Pendiente</v>
      </c>
    </row>
    <row r="38" spans="1:36" s="31" customFormat="1" ht="25.5" customHeight="1" x14ac:dyDescent="0.2">
      <c r="A38" s="32">
        <v>34</v>
      </c>
      <c r="B38" s="33" t="s">
        <v>79</v>
      </c>
      <c r="C38" s="32" t="s">
        <v>43</v>
      </c>
      <c r="D38" s="32" t="s">
        <v>44</v>
      </c>
      <c r="E38" s="32" t="s">
        <v>45</v>
      </c>
      <c r="F38" s="32">
        <v>1316</v>
      </c>
      <c r="G38" s="33" t="s">
        <v>46</v>
      </c>
      <c r="H38" s="32" t="s">
        <v>47</v>
      </c>
      <c r="I38" s="32"/>
      <c r="J38" s="34">
        <v>45355</v>
      </c>
      <c r="K38" s="34">
        <v>45355</v>
      </c>
      <c r="L38" s="32" t="s">
        <v>48</v>
      </c>
      <c r="M38" s="48">
        <v>139084.61229999989</v>
      </c>
      <c r="N38" s="48">
        <v>71.55</v>
      </c>
      <c r="O38" s="48">
        <v>-58.33</v>
      </c>
      <c r="P38" s="48">
        <v>-0.98000000000000043</v>
      </c>
      <c r="Q38" s="48">
        <v>0</v>
      </c>
      <c r="R38" s="48">
        <v>-102.86</v>
      </c>
      <c r="S38" s="48"/>
      <c r="T38" s="48">
        <f t="shared" si="0"/>
        <v>-90.62</v>
      </c>
      <c r="U38" s="48">
        <f t="shared" si="1"/>
        <v>12.239999999999998</v>
      </c>
      <c r="V38" s="49">
        <f>+Tabla_Auditorias[[#This Row],[AJUSTE
EGRESO
COSTO]]+Tabla_Auditorias[[#This Row],[AJUSTE EGRESO
MAL ESTADO]]+Tabla_Auditorias[[#This Row],[AJUSTE
INGRESO
COSTO]]</f>
        <v>-64.750533333333408</v>
      </c>
      <c r="W38" s="48">
        <v>-212.70173333333341</v>
      </c>
      <c r="X38" s="48"/>
      <c r="Y38" s="48"/>
      <c r="Z38" s="48">
        <v>147.9512</v>
      </c>
      <c r="AA38" s="50">
        <f>+SUM(Tabla_Auditorias[[#This Row],[AJUSTE
EGRESO
COSTO]:[AJUSTE
INGRESO
COSTO]])</f>
        <v>-64.750533333333408</v>
      </c>
      <c r="AB38" s="36" t="str">
        <f t="shared" si="2"/>
        <v>MEDIO</v>
      </c>
      <c r="AC38" s="37">
        <f t="shared" si="3"/>
        <v>25</v>
      </c>
      <c r="AD38" s="35">
        <v>0</v>
      </c>
      <c r="AE38" s="41" t="s">
        <v>49</v>
      </c>
      <c r="AF38" s="38" t="str">
        <f>IF(Tabla_Auditorias[[#This Row],[TOTAL
COSTO
NETO]]&lt;&gt;0,"Si","No")</f>
        <v>Si</v>
      </c>
      <c r="AG38" s="39"/>
      <c r="AH38" s="40"/>
      <c r="AI38" s="51">
        <f t="shared" si="4"/>
        <v>0</v>
      </c>
      <c r="AJ38" s="38" t="str">
        <f t="shared" si="5"/>
        <v>Pendiente</v>
      </c>
    </row>
    <row r="39" spans="1:36" s="31" customFormat="1" ht="25.5" customHeight="1" x14ac:dyDescent="0.2">
      <c r="A39" s="32">
        <v>35</v>
      </c>
      <c r="B39" s="33" t="s">
        <v>109</v>
      </c>
      <c r="C39" s="32" t="s">
        <v>43</v>
      </c>
      <c r="D39" s="32" t="s">
        <v>44</v>
      </c>
      <c r="E39" s="32" t="s">
        <v>58</v>
      </c>
      <c r="F39" s="32">
        <v>1309</v>
      </c>
      <c r="G39" s="33" t="s">
        <v>59</v>
      </c>
      <c r="H39" s="32" t="s">
        <v>47</v>
      </c>
      <c r="I39" s="32"/>
      <c r="J39" s="34">
        <v>45355</v>
      </c>
      <c r="K39" s="34">
        <v>45355</v>
      </c>
      <c r="L39" s="32" t="s">
        <v>48</v>
      </c>
      <c r="M39" s="48">
        <v>210906.73879999999</v>
      </c>
      <c r="N39" s="48">
        <v>64.73</v>
      </c>
      <c r="O39" s="48">
        <v>-742.06</v>
      </c>
      <c r="P39" s="48">
        <v>-4.13</v>
      </c>
      <c r="Q39" s="48">
        <v>0</v>
      </c>
      <c r="R39" s="48">
        <v>-56.08</v>
      </c>
      <c r="S39" s="48"/>
      <c r="T39" s="48">
        <f t="shared" si="0"/>
        <v>-737.54</v>
      </c>
      <c r="U39" s="48">
        <f t="shared" si="1"/>
        <v>-681.45999999999992</v>
      </c>
      <c r="V39" s="49">
        <f>+Tabla_Auditorias[[#This Row],[AJUSTE
EGRESO
COSTO]]+Tabla_Auditorias[[#This Row],[AJUSTE EGRESO
MAL ESTADO]]+Tabla_Auditorias[[#This Row],[AJUSTE
INGRESO
COSTO]]</f>
        <v>-496.12010476190403</v>
      </c>
      <c r="W39" s="48">
        <v>-665.175371428571</v>
      </c>
      <c r="X39" s="48"/>
      <c r="Y39" s="48"/>
      <c r="Z39" s="48">
        <v>169.05526666666699</v>
      </c>
      <c r="AA39" s="50">
        <f>+SUM(Tabla_Auditorias[[#This Row],[AJUSTE
EGRESO
COSTO]:[AJUSTE
INGRESO
COSTO]])</f>
        <v>-496.12010476190403</v>
      </c>
      <c r="AB39" s="36" t="str">
        <f t="shared" si="2"/>
        <v>ALTO</v>
      </c>
      <c r="AC39" s="37">
        <f t="shared" si="3"/>
        <v>37</v>
      </c>
      <c r="AD39" s="35">
        <v>0</v>
      </c>
      <c r="AE39" s="41" t="s">
        <v>49</v>
      </c>
      <c r="AF39" s="38" t="str">
        <f>IF(Tabla_Auditorias[[#This Row],[TOTAL
COSTO
NETO]]&lt;&gt;0,"Si","No")</f>
        <v>Si</v>
      </c>
      <c r="AG39" s="39" t="s">
        <v>110</v>
      </c>
      <c r="AH39" s="40"/>
      <c r="AI39" s="51">
        <f t="shared" si="4"/>
        <v>0</v>
      </c>
      <c r="AJ39" s="38" t="str">
        <f t="shared" si="5"/>
        <v>Pendiente</v>
      </c>
    </row>
    <row r="40" spans="1:36" s="31" customFormat="1" ht="25.5" customHeight="1" x14ac:dyDescent="0.2">
      <c r="A40" s="32">
        <v>36</v>
      </c>
      <c r="B40" s="33" t="s">
        <v>63</v>
      </c>
      <c r="C40" s="32" t="s">
        <v>51</v>
      </c>
      <c r="D40" s="32" t="s">
        <v>64</v>
      </c>
      <c r="E40" s="32" t="s">
        <v>53</v>
      </c>
      <c r="F40" s="32">
        <v>1729</v>
      </c>
      <c r="G40" s="33" t="s">
        <v>54</v>
      </c>
      <c r="H40" s="32" t="s">
        <v>47</v>
      </c>
      <c r="I40" s="32"/>
      <c r="J40" s="34">
        <v>45355</v>
      </c>
      <c r="K40" s="34">
        <v>45355</v>
      </c>
      <c r="L40" s="32" t="s">
        <v>48</v>
      </c>
      <c r="M40" s="48">
        <v>165509.63</v>
      </c>
      <c r="N40" s="48">
        <v>0</v>
      </c>
      <c r="O40" s="48">
        <v>0</v>
      </c>
      <c r="P40" s="48">
        <v>0</v>
      </c>
      <c r="Q40" s="48">
        <v>0</v>
      </c>
      <c r="R40" s="48">
        <v>0</v>
      </c>
      <c r="S40" s="48"/>
      <c r="T40" s="48">
        <f t="shared" si="0"/>
        <v>0</v>
      </c>
      <c r="U40" s="48">
        <f t="shared" si="1"/>
        <v>0</v>
      </c>
      <c r="V40" s="49">
        <f>+Tabla_Auditorias[[#This Row],[AJUSTE
EGRESO
COSTO]]+Tabla_Auditorias[[#This Row],[AJUSTE EGRESO
MAL ESTADO]]+Tabla_Auditorias[[#This Row],[AJUSTE
INGRESO
COSTO]]</f>
        <v>0</v>
      </c>
      <c r="W40" s="48">
        <v>0</v>
      </c>
      <c r="X40" s="48"/>
      <c r="Y40" s="48"/>
      <c r="Z40" s="48">
        <v>0</v>
      </c>
      <c r="AA40" s="50">
        <f>+SUM(Tabla_Auditorias[[#This Row],[AJUSTE
EGRESO
COSTO]:[AJUSTE
INGRESO
COSTO]])</f>
        <v>0</v>
      </c>
      <c r="AB40" s="36" t="str">
        <f t="shared" si="2"/>
        <v>BAJO</v>
      </c>
      <c r="AC40" s="37">
        <f t="shared" si="3"/>
        <v>0</v>
      </c>
      <c r="AD40" s="35">
        <v>0</v>
      </c>
      <c r="AE40" s="41" t="s">
        <v>49</v>
      </c>
      <c r="AF40" s="38" t="str">
        <f>IF(Tabla_Auditorias[[#This Row],[TOTAL
COSTO
NETO]]&lt;&gt;0,"Si","No")</f>
        <v>No</v>
      </c>
      <c r="AG40" s="39" t="s">
        <v>55</v>
      </c>
      <c r="AH40" s="40"/>
      <c r="AI40" s="51" t="str">
        <f t="shared" si="4"/>
        <v/>
      </c>
      <c r="AJ40" s="38" t="str">
        <f t="shared" si="5"/>
        <v>Pendiente</v>
      </c>
    </row>
    <row r="41" spans="1:36" s="31" customFormat="1" ht="25.5" customHeight="1" x14ac:dyDescent="0.2">
      <c r="A41" s="32">
        <v>37</v>
      </c>
      <c r="B41" s="33" t="s">
        <v>111</v>
      </c>
      <c r="C41" s="32" t="s">
        <v>51</v>
      </c>
      <c r="D41" s="32" t="s">
        <v>57</v>
      </c>
      <c r="E41" s="32" t="s">
        <v>58</v>
      </c>
      <c r="F41" s="32">
        <v>1702</v>
      </c>
      <c r="G41" s="33" t="s">
        <v>59</v>
      </c>
      <c r="H41" s="32" t="s">
        <v>47</v>
      </c>
      <c r="I41" s="32"/>
      <c r="J41" s="34">
        <v>45357</v>
      </c>
      <c r="K41" s="34">
        <v>45357</v>
      </c>
      <c r="L41" s="32" t="s">
        <v>48</v>
      </c>
      <c r="M41" s="48">
        <v>132693.834</v>
      </c>
      <c r="N41" s="48">
        <v>0.71</v>
      </c>
      <c r="O41" s="48">
        <v>0</v>
      </c>
      <c r="P41" s="48">
        <v>-56.52</v>
      </c>
      <c r="Q41" s="48">
        <v>0</v>
      </c>
      <c r="R41" s="48">
        <v>0</v>
      </c>
      <c r="S41" s="48"/>
      <c r="T41" s="48">
        <f t="shared" si="0"/>
        <v>-55.81</v>
      </c>
      <c r="U41" s="48">
        <f t="shared" si="1"/>
        <v>-55.81</v>
      </c>
      <c r="V41" s="49">
        <f>+Tabla_Auditorias[[#This Row],[AJUSTE
EGRESO
COSTO]]+Tabla_Auditorias[[#This Row],[AJUSTE EGRESO
MAL ESTADO]]+Tabla_Auditorias[[#This Row],[AJUSTE
INGRESO
COSTO]]</f>
        <v>-40.370500000000007</v>
      </c>
      <c r="W41" s="48">
        <v>-146.8245</v>
      </c>
      <c r="X41" s="48"/>
      <c r="Y41" s="48"/>
      <c r="Z41" s="48">
        <v>106.45399999999999</v>
      </c>
      <c r="AA41" s="50">
        <f>+SUM(Tabla_Auditorias[[#This Row],[AJUSTE
EGRESO
COSTO]:[AJUSTE
INGRESO
COSTO]])</f>
        <v>-40.370500000000007</v>
      </c>
      <c r="AB41" s="36" t="str">
        <f t="shared" si="2"/>
        <v>BAJO</v>
      </c>
      <c r="AC41" s="37">
        <f t="shared" si="3"/>
        <v>10</v>
      </c>
      <c r="AD41" s="35">
        <v>0</v>
      </c>
      <c r="AE41" s="41" t="s">
        <v>49</v>
      </c>
      <c r="AF41" s="38" t="str">
        <f>IF(Tabla_Auditorias[[#This Row],[TOTAL
COSTO
NETO]]&lt;&gt;0,"Si","No")</f>
        <v>Si</v>
      </c>
      <c r="AG41" s="39" t="s">
        <v>112</v>
      </c>
      <c r="AH41" s="40"/>
      <c r="AI41" s="51">
        <f t="shared" si="4"/>
        <v>0</v>
      </c>
      <c r="AJ41" s="38" t="str">
        <f t="shared" si="5"/>
        <v>Pendiente</v>
      </c>
    </row>
    <row r="42" spans="1:36" s="31" customFormat="1" ht="25.5" customHeight="1" x14ac:dyDescent="0.2">
      <c r="A42" s="32">
        <v>38</v>
      </c>
      <c r="B42" s="33" t="s">
        <v>113</v>
      </c>
      <c r="C42" s="32" t="s">
        <v>51</v>
      </c>
      <c r="D42" s="32" t="s">
        <v>57</v>
      </c>
      <c r="E42" s="32" t="s">
        <v>58</v>
      </c>
      <c r="F42" s="32">
        <v>1728</v>
      </c>
      <c r="G42" s="33" t="s">
        <v>59</v>
      </c>
      <c r="H42" s="32" t="s">
        <v>47</v>
      </c>
      <c r="I42" s="32"/>
      <c r="J42" s="34">
        <v>45358</v>
      </c>
      <c r="K42" s="34">
        <v>45358</v>
      </c>
      <c r="L42" s="32" t="s">
        <v>48</v>
      </c>
      <c r="M42" s="48">
        <v>88357.127399999998</v>
      </c>
      <c r="N42" s="48">
        <v>0</v>
      </c>
      <c r="O42" s="48">
        <v>-10.35</v>
      </c>
      <c r="P42" s="48">
        <v>-34.17</v>
      </c>
      <c r="Q42" s="48">
        <v>0</v>
      </c>
      <c r="R42" s="48">
        <v>0</v>
      </c>
      <c r="S42" s="48"/>
      <c r="T42" s="48">
        <f t="shared" si="0"/>
        <v>-44.52</v>
      </c>
      <c r="U42" s="48">
        <f t="shared" si="1"/>
        <v>-44.52</v>
      </c>
      <c r="V42" s="49">
        <f>+Tabla_Auditorias[[#This Row],[AJUSTE
EGRESO
COSTO]]+Tabla_Auditorias[[#This Row],[AJUSTE EGRESO
MAL ESTADO]]+Tabla_Auditorias[[#This Row],[AJUSTE
INGRESO
COSTO]]</f>
        <v>-31.709083333332956</v>
      </c>
      <c r="W42" s="48">
        <v>-307.37248333333298</v>
      </c>
      <c r="X42" s="48"/>
      <c r="Y42" s="48"/>
      <c r="Z42" s="48">
        <v>275.66340000000002</v>
      </c>
      <c r="AA42" s="50">
        <f>+SUM(Tabla_Auditorias[[#This Row],[AJUSTE
EGRESO
COSTO]:[AJUSTE
INGRESO
COSTO]])</f>
        <v>-31.709083333332956</v>
      </c>
      <c r="AB42" s="36" t="str">
        <f t="shared" si="2"/>
        <v>MEDIO</v>
      </c>
      <c r="AC42" s="37">
        <f t="shared" si="3"/>
        <v>20</v>
      </c>
      <c r="AD42" s="35">
        <v>0</v>
      </c>
      <c r="AE42" s="41" t="s">
        <v>49</v>
      </c>
      <c r="AF42" s="38" t="str">
        <f>IF(Tabla_Auditorias[[#This Row],[TOTAL
COSTO
NETO]]&lt;&gt;0,"Si","No")</f>
        <v>Si</v>
      </c>
      <c r="AG42" s="39" t="s">
        <v>114</v>
      </c>
      <c r="AH42" s="40"/>
      <c r="AI42" s="51">
        <f t="shared" si="4"/>
        <v>0</v>
      </c>
      <c r="AJ42" s="38" t="str">
        <f t="shared" si="5"/>
        <v>Pendiente</v>
      </c>
    </row>
    <row r="43" spans="1:36" s="31" customFormat="1" ht="25.5" customHeight="1" x14ac:dyDescent="0.2">
      <c r="A43" s="32">
        <v>39</v>
      </c>
      <c r="B43" s="33" t="s">
        <v>115</v>
      </c>
      <c r="C43" s="32" t="s">
        <v>51</v>
      </c>
      <c r="D43" s="32" t="s">
        <v>57</v>
      </c>
      <c r="E43" s="32" t="s">
        <v>58</v>
      </c>
      <c r="F43" s="32">
        <v>1734</v>
      </c>
      <c r="G43" s="33" t="s">
        <v>59</v>
      </c>
      <c r="H43" s="32" t="s">
        <v>47</v>
      </c>
      <c r="I43" s="32"/>
      <c r="J43" s="34">
        <v>45359</v>
      </c>
      <c r="K43" s="34">
        <v>45359</v>
      </c>
      <c r="L43" s="32" t="s">
        <v>48</v>
      </c>
      <c r="M43" s="48">
        <v>49139.018199999999</v>
      </c>
      <c r="N43" s="48">
        <v>23.73</v>
      </c>
      <c r="O43" s="48">
        <v>0</v>
      </c>
      <c r="P43" s="48">
        <v>0</v>
      </c>
      <c r="Q43" s="48">
        <v>0</v>
      </c>
      <c r="R43" s="48">
        <v>0</v>
      </c>
      <c r="S43" s="48"/>
      <c r="T43" s="48">
        <f t="shared" si="0"/>
        <v>23.73</v>
      </c>
      <c r="U43" s="48">
        <f t="shared" si="1"/>
        <v>23.73</v>
      </c>
      <c r="V43" s="49">
        <f>+Tabla_Auditorias[[#This Row],[AJUSTE
EGRESO
COSTO]]+Tabla_Auditorias[[#This Row],[AJUSTE EGRESO
MAL ESTADO]]+Tabla_Auditorias[[#This Row],[AJUSTE
INGRESO
COSTO]]</f>
        <v>14.407</v>
      </c>
      <c r="W43" s="48">
        <v>0</v>
      </c>
      <c r="X43" s="48"/>
      <c r="Y43" s="48"/>
      <c r="Z43" s="48">
        <v>14.407</v>
      </c>
      <c r="AA43" s="50">
        <f>+SUM(Tabla_Auditorias[[#This Row],[AJUSTE
EGRESO
COSTO]:[AJUSTE
INGRESO
COSTO]])</f>
        <v>14.407</v>
      </c>
      <c r="AB43" s="36" t="str">
        <f t="shared" si="2"/>
        <v>BAJO</v>
      </c>
      <c r="AC43" s="37">
        <f t="shared" si="3"/>
        <v>10</v>
      </c>
      <c r="AD43" s="35">
        <v>0</v>
      </c>
      <c r="AE43" s="41" t="s">
        <v>49</v>
      </c>
      <c r="AF43" s="38" t="str">
        <f>IF(Tabla_Auditorias[[#This Row],[TOTAL
COSTO
NETO]]&lt;&gt;0,"Si","No")</f>
        <v>Si</v>
      </c>
      <c r="AG43" s="39" t="s">
        <v>116</v>
      </c>
      <c r="AH43" s="40"/>
      <c r="AI43" s="51" t="str">
        <f t="shared" si="4"/>
        <v/>
      </c>
      <c r="AJ43" s="38" t="str">
        <f t="shared" si="5"/>
        <v>No Aplica</v>
      </c>
    </row>
    <row r="44" spans="1:36" s="31" customFormat="1" ht="25.5" customHeight="1" x14ac:dyDescent="0.2">
      <c r="A44" s="32">
        <v>40</v>
      </c>
      <c r="B44" s="33" t="s">
        <v>93</v>
      </c>
      <c r="C44" s="32" t="s">
        <v>51</v>
      </c>
      <c r="D44" s="32" t="s">
        <v>64</v>
      </c>
      <c r="E44" s="32" t="s">
        <v>45</v>
      </c>
      <c r="F44" s="32">
        <v>1723</v>
      </c>
      <c r="G44" s="33" t="s">
        <v>46</v>
      </c>
      <c r="H44" s="32" t="s">
        <v>47</v>
      </c>
      <c r="I44" s="32"/>
      <c r="J44" s="34">
        <v>45362</v>
      </c>
      <c r="K44" s="34">
        <v>45362</v>
      </c>
      <c r="L44" s="32" t="s">
        <v>48</v>
      </c>
      <c r="M44" s="48">
        <v>313891.68139999942</v>
      </c>
      <c r="N44" s="48">
        <v>0</v>
      </c>
      <c r="O44" s="48">
        <v>0</v>
      </c>
      <c r="P44" s="48">
        <v>0</v>
      </c>
      <c r="Q44" s="48">
        <v>0</v>
      </c>
      <c r="R44" s="48">
        <v>0</v>
      </c>
      <c r="S44" s="48"/>
      <c r="T44" s="48">
        <f t="shared" si="0"/>
        <v>0</v>
      </c>
      <c r="U44" s="48">
        <f t="shared" si="1"/>
        <v>0</v>
      </c>
      <c r="V44" s="49">
        <f>+Tabla_Auditorias[[#This Row],[AJUSTE
EGRESO
COSTO]]+Tabla_Auditorias[[#This Row],[AJUSTE EGRESO
MAL ESTADO]]+Tabla_Auditorias[[#This Row],[AJUSTE
INGRESO
COSTO]]</f>
        <v>0</v>
      </c>
      <c r="W44" s="48">
        <v>0</v>
      </c>
      <c r="X44" s="48"/>
      <c r="Y44" s="48"/>
      <c r="Z44" s="48">
        <v>0</v>
      </c>
      <c r="AA44" s="50">
        <f>+SUM(Tabla_Auditorias[[#This Row],[AJUSTE
EGRESO
COSTO]:[AJUSTE
INGRESO
COSTO]])</f>
        <v>0</v>
      </c>
      <c r="AB44" s="36" t="str">
        <f t="shared" si="2"/>
        <v>BAJO</v>
      </c>
      <c r="AC44" s="37">
        <f t="shared" si="3"/>
        <v>0</v>
      </c>
      <c r="AD44" s="35">
        <v>0</v>
      </c>
      <c r="AE44" s="41" t="s">
        <v>49</v>
      </c>
      <c r="AF44" s="38" t="str">
        <f>IF(Tabla_Auditorias[[#This Row],[TOTAL
COSTO
NETO]]&lt;&gt;0,"Si","No")</f>
        <v>No</v>
      </c>
      <c r="AG44" s="39"/>
      <c r="AH44" s="40"/>
      <c r="AI44" s="51" t="str">
        <f t="shared" si="4"/>
        <v/>
      </c>
      <c r="AJ44" s="38" t="str">
        <f t="shared" si="5"/>
        <v>Pendiente</v>
      </c>
    </row>
    <row r="45" spans="1:36" s="31" customFormat="1" ht="25.5" customHeight="1" x14ac:dyDescent="0.2">
      <c r="A45" s="32">
        <v>41</v>
      </c>
      <c r="B45" s="33" t="s">
        <v>67</v>
      </c>
      <c r="C45" s="32" t="s">
        <v>43</v>
      </c>
      <c r="D45" s="32" t="s">
        <v>44</v>
      </c>
      <c r="E45" s="32" t="s">
        <v>58</v>
      </c>
      <c r="F45" s="32">
        <v>1308</v>
      </c>
      <c r="G45" s="33" t="s">
        <v>59</v>
      </c>
      <c r="H45" s="32" t="s">
        <v>47</v>
      </c>
      <c r="I45" s="32"/>
      <c r="J45" s="34">
        <v>45362</v>
      </c>
      <c r="K45" s="34">
        <v>45362</v>
      </c>
      <c r="L45" s="32" t="s">
        <v>48</v>
      </c>
      <c r="M45" s="48">
        <v>220054.19020000001</v>
      </c>
      <c r="N45" s="48">
        <v>101.62</v>
      </c>
      <c r="O45" s="48">
        <v>-362.58</v>
      </c>
      <c r="P45" s="48">
        <v>38.130000000000003</v>
      </c>
      <c r="Q45" s="48">
        <v>-147.27000000000001</v>
      </c>
      <c r="R45" s="48">
        <v>0</v>
      </c>
      <c r="S45" s="48"/>
      <c r="T45" s="48">
        <f t="shared" si="0"/>
        <v>-370.1</v>
      </c>
      <c r="U45" s="48">
        <f t="shared" si="1"/>
        <v>-370.1</v>
      </c>
      <c r="V45" s="49">
        <f>+Tabla_Auditorias[[#This Row],[AJUSTE
EGRESO
COSTO]]+Tabla_Auditorias[[#This Row],[AJUSTE EGRESO
MAL ESTADO]]+Tabla_Auditorias[[#This Row],[AJUSTE
INGRESO
COSTO]]</f>
        <v>-162.88797958620705</v>
      </c>
      <c r="W45" s="48">
        <v>-922.71945200000005</v>
      </c>
      <c r="X45" s="48"/>
      <c r="Y45" s="48"/>
      <c r="Z45" s="48">
        <v>759.83147241379299</v>
      </c>
      <c r="AA45" s="50">
        <f>+SUM(Tabla_Auditorias[[#This Row],[AJUSTE
EGRESO
COSTO]:[AJUSTE
INGRESO
COSTO]])</f>
        <v>-162.88797958620705</v>
      </c>
      <c r="AB45" s="36" t="str">
        <f t="shared" si="2"/>
        <v>MEDIO</v>
      </c>
      <c r="AC45" s="37">
        <f t="shared" si="3"/>
        <v>30</v>
      </c>
      <c r="AD45" s="35">
        <v>0</v>
      </c>
      <c r="AE45" s="41" t="s">
        <v>49</v>
      </c>
      <c r="AF45" s="38" t="str">
        <f>IF(Tabla_Auditorias[[#This Row],[TOTAL
COSTO
NETO]]&lt;&gt;0,"Si","No")</f>
        <v>Si</v>
      </c>
      <c r="AG45" s="39" t="s">
        <v>117</v>
      </c>
      <c r="AH45" s="40"/>
      <c r="AI45" s="51">
        <f t="shared" si="4"/>
        <v>0</v>
      </c>
      <c r="AJ45" s="38" t="str">
        <f t="shared" si="5"/>
        <v>Pendiente</v>
      </c>
    </row>
    <row r="46" spans="1:36" s="31" customFormat="1" ht="31.5" customHeight="1" x14ac:dyDescent="0.2">
      <c r="A46" s="32">
        <v>42</v>
      </c>
      <c r="B46" s="33" t="s">
        <v>118</v>
      </c>
      <c r="C46" s="32" t="s">
        <v>43</v>
      </c>
      <c r="D46" s="32" t="s">
        <v>44</v>
      </c>
      <c r="E46" s="32" t="s">
        <v>53</v>
      </c>
      <c r="F46" s="32">
        <v>1478</v>
      </c>
      <c r="G46" s="33" t="s">
        <v>54</v>
      </c>
      <c r="H46" s="32" t="s">
        <v>47</v>
      </c>
      <c r="I46" s="32"/>
      <c r="J46" s="34">
        <v>45362</v>
      </c>
      <c r="K46" s="34">
        <v>45362</v>
      </c>
      <c r="L46" s="32" t="s">
        <v>48</v>
      </c>
      <c r="M46" s="48">
        <v>144215.01999999999</v>
      </c>
      <c r="N46" s="48">
        <v>4693.12</v>
      </c>
      <c r="O46" s="48">
        <v>-6149.67</v>
      </c>
      <c r="P46" s="48">
        <v>69.229999999999563</v>
      </c>
      <c r="Q46" s="48">
        <v>-603.56000000000006</v>
      </c>
      <c r="R46" s="48">
        <v>0</v>
      </c>
      <c r="S46" s="48"/>
      <c r="T46" s="48">
        <f t="shared" si="0"/>
        <v>-1990.8800000000006</v>
      </c>
      <c r="U46" s="48">
        <f t="shared" si="1"/>
        <v>-1990.8800000000006</v>
      </c>
      <c r="V46" s="49">
        <f>+Tabla_Auditorias[[#This Row],[AJUSTE
EGRESO
COSTO]]+Tabla_Auditorias[[#This Row],[AJUSTE EGRESO
MAL ESTADO]]+Tabla_Auditorias[[#This Row],[AJUSTE
INGRESO
COSTO]]</f>
        <v>1990.0099999999984</v>
      </c>
      <c r="W46" s="48">
        <v>-7268.84</v>
      </c>
      <c r="X46" s="48"/>
      <c r="Y46" s="48"/>
      <c r="Z46" s="48">
        <v>9258.8499999999985</v>
      </c>
      <c r="AA46" s="50">
        <f>+SUM(Tabla_Auditorias[[#This Row],[AJUSTE
EGRESO
COSTO]:[AJUSTE
INGRESO
COSTO]])</f>
        <v>1990.0099999999984</v>
      </c>
      <c r="AB46" s="36" t="str">
        <f t="shared" si="2"/>
        <v>CRÍTICO</v>
      </c>
      <c r="AC46" s="37">
        <f t="shared" si="3"/>
        <v>67</v>
      </c>
      <c r="AD46" s="35">
        <v>0</v>
      </c>
      <c r="AE46" s="41" t="s">
        <v>49</v>
      </c>
      <c r="AF46" s="38" t="str">
        <f>IF(Tabla_Auditorias[[#This Row],[TOTAL
COSTO
NETO]]&lt;&gt;0,"Si","No")</f>
        <v>Si</v>
      </c>
      <c r="AG46" s="39" t="s">
        <v>119</v>
      </c>
      <c r="AH46" s="40"/>
      <c r="AI46" s="51" t="str">
        <f t="shared" si="4"/>
        <v/>
      </c>
      <c r="AJ46" s="38" t="str">
        <f t="shared" si="5"/>
        <v>No Aplica</v>
      </c>
    </row>
    <row r="47" spans="1:36" s="31" customFormat="1" ht="25.5" customHeight="1" x14ac:dyDescent="0.2">
      <c r="A47" s="32">
        <v>43</v>
      </c>
      <c r="B47" s="33" t="s">
        <v>120</v>
      </c>
      <c r="C47" s="32" t="s">
        <v>43</v>
      </c>
      <c r="D47" s="32" t="s">
        <v>44</v>
      </c>
      <c r="E47" s="32" t="s">
        <v>58</v>
      </c>
      <c r="F47" s="32">
        <v>1300</v>
      </c>
      <c r="G47" s="33" t="s">
        <v>59</v>
      </c>
      <c r="H47" s="32" t="s">
        <v>47</v>
      </c>
      <c r="I47" s="32"/>
      <c r="J47" s="34">
        <v>45377</v>
      </c>
      <c r="K47" s="34">
        <v>45377</v>
      </c>
      <c r="L47" s="32" t="s">
        <v>48</v>
      </c>
      <c r="M47" s="48">
        <v>376952.58579999901</v>
      </c>
      <c r="N47" s="48">
        <v>589.04</v>
      </c>
      <c r="O47" s="48">
        <v>-656.94370000000004</v>
      </c>
      <c r="P47" s="48">
        <v>119.62</v>
      </c>
      <c r="Q47" s="48">
        <v>-2765</v>
      </c>
      <c r="R47" s="48">
        <v>0</v>
      </c>
      <c r="S47" s="48"/>
      <c r="T47" s="48">
        <f t="shared" si="0"/>
        <v>-2713.2837</v>
      </c>
      <c r="U47" s="48">
        <f t="shared" si="1"/>
        <v>-2713.2837</v>
      </c>
      <c r="V47" s="49">
        <f>+Tabla_Auditorias[[#This Row],[AJUSTE
EGRESO
COSTO]]+Tabla_Auditorias[[#This Row],[AJUSTE EGRESO
MAL ESTADO]]+Tabla_Auditorias[[#This Row],[AJUSTE
INGRESO
COSTO]]</f>
        <v>-32.856694761900144</v>
      </c>
      <c r="W47" s="48">
        <v>-2126.7514214285702</v>
      </c>
      <c r="X47" s="48"/>
      <c r="Y47" s="48"/>
      <c r="Z47" s="48">
        <v>2093.8947266666701</v>
      </c>
      <c r="AA47" s="50">
        <f>+SUM(Tabla_Auditorias[[#This Row],[AJUSTE
EGRESO
COSTO]:[AJUSTE
INGRESO
COSTO]])</f>
        <v>-32.856694761900144</v>
      </c>
      <c r="AB47" s="36" t="str">
        <f t="shared" si="2"/>
        <v>ALTO</v>
      </c>
      <c r="AC47" s="37">
        <f t="shared" si="3"/>
        <v>45</v>
      </c>
      <c r="AD47" s="35">
        <v>0</v>
      </c>
      <c r="AE47" s="41" t="s">
        <v>49</v>
      </c>
      <c r="AF47" s="38" t="str">
        <f>IF(Tabla_Auditorias[[#This Row],[TOTAL
COSTO
NETO]]&lt;&gt;0,"Si","No")</f>
        <v>Si</v>
      </c>
      <c r="AG47" s="39" t="s">
        <v>121</v>
      </c>
      <c r="AH47" s="40"/>
      <c r="AI47" s="51">
        <f t="shared" si="4"/>
        <v>0</v>
      </c>
      <c r="AJ47" s="38" t="str">
        <f t="shared" si="5"/>
        <v>Pendiente</v>
      </c>
    </row>
    <row r="48" spans="1:36" s="31" customFormat="1" ht="25.5" customHeight="1" x14ac:dyDescent="0.2">
      <c r="A48" s="32">
        <v>44</v>
      </c>
      <c r="B48" s="33" t="s">
        <v>50</v>
      </c>
      <c r="C48" s="32" t="s">
        <v>51</v>
      </c>
      <c r="D48" s="32" t="s">
        <v>52</v>
      </c>
      <c r="E48" s="32" t="s">
        <v>53</v>
      </c>
      <c r="F48" s="32">
        <v>1732</v>
      </c>
      <c r="G48" s="33" t="s">
        <v>54</v>
      </c>
      <c r="H48" s="32" t="s">
        <v>47</v>
      </c>
      <c r="I48" s="32"/>
      <c r="J48" s="34">
        <v>45385</v>
      </c>
      <c r="K48" s="34">
        <v>45385</v>
      </c>
      <c r="L48" s="32" t="s">
        <v>48</v>
      </c>
      <c r="M48" s="48">
        <v>36607.620000000003</v>
      </c>
      <c r="N48" s="48">
        <v>0</v>
      </c>
      <c r="O48" s="48">
        <v>0</v>
      </c>
      <c r="P48" s="48">
        <v>0</v>
      </c>
      <c r="Q48" s="48">
        <v>0</v>
      </c>
      <c r="R48" s="48">
        <v>0</v>
      </c>
      <c r="S48" s="48"/>
      <c r="T48" s="48">
        <f t="shared" si="0"/>
        <v>0</v>
      </c>
      <c r="U48" s="48">
        <f t="shared" si="1"/>
        <v>0</v>
      </c>
      <c r="V48" s="49">
        <f>+Tabla_Auditorias[[#This Row],[AJUSTE
EGRESO
COSTO]]+Tabla_Auditorias[[#This Row],[AJUSTE EGRESO
MAL ESTADO]]+Tabla_Auditorias[[#This Row],[AJUSTE
INGRESO
COSTO]]</f>
        <v>0</v>
      </c>
      <c r="W48" s="48">
        <v>0</v>
      </c>
      <c r="X48" s="48"/>
      <c r="Y48" s="48"/>
      <c r="Z48" s="48">
        <v>0</v>
      </c>
      <c r="AA48" s="50">
        <f>+SUM(Tabla_Auditorias[[#This Row],[AJUSTE
EGRESO
COSTO]:[AJUSTE
INGRESO
COSTO]])</f>
        <v>0</v>
      </c>
      <c r="AB48" s="36" t="str">
        <f t="shared" si="2"/>
        <v>BAJO</v>
      </c>
      <c r="AC48" s="37">
        <f t="shared" si="3"/>
        <v>0</v>
      </c>
      <c r="AD48" s="35">
        <v>0</v>
      </c>
      <c r="AE48" s="41" t="s">
        <v>49</v>
      </c>
      <c r="AF48" s="38" t="str">
        <f>IF(Tabla_Auditorias[[#This Row],[TOTAL
COSTO
NETO]]&lt;&gt;0,"Si","No")</f>
        <v>No</v>
      </c>
      <c r="AG48" s="39" t="s">
        <v>55</v>
      </c>
      <c r="AH48" s="40"/>
      <c r="AI48" s="51" t="str">
        <f t="shared" si="4"/>
        <v/>
      </c>
      <c r="AJ48" s="38" t="str">
        <f t="shared" si="5"/>
        <v>Pendiente</v>
      </c>
    </row>
    <row r="49" spans="1:36" s="31" customFormat="1" ht="25.5" customHeight="1" x14ac:dyDescent="0.2">
      <c r="A49" s="32">
        <v>45</v>
      </c>
      <c r="B49" s="33" t="s">
        <v>94</v>
      </c>
      <c r="C49" s="32" t="s">
        <v>43</v>
      </c>
      <c r="D49" s="32" t="s">
        <v>44</v>
      </c>
      <c r="E49" s="32" t="s">
        <v>53</v>
      </c>
      <c r="F49" s="32">
        <v>1473</v>
      </c>
      <c r="G49" s="33" t="s">
        <v>54</v>
      </c>
      <c r="H49" s="32" t="s">
        <v>47</v>
      </c>
      <c r="I49" s="32"/>
      <c r="J49" s="34">
        <v>45386</v>
      </c>
      <c r="K49" s="34">
        <v>45386</v>
      </c>
      <c r="L49" s="32" t="s">
        <v>48</v>
      </c>
      <c r="M49" s="48">
        <v>202433.77</v>
      </c>
      <c r="N49" s="48">
        <v>162.25</v>
      </c>
      <c r="O49" s="48">
        <v>-968.53</v>
      </c>
      <c r="P49" s="48">
        <v>0</v>
      </c>
      <c r="Q49" s="48">
        <v>-569.51</v>
      </c>
      <c r="R49" s="48">
        <v>-277</v>
      </c>
      <c r="S49" s="48"/>
      <c r="T49" s="48">
        <f t="shared" si="0"/>
        <v>-1652.79</v>
      </c>
      <c r="U49" s="48">
        <f t="shared" si="1"/>
        <v>-1375.79</v>
      </c>
      <c r="V49" s="49">
        <f>+Tabla_Auditorias[[#This Row],[AJUSTE
EGRESO
COSTO]]+Tabla_Auditorias[[#This Row],[AJUSTE EGRESO
MAL ESTADO]]+Tabla_Auditorias[[#This Row],[AJUSTE
INGRESO
COSTO]]</f>
        <v>-906.4</v>
      </c>
      <c r="W49" s="48">
        <v>-1017.87</v>
      </c>
      <c r="X49" s="48"/>
      <c r="Y49" s="48"/>
      <c r="Z49" s="48">
        <v>111.47</v>
      </c>
      <c r="AA49" s="50">
        <f>+SUM(Tabla_Auditorias[[#This Row],[AJUSTE
EGRESO
COSTO]:[AJUSTE
INGRESO
COSTO]])</f>
        <v>-906.4</v>
      </c>
      <c r="AB49" s="36" t="str">
        <f t="shared" si="2"/>
        <v>ALTO</v>
      </c>
      <c r="AC49" s="37">
        <f t="shared" si="3"/>
        <v>37</v>
      </c>
      <c r="AD49" s="35">
        <v>0</v>
      </c>
      <c r="AE49" s="41" t="s">
        <v>49</v>
      </c>
      <c r="AF49" s="38" t="str">
        <f>IF(Tabla_Auditorias[[#This Row],[TOTAL
COSTO
NETO]]&lt;&gt;0,"Si","No")</f>
        <v>Si</v>
      </c>
      <c r="AG49" s="39" t="s">
        <v>122</v>
      </c>
      <c r="AH49" s="40"/>
      <c r="AI49" s="51">
        <f t="shared" si="4"/>
        <v>0</v>
      </c>
      <c r="AJ49" s="38" t="str">
        <f t="shared" si="5"/>
        <v>Pendiente</v>
      </c>
    </row>
    <row r="50" spans="1:36" s="31" customFormat="1" ht="25.5" customHeight="1" x14ac:dyDescent="0.2">
      <c r="A50" s="32">
        <v>46</v>
      </c>
      <c r="B50" s="33" t="s">
        <v>123</v>
      </c>
      <c r="C50" s="32" t="s">
        <v>51</v>
      </c>
      <c r="D50" s="32" t="s">
        <v>64</v>
      </c>
      <c r="E50" s="32" t="s">
        <v>58</v>
      </c>
      <c r="F50" s="32">
        <v>1726</v>
      </c>
      <c r="G50" s="33" t="s">
        <v>59</v>
      </c>
      <c r="H50" s="32" t="s">
        <v>47</v>
      </c>
      <c r="I50" s="32"/>
      <c r="J50" s="34">
        <v>45390</v>
      </c>
      <c r="K50" s="34">
        <v>45390</v>
      </c>
      <c r="L50" s="32" t="s">
        <v>48</v>
      </c>
      <c r="M50" s="48">
        <v>330347.25229999999</v>
      </c>
      <c r="N50" s="48">
        <v>31.42</v>
      </c>
      <c r="O50" s="48">
        <v>-461.41</v>
      </c>
      <c r="P50" s="48">
        <v>69.44</v>
      </c>
      <c r="Q50" s="48">
        <v>0</v>
      </c>
      <c r="R50" s="48">
        <v>0</v>
      </c>
      <c r="S50" s="48"/>
      <c r="T50" s="48">
        <f t="shared" si="0"/>
        <v>-360.55</v>
      </c>
      <c r="U50" s="48">
        <f t="shared" si="1"/>
        <v>-360.55</v>
      </c>
      <c r="V50" s="49">
        <f>+Tabla_Auditorias[[#This Row],[AJUSTE
EGRESO
COSTO]]+Tabla_Auditorias[[#This Row],[AJUSTE EGRESO
MAL ESTADO]]+Tabla_Auditorias[[#This Row],[AJUSTE
INGRESO
COSTO]]</f>
        <v>44.372649999999993</v>
      </c>
      <c r="W50" s="48">
        <v>-165.81375</v>
      </c>
      <c r="X50" s="48"/>
      <c r="Y50" s="48"/>
      <c r="Z50" s="48">
        <v>210.18639999999999</v>
      </c>
      <c r="AA50" s="50">
        <f>+SUM(Tabla_Auditorias[[#This Row],[AJUSTE
EGRESO
COSTO]:[AJUSTE
INGRESO
COSTO]])</f>
        <v>44.372649999999993</v>
      </c>
      <c r="AB50" s="36" t="str">
        <f t="shared" si="2"/>
        <v>MEDIO</v>
      </c>
      <c r="AC50" s="37">
        <f t="shared" si="3"/>
        <v>25</v>
      </c>
      <c r="AD50" s="35">
        <v>0</v>
      </c>
      <c r="AE50" s="41" t="s">
        <v>49</v>
      </c>
      <c r="AF50" s="38" t="str">
        <f>IF(Tabla_Auditorias[[#This Row],[TOTAL
COSTO
NETO]]&lt;&gt;0,"Si","No")</f>
        <v>Si</v>
      </c>
      <c r="AG50" s="39" t="s">
        <v>124</v>
      </c>
      <c r="AH50" s="40"/>
      <c r="AI50" s="51" t="str">
        <f t="shared" si="4"/>
        <v/>
      </c>
      <c r="AJ50" s="38" t="str">
        <f t="shared" si="5"/>
        <v>No Aplica</v>
      </c>
    </row>
    <row r="51" spans="1:36" s="31" customFormat="1" ht="25.5" customHeight="1" x14ac:dyDescent="0.2">
      <c r="A51" s="32">
        <v>47</v>
      </c>
      <c r="B51" s="33" t="s">
        <v>69</v>
      </c>
      <c r="C51" s="32" t="s">
        <v>51</v>
      </c>
      <c r="D51" s="32" t="s">
        <v>57</v>
      </c>
      <c r="E51" s="32" t="s">
        <v>53</v>
      </c>
      <c r="F51" s="32">
        <v>1705</v>
      </c>
      <c r="G51" s="33" t="s">
        <v>54</v>
      </c>
      <c r="H51" s="32" t="s">
        <v>47</v>
      </c>
      <c r="I51" s="32"/>
      <c r="J51" s="34">
        <v>45391</v>
      </c>
      <c r="K51" s="34">
        <v>45391</v>
      </c>
      <c r="L51" s="32" t="s">
        <v>48</v>
      </c>
      <c r="M51" s="48">
        <v>82265.59</v>
      </c>
      <c r="N51" s="48">
        <v>0</v>
      </c>
      <c r="O51" s="48">
        <v>0</v>
      </c>
      <c r="P51" s="48">
        <v>0</v>
      </c>
      <c r="Q51" s="48">
        <v>0</v>
      </c>
      <c r="R51" s="48">
        <v>0</v>
      </c>
      <c r="S51" s="48"/>
      <c r="T51" s="48">
        <f t="shared" si="0"/>
        <v>0</v>
      </c>
      <c r="U51" s="48">
        <f t="shared" si="1"/>
        <v>0</v>
      </c>
      <c r="V51" s="49">
        <f>+Tabla_Auditorias[[#This Row],[AJUSTE
EGRESO
COSTO]]+Tabla_Auditorias[[#This Row],[AJUSTE EGRESO
MAL ESTADO]]+Tabla_Auditorias[[#This Row],[AJUSTE
INGRESO
COSTO]]</f>
        <v>0</v>
      </c>
      <c r="W51" s="48">
        <v>0</v>
      </c>
      <c r="X51" s="48"/>
      <c r="Y51" s="48"/>
      <c r="Z51" s="48">
        <v>0</v>
      </c>
      <c r="AA51" s="50">
        <f>+SUM(Tabla_Auditorias[[#This Row],[AJUSTE
EGRESO
COSTO]:[AJUSTE
INGRESO
COSTO]])</f>
        <v>0</v>
      </c>
      <c r="AB51" s="36" t="str">
        <f t="shared" si="2"/>
        <v>BAJO</v>
      </c>
      <c r="AC51" s="37">
        <f t="shared" si="3"/>
        <v>0</v>
      </c>
      <c r="AD51" s="35">
        <v>0</v>
      </c>
      <c r="AE51" s="41" t="s">
        <v>49</v>
      </c>
      <c r="AF51" s="38" t="str">
        <f>IF(Tabla_Auditorias[[#This Row],[TOTAL
COSTO
NETO]]&lt;&gt;0,"Si","No")</f>
        <v>No</v>
      </c>
      <c r="AG51" s="39" t="s">
        <v>55</v>
      </c>
      <c r="AH51" s="40"/>
      <c r="AI51" s="51" t="str">
        <f t="shared" si="4"/>
        <v/>
      </c>
      <c r="AJ51" s="38" t="str">
        <f t="shared" si="5"/>
        <v>Pendiente</v>
      </c>
    </row>
    <row r="52" spans="1:36" s="31" customFormat="1" ht="25.5" customHeight="1" x14ac:dyDescent="0.2">
      <c r="A52" s="32">
        <v>48</v>
      </c>
      <c r="B52" s="33" t="s">
        <v>125</v>
      </c>
      <c r="C52" s="32" t="s">
        <v>43</v>
      </c>
      <c r="D52" s="32" t="s">
        <v>44</v>
      </c>
      <c r="E52" s="32" t="s">
        <v>53</v>
      </c>
      <c r="F52" s="32">
        <v>1487</v>
      </c>
      <c r="G52" s="33" t="s">
        <v>54</v>
      </c>
      <c r="H52" s="32" t="s">
        <v>47</v>
      </c>
      <c r="I52" s="32"/>
      <c r="J52" s="34">
        <v>45391</v>
      </c>
      <c r="K52" s="34">
        <v>45391</v>
      </c>
      <c r="L52" s="32" t="s">
        <v>48</v>
      </c>
      <c r="M52" s="48">
        <v>92656.12</v>
      </c>
      <c r="N52" s="48">
        <v>199.37</v>
      </c>
      <c r="O52" s="48">
        <v>-627.49</v>
      </c>
      <c r="P52" s="48">
        <v>1.000000000004775E-2</v>
      </c>
      <c r="Q52" s="48">
        <v>-107.75</v>
      </c>
      <c r="R52" s="48">
        <v>0</v>
      </c>
      <c r="S52" s="48"/>
      <c r="T52" s="48">
        <f t="shared" si="0"/>
        <v>-535.8599999999999</v>
      </c>
      <c r="U52" s="48">
        <f t="shared" si="1"/>
        <v>-535.8599999999999</v>
      </c>
      <c r="V52" s="49">
        <f>+Tabla_Auditorias[[#This Row],[AJUSTE
EGRESO
COSTO]]+Tabla_Auditorias[[#This Row],[AJUSTE EGRESO
MAL ESTADO]]+Tabla_Auditorias[[#This Row],[AJUSTE
INGRESO
COSTO]]</f>
        <v>-331.49</v>
      </c>
      <c r="W52" s="48">
        <v>-587.97</v>
      </c>
      <c r="X52" s="48"/>
      <c r="Y52" s="48"/>
      <c r="Z52" s="48">
        <v>256.48</v>
      </c>
      <c r="AA52" s="50">
        <f>+SUM(Tabla_Auditorias[[#This Row],[AJUSTE
EGRESO
COSTO]:[AJUSTE
INGRESO
COSTO]])</f>
        <v>-331.49</v>
      </c>
      <c r="AB52" s="36" t="str">
        <f t="shared" si="2"/>
        <v>ALTO</v>
      </c>
      <c r="AC52" s="37">
        <f t="shared" si="3"/>
        <v>37</v>
      </c>
      <c r="AD52" s="35">
        <v>0</v>
      </c>
      <c r="AE52" s="41" t="s">
        <v>49</v>
      </c>
      <c r="AF52" s="38" t="str">
        <f>IF(Tabla_Auditorias[[#This Row],[TOTAL
COSTO
NETO]]&lt;&gt;0,"Si","No")</f>
        <v>Si</v>
      </c>
      <c r="AG52" s="39" t="s">
        <v>126</v>
      </c>
      <c r="AH52" s="40"/>
      <c r="AI52" s="51">
        <f t="shared" si="4"/>
        <v>0</v>
      </c>
      <c r="AJ52" s="38" t="str">
        <f t="shared" si="5"/>
        <v>Pendiente</v>
      </c>
    </row>
    <row r="53" spans="1:36" s="31" customFormat="1" ht="25.5" customHeight="1" x14ac:dyDescent="0.2">
      <c r="A53" s="32">
        <v>49</v>
      </c>
      <c r="B53" s="33" t="s">
        <v>65</v>
      </c>
      <c r="C53" s="32" t="s">
        <v>51</v>
      </c>
      <c r="D53" s="32" t="s">
        <v>57</v>
      </c>
      <c r="E53" s="32" t="s">
        <v>58</v>
      </c>
      <c r="F53" s="32">
        <v>1707</v>
      </c>
      <c r="G53" s="33" t="s">
        <v>59</v>
      </c>
      <c r="H53" s="32" t="s">
        <v>47</v>
      </c>
      <c r="I53" s="32"/>
      <c r="J53" s="34">
        <v>45400</v>
      </c>
      <c r="K53" s="34">
        <v>45400</v>
      </c>
      <c r="L53" s="32" t="s">
        <v>48</v>
      </c>
      <c r="M53" s="48">
        <v>113272.9718</v>
      </c>
      <c r="N53" s="48">
        <v>0</v>
      </c>
      <c r="O53" s="48">
        <v>0</v>
      </c>
      <c r="P53" s="48">
        <v>0</v>
      </c>
      <c r="Q53" s="48">
        <v>0</v>
      </c>
      <c r="R53" s="48">
        <v>0</v>
      </c>
      <c r="S53" s="48"/>
      <c r="T53" s="48">
        <f t="shared" si="0"/>
        <v>0</v>
      </c>
      <c r="U53" s="48">
        <f t="shared" si="1"/>
        <v>0</v>
      </c>
      <c r="V53" s="49">
        <f>+Tabla_Auditorias[[#This Row],[AJUSTE
EGRESO
COSTO]]+Tabla_Auditorias[[#This Row],[AJUSTE EGRESO
MAL ESTADO]]+Tabla_Auditorias[[#This Row],[AJUSTE
INGRESO
COSTO]]</f>
        <v>0</v>
      </c>
      <c r="W53" s="48">
        <v>0</v>
      </c>
      <c r="X53" s="48"/>
      <c r="Y53" s="48"/>
      <c r="Z53" s="48">
        <v>0</v>
      </c>
      <c r="AA53" s="50">
        <f>+SUM(Tabla_Auditorias[[#This Row],[AJUSTE
EGRESO
COSTO]:[AJUSTE
INGRESO
COSTO]])</f>
        <v>0</v>
      </c>
      <c r="AB53" s="36" t="str">
        <f t="shared" si="2"/>
        <v>BAJO</v>
      </c>
      <c r="AC53" s="37">
        <f t="shared" si="3"/>
        <v>0</v>
      </c>
      <c r="AD53" s="35">
        <v>0</v>
      </c>
      <c r="AE53" s="41" t="s">
        <v>49</v>
      </c>
      <c r="AF53" s="38" t="str">
        <f>IF(Tabla_Auditorias[[#This Row],[TOTAL
COSTO
NETO]]&lt;&gt;0,"Si","No")</f>
        <v>No</v>
      </c>
      <c r="AG53" s="39" t="s">
        <v>81</v>
      </c>
      <c r="AH53" s="40"/>
      <c r="AI53" s="51" t="str">
        <f t="shared" si="4"/>
        <v/>
      </c>
      <c r="AJ53" s="38" t="str">
        <f t="shared" si="5"/>
        <v>Pendiente</v>
      </c>
    </row>
    <row r="54" spans="1:36" s="31" customFormat="1" ht="25.5" customHeight="1" x14ac:dyDescent="0.2">
      <c r="A54" s="32">
        <v>50</v>
      </c>
      <c r="B54" s="33" t="s">
        <v>77</v>
      </c>
      <c r="C54" s="32" t="s">
        <v>43</v>
      </c>
      <c r="D54" s="32" t="s">
        <v>44</v>
      </c>
      <c r="E54" s="32" t="s">
        <v>58</v>
      </c>
      <c r="F54" s="32">
        <v>1313</v>
      </c>
      <c r="G54" s="33" t="s">
        <v>59</v>
      </c>
      <c r="H54" s="32" t="s">
        <v>47</v>
      </c>
      <c r="I54" s="32"/>
      <c r="J54" s="34">
        <v>45405</v>
      </c>
      <c r="K54" s="34">
        <v>45405</v>
      </c>
      <c r="L54" s="32" t="s">
        <v>48</v>
      </c>
      <c r="M54" s="48">
        <v>302216.59360000002</v>
      </c>
      <c r="N54" s="48">
        <v>157.97999999999999</v>
      </c>
      <c r="O54" s="48">
        <v>-306.73</v>
      </c>
      <c r="P54" s="48">
        <v>-3.0700000000000101</v>
      </c>
      <c r="Q54" s="48">
        <v>-21.4</v>
      </c>
      <c r="R54" s="48">
        <v>0</v>
      </c>
      <c r="S54" s="48"/>
      <c r="T54" s="48">
        <f t="shared" si="0"/>
        <v>-173.22000000000006</v>
      </c>
      <c r="U54" s="48">
        <f t="shared" si="1"/>
        <v>-173.22000000000006</v>
      </c>
      <c r="V54" s="49">
        <f>+Tabla_Auditorias[[#This Row],[AJUSTE
EGRESO
COSTO]]+Tabla_Auditorias[[#This Row],[AJUSTE EGRESO
MAL ESTADO]]+Tabla_Auditorias[[#This Row],[AJUSTE
INGRESO
COSTO]]</f>
        <v>-83.104287857142936</v>
      </c>
      <c r="W54" s="48">
        <v>-780.76160119047597</v>
      </c>
      <c r="X54" s="48"/>
      <c r="Y54" s="48"/>
      <c r="Z54" s="48">
        <v>697.65731333333304</v>
      </c>
      <c r="AA54" s="50">
        <f>+SUM(Tabla_Auditorias[[#This Row],[AJUSTE
EGRESO
COSTO]:[AJUSTE
INGRESO
COSTO]])</f>
        <v>-83.104287857142936</v>
      </c>
      <c r="AB54" s="36" t="str">
        <f t="shared" si="2"/>
        <v>MEDIO</v>
      </c>
      <c r="AC54" s="37">
        <f t="shared" si="3"/>
        <v>25</v>
      </c>
      <c r="AD54" s="35">
        <v>0</v>
      </c>
      <c r="AE54" s="41" t="s">
        <v>49</v>
      </c>
      <c r="AF54" s="38" t="str">
        <f>IF(Tabla_Auditorias[[#This Row],[TOTAL
COSTO
NETO]]&lt;&gt;0,"Si","No")</f>
        <v>Si</v>
      </c>
      <c r="AG54" s="39" t="s">
        <v>127</v>
      </c>
      <c r="AH54" s="40"/>
      <c r="AI54" s="51">
        <f t="shared" si="4"/>
        <v>0</v>
      </c>
      <c r="AJ54" s="38" t="str">
        <f t="shared" si="5"/>
        <v>Pendiente</v>
      </c>
    </row>
    <row r="55" spans="1:36" s="31" customFormat="1" ht="25.5" customHeight="1" x14ac:dyDescent="0.2">
      <c r="A55" s="32">
        <v>51</v>
      </c>
      <c r="B55" s="33" t="s">
        <v>85</v>
      </c>
      <c r="C55" s="32" t="s">
        <v>43</v>
      </c>
      <c r="D55" s="32" t="s">
        <v>44</v>
      </c>
      <c r="E55" s="32" t="s">
        <v>53</v>
      </c>
      <c r="F55" s="32">
        <v>1481</v>
      </c>
      <c r="G55" s="33" t="s">
        <v>54</v>
      </c>
      <c r="H55" s="32" t="s">
        <v>47</v>
      </c>
      <c r="I55" s="32"/>
      <c r="J55" s="34">
        <v>45411</v>
      </c>
      <c r="K55" s="34">
        <v>45411</v>
      </c>
      <c r="L55" s="32" t="s">
        <v>48</v>
      </c>
      <c r="M55" s="48">
        <v>58286.91</v>
      </c>
      <c r="N55" s="48">
        <v>239.63</v>
      </c>
      <c r="O55" s="48">
        <v>-507.82</v>
      </c>
      <c r="P55" s="48">
        <v>0</v>
      </c>
      <c r="Q55" s="48">
        <v>0</v>
      </c>
      <c r="R55" s="48">
        <v>-144.66</v>
      </c>
      <c r="S55" s="48"/>
      <c r="T55" s="48">
        <f t="shared" si="0"/>
        <v>-412.85</v>
      </c>
      <c r="U55" s="48">
        <f t="shared" si="1"/>
        <v>-268.19</v>
      </c>
      <c r="V55" s="49">
        <f>+Tabla_Auditorias[[#This Row],[AJUSTE
EGRESO
COSTO]]+Tabla_Auditorias[[#This Row],[AJUSTE EGRESO
MAL ESTADO]]+Tabla_Auditorias[[#This Row],[AJUSTE
INGRESO
COSTO]]</f>
        <v>-309.67999999999995</v>
      </c>
      <c r="W55" s="48">
        <v>-443.71</v>
      </c>
      <c r="X55" s="48"/>
      <c r="Y55" s="48"/>
      <c r="Z55" s="48">
        <v>134.03</v>
      </c>
      <c r="AA55" s="50">
        <f>+SUM(Tabla_Auditorias[[#This Row],[AJUSTE
EGRESO
COSTO]:[AJUSTE
INGRESO
COSTO]])</f>
        <v>-309.67999999999995</v>
      </c>
      <c r="AB55" s="36" t="str">
        <f t="shared" si="2"/>
        <v>MEDIO</v>
      </c>
      <c r="AC55" s="37">
        <f t="shared" si="3"/>
        <v>30</v>
      </c>
      <c r="AD55" s="35">
        <v>0</v>
      </c>
      <c r="AE55" s="41" t="s">
        <v>49</v>
      </c>
      <c r="AF55" s="38" t="str">
        <f>IF(Tabla_Auditorias[[#This Row],[TOTAL
COSTO
NETO]]&lt;&gt;0,"Si","No")</f>
        <v>Si</v>
      </c>
      <c r="AG55" s="39" t="s">
        <v>128</v>
      </c>
      <c r="AH55" s="40"/>
      <c r="AI55" s="51">
        <f t="shared" si="4"/>
        <v>0</v>
      </c>
      <c r="AJ55" s="38" t="str">
        <f t="shared" si="5"/>
        <v>Pendiente</v>
      </c>
    </row>
    <row r="56" spans="1:36" s="31" customFormat="1" ht="25.5" customHeight="1" x14ac:dyDescent="0.2">
      <c r="A56" s="32">
        <v>52</v>
      </c>
      <c r="B56" s="33" t="s">
        <v>129</v>
      </c>
      <c r="C56" s="32" t="s">
        <v>51</v>
      </c>
      <c r="D56" s="32" t="s">
        <v>57</v>
      </c>
      <c r="E56" s="32" t="s">
        <v>45</v>
      </c>
      <c r="F56" s="32">
        <v>1712</v>
      </c>
      <c r="G56" s="33" t="s">
        <v>46</v>
      </c>
      <c r="H56" s="32" t="s">
        <v>47</v>
      </c>
      <c r="I56" s="32"/>
      <c r="J56" s="34">
        <v>45412</v>
      </c>
      <c r="K56" s="34">
        <v>45412</v>
      </c>
      <c r="L56" s="32" t="s">
        <v>48</v>
      </c>
      <c r="M56" s="48">
        <v>95745.623300000021</v>
      </c>
      <c r="N56" s="48">
        <v>27.48</v>
      </c>
      <c r="O56" s="48">
        <v>-2.58</v>
      </c>
      <c r="P56" s="48">
        <v>-11.4</v>
      </c>
      <c r="Q56" s="48">
        <v>0</v>
      </c>
      <c r="R56" s="48">
        <v>0</v>
      </c>
      <c r="S56" s="48"/>
      <c r="T56" s="48">
        <f t="shared" si="0"/>
        <v>13.499999999999998</v>
      </c>
      <c r="U56" s="48">
        <f t="shared" si="1"/>
        <v>13.499999999999998</v>
      </c>
      <c r="V56" s="49">
        <f>+Tabla_Auditorias[[#This Row],[AJUSTE
EGRESO
COSTO]]+Tabla_Auditorias[[#This Row],[AJUSTE EGRESO
MAL ESTADO]]+Tabla_Auditorias[[#This Row],[AJUSTE
INGRESO
COSTO]]</f>
        <v>-31.260185488721731</v>
      </c>
      <c r="W56" s="48">
        <v>-625.52694285714279</v>
      </c>
      <c r="X56" s="48"/>
      <c r="Y56" s="48"/>
      <c r="Z56" s="48">
        <v>594.26675736842105</v>
      </c>
      <c r="AA56" s="50">
        <f>+SUM(Tabla_Auditorias[[#This Row],[AJUSTE
EGRESO
COSTO]:[AJUSTE
INGRESO
COSTO]])</f>
        <v>-31.260185488721731</v>
      </c>
      <c r="AB56" s="36" t="str">
        <f t="shared" si="2"/>
        <v>MEDIO</v>
      </c>
      <c r="AC56" s="37">
        <f t="shared" si="3"/>
        <v>20</v>
      </c>
      <c r="AD56" s="35">
        <v>0</v>
      </c>
      <c r="AE56" s="41" t="s">
        <v>49</v>
      </c>
      <c r="AF56" s="38" t="str">
        <f>IF(Tabla_Auditorias[[#This Row],[TOTAL
COSTO
NETO]]&lt;&gt;0,"Si","No")</f>
        <v>Si</v>
      </c>
      <c r="AG56" s="39"/>
      <c r="AH56" s="40"/>
      <c r="AI56" s="51">
        <f t="shared" si="4"/>
        <v>0</v>
      </c>
      <c r="AJ56" s="38" t="str">
        <f t="shared" si="5"/>
        <v>Pendiente</v>
      </c>
    </row>
    <row r="57" spans="1:36" s="31" customFormat="1" ht="25.5" customHeight="1" x14ac:dyDescent="0.2">
      <c r="A57" s="32">
        <v>53</v>
      </c>
      <c r="B57" s="33" t="s">
        <v>76</v>
      </c>
      <c r="C57" s="32" t="s">
        <v>51</v>
      </c>
      <c r="D57" s="32" t="s">
        <v>52</v>
      </c>
      <c r="E57" s="32" t="s">
        <v>45</v>
      </c>
      <c r="F57" s="32">
        <v>1733</v>
      </c>
      <c r="G57" s="33" t="s">
        <v>46</v>
      </c>
      <c r="H57" s="32" t="s">
        <v>47</v>
      </c>
      <c r="I57" s="32"/>
      <c r="J57" s="34">
        <v>45413</v>
      </c>
      <c r="K57" s="34">
        <v>45413</v>
      </c>
      <c r="L57" s="32" t="s">
        <v>48</v>
      </c>
      <c r="M57" s="48">
        <v>56546.1587</v>
      </c>
      <c r="N57" s="48">
        <v>0</v>
      </c>
      <c r="O57" s="48">
        <v>-25.76</v>
      </c>
      <c r="P57" s="48">
        <v>0</v>
      </c>
      <c r="Q57" s="48">
        <v>0</v>
      </c>
      <c r="R57" s="48">
        <v>0</v>
      </c>
      <c r="S57" s="48"/>
      <c r="T57" s="48">
        <f t="shared" si="0"/>
        <v>-25.76</v>
      </c>
      <c r="U57" s="48">
        <f t="shared" si="1"/>
        <v>-25.76</v>
      </c>
      <c r="V57" s="49">
        <f>+Tabla_Auditorias[[#This Row],[AJUSTE
EGRESO
COSTO]]+Tabla_Auditorias[[#This Row],[AJUSTE EGRESO
MAL ESTADO]]+Tabla_Auditorias[[#This Row],[AJUSTE
INGRESO
COSTO]]</f>
        <v>-18.371400000000001</v>
      </c>
      <c r="W57" s="48">
        <v>-18.371400000000001</v>
      </c>
      <c r="X57" s="48"/>
      <c r="Y57" s="48"/>
      <c r="Z57" s="48">
        <v>0</v>
      </c>
      <c r="AA57" s="50">
        <f>+SUM(Tabla_Auditorias[[#This Row],[AJUSTE
EGRESO
COSTO]:[AJUSTE
INGRESO
COSTO]])</f>
        <v>-18.371400000000001</v>
      </c>
      <c r="AB57" s="36" t="str">
        <f t="shared" si="2"/>
        <v>MEDIO</v>
      </c>
      <c r="AC57" s="37">
        <f t="shared" si="3"/>
        <v>20</v>
      </c>
      <c r="AD57" s="35">
        <v>0</v>
      </c>
      <c r="AE57" s="41" t="s">
        <v>49</v>
      </c>
      <c r="AF57" s="38" t="str">
        <f>IF(Tabla_Auditorias[[#This Row],[TOTAL
COSTO
NETO]]&lt;&gt;0,"Si","No")</f>
        <v>Si</v>
      </c>
      <c r="AG57" s="39"/>
      <c r="AH57" s="40"/>
      <c r="AI57" s="51">
        <f t="shared" si="4"/>
        <v>0</v>
      </c>
      <c r="AJ57" s="38" t="str">
        <f t="shared" si="5"/>
        <v>Pendiente</v>
      </c>
    </row>
    <row r="58" spans="1:36" s="31" customFormat="1" ht="25.5" customHeight="1" x14ac:dyDescent="0.2">
      <c r="A58" s="32">
        <v>54</v>
      </c>
      <c r="B58" s="33" t="s">
        <v>63</v>
      </c>
      <c r="C58" s="32" t="s">
        <v>51</v>
      </c>
      <c r="D58" s="32" t="s">
        <v>64</v>
      </c>
      <c r="E58" s="32" t="s">
        <v>53</v>
      </c>
      <c r="F58" s="32">
        <v>1729</v>
      </c>
      <c r="G58" s="33" t="s">
        <v>54</v>
      </c>
      <c r="H58" s="32" t="s">
        <v>47</v>
      </c>
      <c r="I58" s="32"/>
      <c r="J58" s="34">
        <v>45413</v>
      </c>
      <c r="K58" s="34">
        <v>45413</v>
      </c>
      <c r="L58" s="32" t="s">
        <v>48</v>
      </c>
      <c r="M58" s="48">
        <v>211648.48</v>
      </c>
      <c r="N58" s="48">
        <v>0</v>
      </c>
      <c r="O58" s="48">
        <v>0</v>
      </c>
      <c r="P58" s="48">
        <v>0</v>
      </c>
      <c r="Q58" s="48">
        <v>0</v>
      </c>
      <c r="R58" s="48">
        <v>0</v>
      </c>
      <c r="S58" s="48"/>
      <c r="T58" s="48">
        <f t="shared" si="0"/>
        <v>0</v>
      </c>
      <c r="U58" s="48">
        <f t="shared" si="1"/>
        <v>0</v>
      </c>
      <c r="V58" s="49">
        <f>+Tabla_Auditorias[[#This Row],[AJUSTE
EGRESO
COSTO]]+Tabla_Auditorias[[#This Row],[AJUSTE EGRESO
MAL ESTADO]]+Tabla_Auditorias[[#This Row],[AJUSTE
INGRESO
COSTO]]</f>
        <v>0</v>
      </c>
      <c r="W58" s="48">
        <v>0</v>
      </c>
      <c r="X58" s="48"/>
      <c r="Y58" s="48"/>
      <c r="Z58" s="48">
        <v>0</v>
      </c>
      <c r="AA58" s="50">
        <f>+SUM(Tabla_Auditorias[[#This Row],[AJUSTE
EGRESO
COSTO]:[AJUSTE
INGRESO
COSTO]])</f>
        <v>0</v>
      </c>
      <c r="AB58" s="36" t="str">
        <f t="shared" si="2"/>
        <v>BAJO</v>
      </c>
      <c r="AC58" s="37">
        <f t="shared" si="3"/>
        <v>0</v>
      </c>
      <c r="AD58" s="35">
        <v>0</v>
      </c>
      <c r="AE58" s="41" t="s">
        <v>49</v>
      </c>
      <c r="AF58" s="38" t="str">
        <f>IF(Tabla_Auditorias[[#This Row],[TOTAL
COSTO
NETO]]&lt;&gt;0,"Si","No")</f>
        <v>No</v>
      </c>
      <c r="AG58" s="39" t="s">
        <v>55</v>
      </c>
      <c r="AH58" s="40"/>
      <c r="AI58" s="51" t="str">
        <f t="shared" si="4"/>
        <v/>
      </c>
      <c r="AJ58" s="38" t="str">
        <f t="shared" si="5"/>
        <v>Pendiente</v>
      </c>
    </row>
    <row r="59" spans="1:36" s="31" customFormat="1" ht="25.5" customHeight="1" x14ac:dyDescent="0.2">
      <c r="A59" s="32">
        <v>55</v>
      </c>
      <c r="B59" s="33" t="s">
        <v>118</v>
      </c>
      <c r="C59" s="32" t="s">
        <v>43</v>
      </c>
      <c r="D59" s="32" t="s">
        <v>44</v>
      </c>
      <c r="E59" s="32" t="s">
        <v>53</v>
      </c>
      <c r="F59" s="32">
        <v>1478</v>
      </c>
      <c r="G59" s="33" t="s">
        <v>54</v>
      </c>
      <c r="H59" s="32" t="s">
        <v>47</v>
      </c>
      <c r="I59" s="32"/>
      <c r="J59" s="34">
        <v>45418</v>
      </c>
      <c r="K59" s="34">
        <v>45418</v>
      </c>
      <c r="L59" s="32" t="s">
        <v>48</v>
      </c>
      <c r="M59" s="48">
        <v>127349.56</v>
      </c>
      <c r="N59" s="48">
        <v>951.7</v>
      </c>
      <c r="O59" s="48">
        <v>-739.89</v>
      </c>
      <c r="P59" s="48">
        <v>0</v>
      </c>
      <c r="Q59" s="48">
        <v>-157.35</v>
      </c>
      <c r="R59" s="48">
        <v>218</v>
      </c>
      <c r="S59" s="48"/>
      <c r="T59" s="48">
        <f t="shared" si="0"/>
        <v>272.46000000000004</v>
      </c>
      <c r="U59" s="48">
        <f t="shared" si="1"/>
        <v>54.460000000000065</v>
      </c>
      <c r="V59" s="49">
        <f>+Tabla_Auditorias[[#This Row],[AJUSTE
EGRESO
COSTO]]+Tabla_Auditorias[[#This Row],[AJUSTE EGRESO
MAL ESTADO]]+Tabla_Auditorias[[#This Row],[AJUSTE
INGRESO
COSTO]]</f>
        <v>352.94000000000005</v>
      </c>
      <c r="W59" s="48">
        <v>-598.76</v>
      </c>
      <c r="X59" s="48"/>
      <c r="Y59" s="48"/>
      <c r="Z59" s="48">
        <v>951.7</v>
      </c>
      <c r="AA59" s="50">
        <f>+SUM(Tabla_Auditorias[[#This Row],[AJUSTE
EGRESO
COSTO]:[AJUSTE
INGRESO
COSTO]])</f>
        <v>352.94000000000005</v>
      </c>
      <c r="AB59" s="36" t="str">
        <f t="shared" si="2"/>
        <v>MEDIO</v>
      </c>
      <c r="AC59" s="37">
        <f t="shared" si="3"/>
        <v>25</v>
      </c>
      <c r="AD59" s="35">
        <v>0</v>
      </c>
      <c r="AE59" s="41" t="s">
        <v>49</v>
      </c>
      <c r="AF59" s="38" t="str">
        <f>IF(Tabla_Auditorias[[#This Row],[TOTAL
COSTO
NETO]]&lt;&gt;0,"Si","No")</f>
        <v>Si</v>
      </c>
      <c r="AG59" s="39" t="s">
        <v>130</v>
      </c>
      <c r="AH59" s="40"/>
      <c r="AI59" s="51" t="str">
        <f t="shared" si="4"/>
        <v/>
      </c>
      <c r="AJ59" s="38" t="str">
        <f t="shared" si="5"/>
        <v>No Aplica</v>
      </c>
    </row>
    <row r="60" spans="1:36" s="31" customFormat="1" ht="25.5" customHeight="1" x14ac:dyDescent="0.2">
      <c r="A60" s="32">
        <v>56</v>
      </c>
      <c r="B60" s="33" t="s">
        <v>131</v>
      </c>
      <c r="C60" s="32" t="s">
        <v>51</v>
      </c>
      <c r="D60" s="32" t="s">
        <v>57</v>
      </c>
      <c r="E60" s="32" t="s">
        <v>45</v>
      </c>
      <c r="F60" s="32">
        <v>1703</v>
      </c>
      <c r="G60" s="33" t="s">
        <v>46</v>
      </c>
      <c r="H60" s="32" t="s">
        <v>47</v>
      </c>
      <c r="I60" s="32"/>
      <c r="J60" s="34">
        <v>45420</v>
      </c>
      <c r="K60" s="34">
        <v>45420</v>
      </c>
      <c r="L60" s="32" t="s">
        <v>48</v>
      </c>
      <c r="M60" s="48">
        <v>85226.693599999999</v>
      </c>
      <c r="N60" s="48">
        <v>6.519999999999996</v>
      </c>
      <c r="O60" s="48">
        <v>0</v>
      </c>
      <c r="P60" s="48">
        <v>0</v>
      </c>
      <c r="Q60" s="48">
        <v>0</v>
      </c>
      <c r="R60" s="48">
        <v>0</v>
      </c>
      <c r="S60" s="48"/>
      <c r="T60" s="48">
        <f t="shared" si="0"/>
        <v>6.519999999999996</v>
      </c>
      <c r="U60" s="48">
        <f t="shared" si="1"/>
        <v>6.519999999999996</v>
      </c>
      <c r="V60" s="49">
        <f>+Tabla_Auditorias[[#This Row],[AJUSTE
EGRESO
COSTO]]+Tabla_Auditorias[[#This Row],[AJUSTE EGRESO
MAL ESTADO]]+Tabla_Auditorias[[#This Row],[AJUSTE
INGRESO
COSTO]]</f>
        <v>4.5840000000000032</v>
      </c>
      <c r="W60" s="48">
        <v>-180.77600000000001</v>
      </c>
      <c r="X60" s="48"/>
      <c r="Y60" s="48"/>
      <c r="Z60" s="48">
        <v>185.36</v>
      </c>
      <c r="AA60" s="50">
        <f>+SUM(Tabla_Auditorias[[#This Row],[AJUSTE
EGRESO
COSTO]:[AJUSTE
INGRESO
COSTO]])</f>
        <v>4.5840000000000032</v>
      </c>
      <c r="AB60" s="36" t="str">
        <f t="shared" si="2"/>
        <v>BAJO</v>
      </c>
      <c r="AC60" s="37">
        <f t="shared" si="3"/>
        <v>10</v>
      </c>
      <c r="AD60" s="35">
        <v>0</v>
      </c>
      <c r="AE60" s="41" t="s">
        <v>49</v>
      </c>
      <c r="AF60" s="38" t="str">
        <f>IF(Tabla_Auditorias[[#This Row],[TOTAL
COSTO
NETO]]&lt;&gt;0,"Si","No")</f>
        <v>Si</v>
      </c>
      <c r="AG60" s="39"/>
      <c r="AH60" s="40"/>
      <c r="AI60" s="51" t="str">
        <f t="shared" si="4"/>
        <v/>
      </c>
      <c r="AJ60" s="38" t="str">
        <f t="shared" si="5"/>
        <v>No Aplica</v>
      </c>
    </row>
    <row r="61" spans="1:36" s="31" customFormat="1" ht="25.5" customHeight="1" x14ac:dyDescent="0.2">
      <c r="A61" s="32">
        <v>57</v>
      </c>
      <c r="B61" s="33" t="s">
        <v>96</v>
      </c>
      <c r="C61" s="32" t="s">
        <v>51</v>
      </c>
      <c r="D61" s="32" t="s">
        <v>57</v>
      </c>
      <c r="E61" s="32" t="s">
        <v>45</v>
      </c>
      <c r="F61" s="32">
        <v>1711</v>
      </c>
      <c r="G61" s="33" t="s">
        <v>46</v>
      </c>
      <c r="H61" s="32" t="s">
        <v>47</v>
      </c>
      <c r="I61" s="32"/>
      <c r="J61" s="34">
        <v>45422</v>
      </c>
      <c r="K61" s="34">
        <v>45422</v>
      </c>
      <c r="L61" s="32" t="s">
        <v>48</v>
      </c>
      <c r="M61" s="48">
        <v>45490.483299999971</v>
      </c>
      <c r="N61" s="48">
        <v>0</v>
      </c>
      <c r="O61" s="48">
        <v>-715.89</v>
      </c>
      <c r="P61" s="48">
        <v>11.05</v>
      </c>
      <c r="Q61" s="48">
        <v>0</v>
      </c>
      <c r="R61" s="48">
        <v>0</v>
      </c>
      <c r="S61" s="48"/>
      <c r="T61" s="48">
        <f t="shared" si="0"/>
        <v>-704.84</v>
      </c>
      <c r="U61" s="48">
        <f t="shared" si="1"/>
        <v>-704.84</v>
      </c>
      <c r="V61" s="49">
        <f>+Tabla_Auditorias[[#This Row],[AJUSTE
EGRESO
COSTO]]+Tabla_Auditorias[[#This Row],[AJUSTE EGRESO
MAL ESTADO]]+Tabla_Auditorias[[#This Row],[AJUSTE
INGRESO
COSTO]]</f>
        <v>-347.0221433333333</v>
      </c>
      <c r="W61" s="48">
        <v>-449.29660999999999</v>
      </c>
      <c r="X61" s="48"/>
      <c r="Y61" s="48"/>
      <c r="Z61" s="48">
        <v>102.2744666666667</v>
      </c>
      <c r="AA61" s="50">
        <f>+SUM(Tabla_Auditorias[[#This Row],[AJUSTE
EGRESO
COSTO]:[AJUSTE
INGRESO
COSTO]])</f>
        <v>-347.0221433333333</v>
      </c>
      <c r="AB61" s="36" t="str">
        <f t="shared" si="2"/>
        <v>ALTO</v>
      </c>
      <c r="AC61" s="37">
        <f t="shared" si="3"/>
        <v>47</v>
      </c>
      <c r="AD61" s="35">
        <v>0</v>
      </c>
      <c r="AE61" s="41" t="s">
        <v>49</v>
      </c>
      <c r="AF61" s="38" t="str">
        <f>IF(Tabla_Auditorias[[#This Row],[TOTAL
COSTO
NETO]]&lt;&gt;0,"Si","No")</f>
        <v>Si</v>
      </c>
      <c r="AG61" s="39"/>
      <c r="AH61" s="40"/>
      <c r="AI61" s="51">
        <f t="shared" si="4"/>
        <v>0</v>
      </c>
      <c r="AJ61" s="38" t="str">
        <f t="shared" si="5"/>
        <v>Pendiente</v>
      </c>
    </row>
    <row r="62" spans="1:36" s="31" customFormat="1" ht="25.5" customHeight="1" x14ac:dyDescent="0.2">
      <c r="A62" s="32">
        <v>58</v>
      </c>
      <c r="B62" s="33" t="s">
        <v>74</v>
      </c>
      <c r="C62" s="32" t="s">
        <v>51</v>
      </c>
      <c r="D62" s="32" t="s">
        <v>57</v>
      </c>
      <c r="E62" s="32" t="s">
        <v>58</v>
      </c>
      <c r="F62" s="32">
        <v>1700</v>
      </c>
      <c r="G62" s="33" t="s">
        <v>59</v>
      </c>
      <c r="H62" s="32" t="s">
        <v>47</v>
      </c>
      <c r="I62" s="32"/>
      <c r="J62" s="34">
        <v>45425</v>
      </c>
      <c r="K62" s="34">
        <v>45425</v>
      </c>
      <c r="L62" s="32" t="s">
        <v>48</v>
      </c>
      <c r="M62" s="48">
        <v>148003.6373</v>
      </c>
      <c r="N62" s="48">
        <v>3.98</v>
      </c>
      <c r="O62" s="48">
        <v>-73.099999999999994</v>
      </c>
      <c r="P62" s="48">
        <v>-10</v>
      </c>
      <c r="Q62" s="48">
        <v>0</v>
      </c>
      <c r="R62" s="48">
        <v>0</v>
      </c>
      <c r="S62" s="48"/>
      <c r="T62" s="48">
        <f t="shared" si="0"/>
        <v>-79.11999999999999</v>
      </c>
      <c r="U62" s="48">
        <f t="shared" si="1"/>
        <v>-79.11999999999999</v>
      </c>
      <c r="V62" s="49">
        <f>+Tabla_Auditorias[[#This Row],[AJUSTE
EGRESO
COSTO]]+Tabla_Auditorias[[#This Row],[AJUSTE EGRESO
MAL ESTADO]]+Tabla_Auditorias[[#This Row],[AJUSTE
INGRESO
COSTO]]</f>
        <v>-59.267150000000015</v>
      </c>
      <c r="W62" s="48">
        <v>-213.02105</v>
      </c>
      <c r="X62" s="48"/>
      <c r="Y62" s="48"/>
      <c r="Z62" s="48">
        <v>153.75389999999999</v>
      </c>
      <c r="AA62" s="50">
        <f>+SUM(Tabla_Auditorias[[#This Row],[AJUSTE
EGRESO
COSTO]:[AJUSTE
INGRESO
COSTO]])</f>
        <v>-59.267150000000015</v>
      </c>
      <c r="AB62" s="36" t="str">
        <f t="shared" si="2"/>
        <v>MEDIO</v>
      </c>
      <c r="AC62" s="37">
        <f t="shared" si="3"/>
        <v>20</v>
      </c>
      <c r="AD62" s="35">
        <v>0</v>
      </c>
      <c r="AE62" s="41" t="s">
        <v>49</v>
      </c>
      <c r="AF62" s="38" t="str">
        <f>IF(Tabla_Auditorias[[#This Row],[TOTAL
COSTO
NETO]]&lt;&gt;0,"Si","No")</f>
        <v>Si</v>
      </c>
      <c r="AG62" s="39" t="s">
        <v>132</v>
      </c>
      <c r="AH62" s="40"/>
      <c r="AI62" s="51">
        <f t="shared" si="4"/>
        <v>0</v>
      </c>
      <c r="AJ62" s="38" t="str">
        <f t="shared" si="5"/>
        <v>Pendiente</v>
      </c>
    </row>
    <row r="63" spans="1:36" s="31" customFormat="1" ht="25.5" customHeight="1" x14ac:dyDescent="0.2">
      <c r="A63" s="32">
        <v>59</v>
      </c>
      <c r="B63" s="33" t="s">
        <v>82</v>
      </c>
      <c r="C63" s="32" t="s">
        <v>43</v>
      </c>
      <c r="D63" s="32" t="s">
        <v>44</v>
      </c>
      <c r="E63" s="32" t="s">
        <v>45</v>
      </c>
      <c r="F63" s="32">
        <v>1320</v>
      </c>
      <c r="G63" s="33" t="s">
        <v>46</v>
      </c>
      <c r="H63" s="32" t="s">
        <v>47</v>
      </c>
      <c r="I63" s="32"/>
      <c r="J63" s="34">
        <v>45428</v>
      </c>
      <c r="K63" s="34">
        <v>45428</v>
      </c>
      <c r="L63" s="32" t="s">
        <v>48</v>
      </c>
      <c r="M63" s="48">
        <v>244496.93080000009</v>
      </c>
      <c r="N63" s="48">
        <v>243.9</v>
      </c>
      <c r="O63" s="48">
        <v>-1207.940000000001</v>
      </c>
      <c r="P63" s="48">
        <v>-146.44999999999999</v>
      </c>
      <c r="Q63" s="48">
        <v>0</v>
      </c>
      <c r="R63" s="48">
        <v>0</v>
      </c>
      <c r="S63" s="48"/>
      <c r="T63" s="48">
        <f t="shared" si="0"/>
        <v>-1110.4900000000009</v>
      </c>
      <c r="U63" s="48">
        <f t="shared" si="1"/>
        <v>-1110.4900000000009</v>
      </c>
      <c r="V63" s="49">
        <f>+Tabla_Auditorias[[#This Row],[AJUSTE
EGRESO
COSTO]]+Tabla_Auditorias[[#This Row],[AJUSTE EGRESO
MAL ESTADO]]+Tabla_Auditorias[[#This Row],[AJUSTE
INGRESO
COSTO]]</f>
        <v>-688.04666559523707</v>
      </c>
      <c r="W63" s="48">
        <v>-1907.343673928571</v>
      </c>
      <c r="X63" s="48"/>
      <c r="Y63" s="48"/>
      <c r="Z63" s="48">
        <v>1219.2970083333339</v>
      </c>
      <c r="AA63" s="50">
        <f>+SUM(Tabla_Auditorias[[#This Row],[AJUSTE
EGRESO
COSTO]:[AJUSTE
INGRESO
COSTO]])</f>
        <v>-688.04666559523707</v>
      </c>
      <c r="AB63" s="36" t="str">
        <f t="shared" si="2"/>
        <v>MEDIO</v>
      </c>
      <c r="AC63" s="37">
        <f t="shared" si="3"/>
        <v>32</v>
      </c>
      <c r="AD63" s="35">
        <v>0</v>
      </c>
      <c r="AE63" s="41" t="s">
        <v>49</v>
      </c>
      <c r="AF63" s="38" t="str">
        <f>IF(Tabla_Auditorias[[#This Row],[TOTAL
COSTO
NETO]]&lt;&gt;0,"Si","No")</f>
        <v>Si</v>
      </c>
      <c r="AG63" s="39"/>
      <c r="AH63" s="40"/>
      <c r="AI63" s="51">
        <f t="shared" si="4"/>
        <v>0</v>
      </c>
      <c r="AJ63" s="38" t="str">
        <f t="shared" si="5"/>
        <v>Pendiente</v>
      </c>
    </row>
    <row r="64" spans="1:36" s="31" customFormat="1" ht="25.5" customHeight="1" x14ac:dyDescent="0.2">
      <c r="A64" s="32">
        <v>60</v>
      </c>
      <c r="B64" s="33" t="s">
        <v>94</v>
      </c>
      <c r="C64" s="32" t="s">
        <v>43</v>
      </c>
      <c r="D64" s="32" t="s">
        <v>44</v>
      </c>
      <c r="E64" s="32" t="s">
        <v>53</v>
      </c>
      <c r="F64" s="32">
        <v>1502</v>
      </c>
      <c r="G64" s="33" t="s">
        <v>54</v>
      </c>
      <c r="H64" s="32" t="s">
        <v>47</v>
      </c>
      <c r="I64" s="32"/>
      <c r="J64" s="34">
        <v>45429</v>
      </c>
      <c r="K64" s="34">
        <v>45429</v>
      </c>
      <c r="L64" s="32" t="s">
        <v>48</v>
      </c>
      <c r="M64" s="48">
        <v>233779.43</v>
      </c>
      <c r="N64" s="48">
        <v>17.18</v>
      </c>
      <c r="O64" s="48">
        <v>-858.63</v>
      </c>
      <c r="P64" s="48">
        <v>0</v>
      </c>
      <c r="Q64" s="48">
        <v>-82.62</v>
      </c>
      <c r="R64" s="48">
        <v>0</v>
      </c>
      <c r="S64" s="48"/>
      <c r="T64" s="48">
        <f t="shared" si="0"/>
        <v>-924.07</v>
      </c>
      <c r="U64" s="48">
        <f t="shared" si="1"/>
        <v>-924.07</v>
      </c>
      <c r="V64" s="49">
        <f>+Tabla_Auditorias[[#This Row],[AJUSTE
EGRESO
COSTO]]+Tabla_Auditorias[[#This Row],[AJUSTE EGRESO
MAL ESTADO]]+Tabla_Auditorias[[#This Row],[AJUSTE
INGRESO
COSTO]]</f>
        <v>-488.5</v>
      </c>
      <c r="W64" s="48">
        <v>-496.27</v>
      </c>
      <c r="X64" s="48"/>
      <c r="Y64" s="48"/>
      <c r="Z64" s="48">
        <v>7.77</v>
      </c>
      <c r="AA64" s="50">
        <f>+SUM(Tabla_Auditorias[[#This Row],[AJUSTE
EGRESO
COSTO]:[AJUSTE
INGRESO
COSTO]])</f>
        <v>-488.5</v>
      </c>
      <c r="AB64" s="36" t="str">
        <f t="shared" si="2"/>
        <v>ALTO</v>
      </c>
      <c r="AC64" s="37">
        <f t="shared" si="3"/>
        <v>37</v>
      </c>
      <c r="AD64" s="35">
        <v>0</v>
      </c>
      <c r="AE64" s="41" t="s">
        <v>49</v>
      </c>
      <c r="AF64" s="38" t="str">
        <f>IF(Tabla_Auditorias[[#This Row],[TOTAL
COSTO
NETO]]&lt;&gt;0,"Si","No")</f>
        <v>Si</v>
      </c>
      <c r="AG64" s="39" t="s">
        <v>133</v>
      </c>
      <c r="AH64" s="40"/>
      <c r="AI64" s="51">
        <f t="shared" si="4"/>
        <v>0</v>
      </c>
      <c r="AJ64" s="38" t="str">
        <f t="shared" si="5"/>
        <v>Pendiente</v>
      </c>
    </row>
    <row r="65" spans="1:36" s="31" customFormat="1" ht="25.5" customHeight="1" x14ac:dyDescent="0.2">
      <c r="A65" s="32">
        <v>61</v>
      </c>
      <c r="B65" s="33" t="s">
        <v>134</v>
      </c>
      <c r="C65" s="32" t="s">
        <v>43</v>
      </c>
      <c r="D65" s="32" t="s">
        <v>44</v>
      </c>
      <c r="E65" s="32" t="s">
        <v>45</v>
      </c>
      <c r="F65" s="32">
        <v>1314</v>
      </c>
      <c r="G65" s="33" t="s">
        <v>46</v>
      </c>
      <c r="H65" s="32" t="s">
        <v>47</v>
      </c>
      <c r="I65" s="32"/>
      <c r="J65" s="34">
        <v>45432</v>
      </c>
      <c r="K65" s="34">
        <v>45432</v>
      </c>
      <c r="L65" s="32" t="s">
        <v>48</v>
      </c>
      <c r="M65" s="48">
        <v>536950.62450000097</v>
      </c>
      <c r="N65" s="48">
        <v>2049.3200000000002</v>
      </c>
      <c r="O65" s="48">
        <v>-1967.26</v>
      </c>
      <c r="P65" s="48">
        <v>292.2</v>
      </c>
      <c r="Q65" s="48">
        <v>-340.43999999999988</v>
      </c>
      <c r="R65" s="48">
        <v>0</v>
      </c>
      <c r="S65" s="48"/>
      <c r="T65" s="48">
        <f t="shared" si="0"/>
        <v>33.820000000000277</v>
      </c>
      <c r="U65" s="48">
        <f t="shared" si="1"/>
        <v>33.820000000000277</v>
      </c>
      <c r="V65" s="49">
        <f>+Tabla_Auditorias[[#This Row],[AJUSTE
EGRESO
COSTO]]+Tabla_Auditorias[[#This Row],[AJUSTE EGRESO
MAL ESTADO]]+Tabla_Auditorias[[#This Row],[AJUSTE
INGRESO
COSTO]]</f>
        <v>653.39909192204868</v>
      </c>
      <c r="W65" s="48">
        <v>-9781.6169973636606</v>
      </c>
      <c r="X65" s="48"/>
      <c r="Y65" s="48"/>
      <c r="Z65" s="48">
        <v>10435.016089285709</v>
      </c>
      <c r="AA65" s="50">
        <f>+SUM(Tabla_Auditorias[[#This Row],[AJUSTE
EGRESO
COSTO]:[AJUSTE
INGRESO
COSTO]])</f>
        <v>653.39909192204868</v>
      </c>
      <c r="AB65" s="36" t="str">
        <f t="shared" si="2"/>
        <v>MEDIO</v>
      </c>
      <c r="AC65" s="37">
        <f t="shared" si="3"/>
        <v>25</v>
      </c>
      <c r="AD65" s="35">
        <v>0</v>
      </c>
      <c r="AE65" s="41" t="s">
        <v>49</v>
      </c>
      <c r="AF65" s="38" t="str">
        <f>IF(Tabla_Auditorias[[#This Row],[TOTAL
COSTO
NETO]]&lt;&gt;0,"Si","No")</f>
        <v>Si</v>
      </c>
      <c r="AG65" s="39"/>
      <c r="AH65" s="40"/>
      <c r="AI65" s="51" t="str">
        <f t="shared" si="4"/>
        <v/>
      </c>
      <c r="AJ65" s="38" t="str">
        <f t="shared" si="5"/>
        <v>No Aplica</v>
      </c>
    </row>
    <row r="66" spans="1:36" s="31" customFormat="1" ht="25.5" customHeight="1" x14ac:dyDescent="0.2">
      <c r="A66" s="32">
        <v>62</v>
      </c>
      <c r="B66" s="33" t="s">
        <v>61</v>
      </c>
      <c r="C66" s="32" t="s">
        <v>43</v>
      </c>
      <c r="D66" s="32" t="s">
        <v>44</v>
      </c>
      <c r="E66" s="32" t="s">
        <v>53</v>
      </c>
      <c r="F66" s="32">
        <v>1484</v>
      </c>
      <c r="G66" s="33" t="s">
        <v>54</v>
      </c>
      <c r="H66" s="32" t="s">
        <v>47</v>
      </c>
      <c r="I66" s="32"/>
      <c r="J66" s="34">
        <v>45434</v>
      </c>
      <c r="K66" s="34">
        <v>45434</v>
      </c>
      <c r="L66" s="32" t="s">
        <v>48</v>
      </c>
      <c r="M66" s="48">
        <v>178932.26</v>
      </c>
      <c r="N66" s="48">
        <v>0</v>
      </c>
      <c r="O66" s="48">
        <v>0</v>
      </c>
      <c r="P66" s="48">
        <v>0</v>
      </c>
      <c r="Q66" s="48">
        <v>-14.53</v>
      </c>
      <c r="R66" s="48">
        <v>0</v>
      </c>
      <c r="S66" s="48"/>
      <c r="T66" s="48">
        <f t="shared" si="0"/>
        <v>-14.53</v>
      </c>
      <c r="U66" s="48">
        <f t="shared" si="1"/>
        <v>-14.53</v>
      </c>
      <c r="V66" s="49">
        <f>+Tabla_Auditorias[[#This Row],[AJUSTE
EGRESO
COSTO]]+Tabla_Auditorias[[#This Row],[AJUSTE EGRESO
MAL ESTADO]]+Tabla_Auditorias[[#This Row],[AJUSTE
INGRESO
COSTO]]</f>
        <v>-8.85</v>
      </c>
      <c r="W66" s="48">
        <v>-8.85</v>
      </c>
      <c r="X66" s="48"/>
      <c r="Y66" s="48"/>
      <c r="Z66" s="48">
        <v>0</v>
      </c>
      <c r="AA66" s="50">
        <f>+SUM(Tabla_Auditorias[[#This Row],[AJUSTE
EGRESO
COSTO]:[AJUSTE
INGRESO
COSTO]])</f>
        <v>-8.85</v>
      </c>
      <c r="AB66" s="36" t="str">
        <f t="shared" si="2"/>
        <v>MEDIO</v>
      </c>
      <c r="AC66" s="37">
        <f t="shared" si="3"/>
        <v>15</v>
      </c>
      <c r="AD66" s="35">
        <v>0</v>
      </c>
      <c r="AE66" s="41" t="s">
        <v>49</v>
      </c>
      <c r="AF66" s="38" t="str">
        <f>IF(Tabla_Auditorias[[#This Row],[TOTAL
COSTO
NETO]]&lt;&gt;0,"Si","No")</f>
        <v>Si</v>
      </c>
      <c r="AG66" s="39" t="s">
        <v>135</v>
      </c>
      <c r="AH66" s="40"/>
      <c r="AI66" s="51">
        <f t="shared" si="4"/>
        <v>0</v>
      </c>
      <c r="AJ66" s="38" t="str">
        <f t="shared" si="5"/>
        <v>Pendiente</v>
      </c>
    </row>
    <row r="67" spans="1:36" s="31" customFormat="1" ht="25.5" customHeight="1" x14ac:dyDescent="0.2">
      <c r="A67" s="32">
        <v>63</v>
      </c>
      <c r="B67" s="33" t="s">
        <v>91</v>
      </c>
      <c r="C67" s="32" t="s">
        <v>43</v>
      </c>
      <c r="D67" s="32" t="s">
        <v>44</v>
      </c>
      <c r="E67" s="32" t="s">
        <v>53</v>
      </c>
      <c r="F67" s="32">
        <v>1489</v>
      </c>
      <c r="G67" s="33" t="s">
        <v>54</v>
      </c>
      <c r="H67" s="32" t="s">
        <v>47</v>
      </c>
      <c r="I67" s="32"/>
      <c r="J67" s="34">
        <v>45434</v>
      </c>
      <c r="K67" s="34">
        <v>45434</v>
      </c>
      <c r="L67" s="32" t="s">
        <v>48</v>
      </c>
      <c r="M67" s="48">
        <v>159653.07</v>
      </c>
      <c r="N67" s="48">
        <v>0</v>
      </c>
      <c r="O67" s="48">
        <v>0</v>
      </c>
      <c r="P67" s="48">
        <v>0</v>
      </c>
      <c r="Q67" s="48">
        <v>-67.930000000000007</v>
      </c>
      <c r="R67" s="48">
        <v>-61.87</v>
      </c>
      <c r="S67" s="48"/>
      <c r="T67" s="48">
        <f t="shared" si="0"/>
        <v>-129.80000000000001</v>
      </c>
      <c r="U67" s="48">
        <f t="shared" si="1"/>
        <v>-67.930000000000007</v>
      </c>
      <c r="V67" s="49">
        <f>+Tabla_Auditorias[[#This Row],[AJUSTE
EGRESO
COSTO]]+Tabla_Auditorias[[#This Row],[AJUSTE EGRESO
MAL ESTADO]]+Tabla_Auditorias[[#This Row],[AJUSTE
INGRESO
COSTO]]</f>
        <v>-97.15</v>
      </c>
      <c r="W67" s="48">
        <v>-97.15</v>
      </c>
      <c r="X67" s="48"/>
      <c r="Y67" s="48"/>
      <c r="Z67" s="48">
        <v>0</v>
      </c>
      <c r="AA67" s="50">
        <f>+SUM(Tabla_Auditorias[[#This Row],[AJUSTE
EGRESO
COSTO]:[AJUSTE
INGRESO
COSTO]])</f>
        <v>-97.15</v>
      </c>
      <c r="AB67" s="36" t="str">
        <f t="shared" si="2"/>
        <v>MEDIO</v>
      </c>
      <c r="AC67" s="37">
        <f t="shared" si="3"/>
        <v>15</v>
      </c>
      <c r="AD67" s="35">
        <v>0</v>
      </c>
      <c r="AE67" s="41" t="s">
        <v>49</v>
      </c>
      <c r="AF67" s="38" t="str">
        <f>IF(Tabla_Auditorias[[#This Row],[TOTAL
COSTO
NETO]]&lt;&gt;0,"Si","No")</f>
        <v>Si</v>
      </c>
      <c r="AG67" s="39" t="s">
        <v>136</v>
      </c>
      <c r="AH67" s="40"/>
      <c r="AI67" s="51">
        <f t="shared" si="4"/>
        <v>0</v>
      </c>
      <c r="AJ67" s="38" t="str">
        <f t="shared" si="5"/>
        <v>Pendiente</v>
      </c>
    </row>
    <row r="68" spans="1:36" s="31" customFormat="1" ht="25.5" customHeight="1" x14ac:dyDescent="0.2">
      <c r="A68" s="32">
        <v>64</v>
      </c>
      <c r="B68" s="33" t="s">
        <v>97</v>
      </c>
      <c r="C68" s="32" t="s">
        <v>51</v>
      </c>
      <c r="D68" s="32" t="s">
        <v>57</v>
      </c>
      <c r="E68" s="32" t="s">
        <v>53</v>
      </c>
      <c r="F68" s="32">
        <v>1701</v>
      </c>
      <c r="G68" s="33" t="s">
        <v>54</v>
      </c>
      <c r="H68" s="32" t="s">
        <v>47</v>
      </c>
      <c r="I68" s="32"/>
      <c r="J68" s="34">
        <v>45436</v>
      </c>
      <c r="K68" s="34">
        <v>45436</v>
      </c>
      <c r="L68" s="32" t="s">
        <v>48</v>
      </c>
      <c r="M68" s="48">
        <v>129800.26</v>
      </c>
      <c r="N68" s="48">
        <v>0</v>
      </c>
      <c r="O68" s="48">
        <v>0</v>
      </c>
      <c r="P68" s="48">
        <v>0</v>
      </c>
      <c r="Q68" s="48">
        <v>0</v>
      </c>
      <c r="R68" s="48">
        <v>-291.79000000000002</v>
      </c>
      <c r="S68" s="48"/>
      <c r="T68" s="48">
        <f t="shared" si="0"/>
        <v>-291.79000000000002</v>
      </c>
      <c r="U68" s="48">
        <f t="shared" si="1"/>
        <v>0</v>
      </c>
      <c r="V68" s="49">
        <f>+Tabla_Auditorias[[#This Row],[AJUSTE
EGRESO
COSTO]]+Tabla_Auditorias[[#This Row],[AJUSTE EGRESO
MAL ESTADO]]+Tabla_Auditorias[[#This Row],[AJUSTE
INGRESO
COSTO]]</f>
        <v>-203.5</v>
      </c>
      <c r="W68" s="48">
        <v>-203.5</v>
      </c>
      <c r="X68" s="48"/>
      <c r="Y68" s="48"/>
      <c r="Z68" s="48">
        <v>0</v>
      </c>
      <c r="AA68" s="50">
        <f>+SUM(Tabla_Auditorias[[#This Row],[AJUSTE
EGRESO
COSTO]:[AJUSTE
INGRESO
COSTO]])</f>
        <v>-203.5</v>
      </c>
      <c r="AB68" s="36" t="str">
        <f t="shared" si="2"/>
        <v>BAJO</v>
      </c>
      <c r="AC68" s="37">
        <f t="shared" si="3"/>
        <v>5</v>
      </c>
      <c r="AD68" s="35">
        <v>0</v>
      </c>
      <c r="AE68" s="41" t="s">
        <v>49</v>
      </c>
      <c r="AF68" s="38" t="str">
        <f>IF(Tabla_Auditorias[[#This Row],[TOTAL
COSTO
NETO]]&lt;&gt;0,"Si","No")</f>
        <v>Si</v>
      </c>
      <c r="AG68" s="39" t="s">
        <v>137</v>
      </c>
      <c r="AH68" s="40"/>
      <c r="AI68" s="51">
        <f t="shared" si="4"/>
        <v>0</v>
      </c>
      <c r="AJ68" s="38" t="str">
        <f t="shared" si="5"/>
        <v>Pendiente</v>
      </c>
    </row>
    <row r="69" spans="1:36" s="31" customFormat="1" ht="25.5" customHeight="1" x14ac:dyDescent="0.2">
      <c r="A69" s="32">
        <v>65</v>
      </c>
      <c r="B69" s="33" t="s">
        <v>67</v>
      </c>
      <c r="C69" s="32" t="s">
        <v>43</v>
      </c>
      <c r="D69" s="32" t="s">
        <v>44</v>
      </c>
      <c r="E69" s="32" t="s">
        <v>58</v>
      </c>
      <c r="F69" s="32">
        <v>1308</v>
      </c>
      <c r="G69" s="33" t="s">
        <v>59</v>
      </c>
      <c r="H69" s="32" t="s">
        <v>47</v>
      </c>
      <c r="I69" s="32"/>
      <c r="J69" s="34">
        <v>45440</v>
      </c>
      <c r="K69" s="34">
        <v>45440</v>
      </c>
      <c r="L69" s="32" t="s">
        <v>48</v>
      </c>
      <c r="M69" s="48">
        <v>204147.0374</v>
      </c>
      <c r="N69" s="48">
        <v>192.97559999999999</v>
      </c>
      <c r="O69" s="48">
        <v>-332.15199999999999</v>
      </c>
      <c r="P69" s="48">
        <v>12.1973</v>
      </c>
      <c r="Q69" s="48">
        <v>-270.9624</v>
      </c>
      <c r="R69" s="48">
        <v>0</v>
      </c>
      <c r="S69" s="48"/>
      <c r="T69" s="48">
        <f t="shared" ref="T69:T132" si="6">N69+O69+P69+Q69+R69+S69</f>
        <v>-397.94150000000002</v>
      </c>
      <c r="U69" s="48">
        <f t="shared" ref="U69:U132" si="7">N69+O69+P69+Q69+S69</f>
        <v>-397.94150000000002</v>
      </c>
      <c r="V69" s="49">
        <f>+Tabla_Auditorias[[#This Row],[AJUSTE
EGRESO
COSTO]]+Tabla_Auditorias[[#This Row],[AJUSTE EGRESO
MAL ESTADO]]+Tabla_Auditorias[[#This Row],[AJUSTE
INGRESO
COSTO]]</f>
        <v>-299.73640454545011</v>
      </c>
      <c r="W69" s="48">
        <v>-1619.6478045454501</v>
      </c>
      <c r="X69" s="48"/>
      <c r="Y69" s="48"/>
      <c r="Z69" s="48">
        <v>1319.9114</v>
      </c>
      <c r="AA69" s="50">
        <f>+SUM(Tabla_Auditorias[[#This Row],[AJUSTE
EGRESO
COSTO]:[AJUSTE
INGRESO
COSTO]])</f>
        <v>-299.73640454545011</v>
      </c>
      <c r="AB69" s="36" t="str">
        <f t="shared" ref="AB69:AB132" si="8">IFERROR(IF(AC69&lt;=10,"BAJO",IF(AC69&lt;=35,"MEDIO",IF(AC69&lt;=65,"ALTO","CRÍTICO"))),"BAJO")</f>
        <v>MEDIO</v>
      </c>
      <c r="AC69" s="37">
        <f t="shared" ref="AC69:AC132" si="9">IFERROR(IF(M69=0,0,IF(ABS(O69)/M69=0,0,IF(ABS(O69)/M69&lt;=0.01,10,IF(ABS(O69)/M69&lt;=0.03,25,IF(ABS(O69)/M69&lt;=0.05,40,50)))))+IF(ABS(U69)=0,0,IF(ABS(U69)&lt;=200,10,IF(ABS(U69)&lt;=500,15,IF(ABS(U69)&lt;=2000,22,30))))+0+IF(OR(Q69&lt;0,R69&lt;0),5,0),0)</f>
        <v>30</v>
      </c>
      <c r="AD69" s="35">
        <v>0</v>
      </c>
      <c r="AE69" s="41" t="s">
        <v>49</v>
      </c>
      <c r="AF69" s="38" t="str">
        <f>IF(Tabla_Auditorias[[#This Row],[TOTAL
COSTO
NETO]]&lt;&gt;0,"Si","No")</f>
        <v>Si</v>
      </c>
      <c r="AG69" s="39" t="s">
        <v>138</v>
      </c>
      <c r="AH69" s="40"/>
      <c r="AI69" s="51">
        <f t="shared" ref="AI69:AI132" si="10">IFERROR(IF(V69&lt;0,ABS(AH69/V69),""),"")</f>
        <v>0</v>
      </c>
      <c r="AJ69" s="38" t="str">
        <f t="shared" ref="AJ69:AJ132" si="11">IF(V69&gt;0,"No Aplica",IF(AND(V69&lt;0,AH69=0),"Pendiente",IF(AND(AH69&gt;0,AH69&gt;=ABS(V69)),"Cobrado Total",IF(AND(AH69&gt;0,AH69&lt;ABS(V69)),"Cobrado Parcial","Pendiente"))))</f>
        <v>Pendiente</v>
      </c>
    </row>
    <row r="70" spans="1:36" s="31" customFormat="1" ht="25.5" customHeight="1" x14ac:dyDescent="0.2">
      <c r="A70" s="32">
        <v>66</v>
      </c>
      <c r="B70" s="33" t="s">
        <v>139</v>
      </c>
      <c r="C70" s="32" t="s">
        <v>51</v>
      </c>
      <c r="D70" s="32" t="s">
        <v>52</v>
      </c>
      <c r="E70" s="32" t="s">
        <v>45</v>
      </c>
      <c r="F70" s="32">
        <v>1730</v>
      </c>
      <c r="G70" s="33" t="s">
        <v>46</v>
      </c>
      <c r="H70" s="32" t="s">
        <v>47</v>
      </c>
      <c r="I70" s="32"/>
      <c r="J70" s="34">
        <v>45443</v>
      </c>
      <c r="K70" s="34">
        <v>45443</v>
      </c>
      <c r="L70" s="32" t="s">
        <v>48</v>
      </c>
      <c r="M70" s="48">
        <v>56426.353100000022</v>
      </c>
      <c r="N70" s="48">
        <v>0</v>
      </c>
      <c r="O70" s="48">
        <v>0</v>
      </c>
      <c r="P70" s="48">
        <v>0</v>
      </c>
      <c r="Q70" s="48">
        <v>0</v>
      </c>
      <c r="R70" s="48">
        <v>0</v>
      </c>
      <c r="S70" s="48"/>
      <c r="T70" s="48">
        <f t="shared" si="6"/>
        <v>0</v>
      </c>
      <c r="U70" s="48">
        <f t="shared" si="7"/>
        <v>0</v>
      </c>
      <c r="V70" s="49">
        <f>+Tabla_Auditorias[[#This Row],[AJUSTE
EGRESO
COSTO]]+Tabla_Auditorias[[#This Row],[AJUSTE EGRESO
MAL ESTADO]]+Tabla_Auditorias[[#This Row],[AJUSTE
INGRESO
COSTO]]</f>
        <v>0</v>
      </c>
      <c r="W70" s="48">
        <v>0</v>
      </c>
      <c r="X70" s="48"/>
      <c r="Y70" s="48"/>
      <c r="Z70" s="48">
        <v>0</v>
      </c>
      <c r="AA70" s="50">
        <f>+SUM(Tabla_Auditorias[[#This Row],[AJUSTE
EGRESO
COSTO]:[AJUSTE
INGRESO
COSTO]])</f>
        <v>0</v>
      </c>
      <c r="AB70" s="36" t="str">
        <f t="shared" si="8"/>
        <v>BAJO</v>
      </c>
      <c r="AC70" s="37">
        <f t="shared" si="9"/>
        <v>0</v>
      </c>
      <c r="AD70" s="35">
        <v>0</v>
      </c>
      <c r="AE70" s="41" t="s">
        <v>49</v>
      </c>
      <c r="AF70" s="38" t="str">
        <f>IF(Tabla_Auditorias[[#This Row],[TOTAL
COSTO
NETO]]&lt;&gt;0,"Si","No")</f>
        <v>No</v>
      </c>
      <c r="AG70" s="39"/>
      <c r="AH70" s="40"/>
      <c r="AI70" s="51" t="str">
        <f t="shared" si="10"/>
        <v/>
      </c>
      <c r="AJ70" s="38" t="str">
        <f t="shared" si="11"/>
        <v>Pendiente</v>
      </c>
    </row>
    <row r="71" spans="1:36" s="31" customFormat="1" ht="25.5" customHeight="1" x14ac:dyDescent="0.2">
      <c r="A71" s="32">
        <v>67</v>
      </c>
      <c r="B71" s="33" t="s">
        <v>42</v>
      </c>
      <c r="C71" s="32" t="s">
        <v>43</v>
      </c>
      <c r="D71" s="32" t="s">
        <v>44</v>
      </c>
      <c r="E71" s="32" t="s">
        <v>45</v>
      </c>
      <c r="F71" s="32">
        <v>1310</v>
      </c>
      <c r="G71" s="33" t="s">
        <v>46</v>
      </c>
      <c r="H71" s="32" t="s">
        <v>47</v>
      </c>
      <c r="I71" s="32"/>
      <c r="J71" s="34">
        <v>45447</v>
      </c>
      <c r="K71" s="34">
        <v>45447</v>
      </c>
      <c r="L71" s="32" t="s">
        <v>48</v>
      </c>
      <c r="M71" s="48">
        <v>213316.21159999989</v>
      </c>
      <c r="N71" s="48">
        <v>191.67</v>
      </c>
      <c r="O71" s="48">
        <v>-228.75</v>
      </c>
      <c r="P71" s="48">
        <v>37.620000000000061</v>
      </c>
      <c r="Q71" s="48">
        <v>0</v>
      </c>
      <c r="R71" s="48">
        <v>-29.26</v>
      </c>
      <c r="S71" s="48"/>
      <c r="T71" s="48">
        <f t="shared" si="6"/>
        <v>-28.719999999999953</v>
      </c>
      <c r="U71" s="48">
        <f t="shared" si="7"/>
        <v>0.54000000000004889</v>
      </c>
      <c r="V71" s="49">
        <f>+Tabla_Auditorias[[#This Row],[AJUSTE
EGRESO
COSTO]]+Tabla_Auditorias[[#This Row],[AJUSTE EGRESO
MAL ESTADO]]+Tabla_Auditorias[[#This Row],[AJUSTE
INGRESO
COSTO]]</f>
        <v>-120.29445782608695</v>
      </c>
      <c r="W71" s="48">
        <v>-1204.777507826087</v>
      </c>
      <c r="X71" s="48"/>
      <c r="Y71" s="48"/>
      <c r="Z71" s="48">
        <v>1084.48305</v>
      </c>
      <c r="AA71" s="50">
        <f>+SUM(Tabla_Auditorias[[#This Row],[AJUSTE
EGRESO
COSTO]:[AJUSTE
INGRESO
COSTO]])</f>
        <v>-120.29445782608695</v>
      </c>
      <c r="AB71" s="36" t="str">
        <f t="shared" si="8"/>
        <v>MEDIO</v>
      </c>
      <c r="AC71" s="37">
        <f t="shared" si="9"/>
        <v>25</v>
      </c>
      <c r="AD71" s="35">
        <v>0</v>
      </c>
      <c r="AE71" s="41" t="s">
        <v>49</v>
      </c>
      <c r="AF71" s="38" t="str">
        <f>IF(Tabla_Auditorias[[#This Row],[TOTAL
COSTO
NETO]]&lt;&gt;0,"Si","No")</f>
        <v>Si</v>
      </c>
      <c r="AG71" s="39"/>
      <c r="AH71" s="40"/>
      <c r="AI71" s="51">
        <f t="shared" si="10"/>
        <v>0</v>
      </c>
      <c r="AJ71" s="38" t="str">
        <f t="shared" si="11"/>
        <v>Pendiente</v>
      </c>
    </row>
    <row r="72" spans="1:36" s="31" customFormat="1" ht="25.5" customHeight="1" x14ac:dyDescent="0.2">
      <c r="A72" s="32">
        <v>68</v>
      </c>
      <c r="B72" s="33" t="s">
        <v>103</v>
      </c>
      <c r="C72" s="32" t="s">
        <v>43</v>
      </c>
      <c r="D72" s="32" t="s">
        <v>44</v>
      </c>
      <c r="E72" s="32" t="s">
        <v>53</v>
      </c>
      <c r="F72" s="32">
        <v>1474</v>
      </c>
      <c r="G72" s="33" t="s">
        <v>54</v>
      </c>
      <c r="H72" s="32" t="s">
        <v>47</v>
      </c>
      <c r="I72" s="32"/>
      <c r="J72" s="34">
        <v>45448</v>
      </c>
      <c r="K72" s="34">
        <v>45448</v>
      </c>
      <c r="L72" s="32" t="s">
        <v>48</v>
      </c>
      <c r="M72" s="48">
        <v>144117.45000000001</v>
      </c>
      <c r="N72" s="48">
        <v>110.67</v>
      </c>
      <c r="O72" s="48">
        <v>-101.74</v>
      </c>
      <c r="P72" s="48">
        <v>0</v>
      </c>
      <c r="Q72" s="48">
        <v>-7.33</v>
      </c>
      <c r="R72" s="48">
        <v>0</v>
      </c>
      <c r="S72" s="48"/>
      <c r="T72" s="48">
        <f t="shared" si="6"/>
        <v>1.6000000000000068</v>
      </c>
      <c r="U72" s="48">
        <f t="shared" si="7"/>
        <v>1.6000000000000068</v>
      </c>
      <c r="V72" s="49">
        <f>+Tabla_Auditorias[[#This Row],[AJUSTE
EGRESO
COSTO]]+Tabla_Auditorias[[#This Row],[AJUSTE EGRESO
MAL ESTADO]]+Tabla_Auditorias[[#This Row],[AJUSTE
INGRESO
COSTO]]</f>
        <v>0.28999999999999204</v>
      </c>
      <c r="W72" s="48">
        <v>-72.850000000000009</v>
      </c>
      <c r="X72" s="48"/>
      <c r="Y72" s="48"/>
      <c r="Z72" s="48">
        <v>73.14</v>
      </c>
      <c r="AA72" s="50">
        <f>+SUM(Tabla_Auditorias[[#This Row],[AJUSTE
EGRESO
COSTO]:[AJUSTE
INGRESO
COSTO]])</f>
        <v>0.28999999999999204</v>
      </c>
      <c r="AB72" s="36" t="str">
        <f t="shared" si="8"/>
        <v>MEDIO</v>
      </c>
      <c r="AC72" s="37">
        <f t="shared" si="9"/>
        <v>25</v>
      </c>
      <c r="AD72" s="35">
        <v>0</v>
      </c>
      <c r="AE72" s="41" t="s">
        <v>49</v>
      </c>
      <c r="AF72" s="38" t="str">
        <f>IF(Tabla_Auditorias[[#This Row],[TOTAL
COSTO
NETO]]&lt;&gt;0,"Si","No")</f>
        <v>Si</v>
      </c>
      <c r="AG72" s="39" t="s">
        <v>140</v>
      </c>
      <c r="AH72" s="40"/>
      <c r="AI72" s="51" t="str">
        <f t="shared" si="10"/>
        <v/>
      </c>
      <c r="AJ72" s="38" t="str">
        <f t="shared" si="11"/>
        <v>No Aplica</v>
      </c>
    </row>
    <row r="73" spans="1:36" s="31" customFormat="1" ht="25.5" customHeight="1" x14ac:dyDescent="0.2">
      <c r="A73" s="32">
        <v>69</v>
      </c>
      <c r="B73" s="33" t="s">
        <v>102</v>
      </c>
      <c r="C73" s="32" t="s">
        <v>51</v>
      </c>
      <c r="D73" s="32" t="s">
        <v>57</v>
      </c>
      <c r="E73" s="32" t="s">
        <v>53</v>
      </c>
      <c r="F73" s="32">
        <v>1709</v>
      </c>
      <c r="G73" s="33" t="s">
        <v>54</v>
      </c>
      <c r="H73" s="32" t="s">
        <v>47</v>
      </c>
      <c r="I73" s="32"/>
      <c r="J73" s="34">
        <v>45449</v>
      </c>
      <c r="K73" s="34">
        <v>45449</v>
      </c>
      <c r="L73" s="32" t="s">
        <v>48</v>
      </c>
      <c r="M73" s="48">
        <v>80131.839999999997</v>
      </c>
      <c r="N73" s="48">
        <v>0.69</v>
      </c>
      <c r="O73" s="48">
        <v>-55.46</v>
      </c>
      <c r="P73" s="48">
        <v>0</v>
      </c>
      <c r="Q73" s="48">
        <v>0</v>
      </c>
      <c r="R73" s="48">
        <v>0</v>
      </c>
      <c r="S73" s="48"/>
      <c r="T73" s="48">
        <f t="shared" si="6"/>
        <v>-54.77</v>
      </c>
      <c r="U73" s="48">
        <f t="shared" si="7"/>
        <v>-54.77</v>
      </c>
      <c r="V73" s="49">
        <f>+Tabla_Auditorias[[#This Row],[AJUSTE
EGRESO
COSTO]]+Tabla_Auditorias[[#This Row],[AJUSTE EGRESO
MAL ESTADO]]+Tabla_Auditorias[[#This Row],[AJUSTE
INGRESO
COSTO]]</f>
        <v>-35.230000000000004</v>
      </c>
      <c r="W73" s="48">
        <v>-35.71</v>
      </c>
      <c r="X73" s="48"/>
      <c r="Y73" s="48"/>
      <c r="Z73" s="48">
        <v>0.48</v>
      </c>
      <c r="AA73" s="50">
        <f>+SUM(Tabla_Auditorias[[#This Row],[AJUSTE
EGRESO
COSTO]:[AJUSTE
INGRESO
COSTO]])</f>
        <v>-35.230000000000004</v>
      </c>
      <c r="AB73" s="36" t="str">
        <f t="shared" si="8"/>
        <v>MEDIO</v>
      </c>
      <c r="AC73" s="37">
        <f t="shared" si="9"/>
        <v>20</v>
      </c>
      <c r="AD73" s="35">
        <v>0</v>
      </c>
      <c r="AE73" s="41" t="s">
        <v>49</v>
      </c>
      <c r="AF73" s="38" t="str">
        <f>IF(Tabla_Auditorias[[#This Row],[TOTAL
COSTO
NETO]]&lt;&gt;0,"Si","No")</f>
        <v>Si</v>
      </c>
      <c r="AG73" s="39" t="s">
        <v>141</v>
      </c>
      <c r="AH73" s="40"/>
      <c r="AI73" s="51">
        <f t="shared" si="10"/>
        <v>0</v>
      </c>
      <c r="AJ73" s="38" t="str">
        <f t="shared" si="11"/>
        <v>Pendiente</v>
      </c>
    </row>
    <row r="74" spans="1:36" s="31" customFormat="1" ht="25.5" customHeight="1" x14ac:dyDescent="0.2">
      <c r="A74" s="32">
        <v>70</v>
      </c>
      <c r="B74" s="33" t="s">
        <v>105</v>
      </c>
      <c r="C74" s="32" t="s">
        <v>51</v>
      </c>
      <c r="D74" s="32" t="s">
        <v>57</v>
      </c>
      <c r="E74" s="32" t="s">
        <v>53</v>
      </c>
      <c r="F74" s="32">
        <v>1710</v>
      </c>
      <c r="G74" s="33" t="s">
        <v>54</v>
      </c>
      <c r="H74" s="32" t="s">
        <v>47</v>
      </c>
      <c r="I74" s="32"/>
      <c r="J74" s="34">
        <v>45453</v>
      </c>
      <c r="K74" s="34">
        <v>45453</v>
      </c>
      <c r="L74" s="32" t="s">
        <v>48</v>
      </c>
      <c r="M74" s="48">
        <v>108088.98</v>
      </c>
      <c r="N74" s="48">
        <v>0</v>
      </c>
      <c r="O74" s="48">
        <v>0</v>
      </c>
      <c r="P74" s="48">
        <v>0</v>
      </c>
      <c r="Q74" s="48">
        <v>0</v>
      </c>
      <c r="R74" s="48">
        <v>0</v>
      </c>
      <c r="S74" s="48"/>
      <c r="T74" s="48">
        <f t="shared" si="6"/>
        <v>0</v>
      </c>
      <c r="U74" s="48">
        <f t="shared" si="7"/>
        <v>0</v>
      </c>
      <c r="V74" s="49">
        <f>+Tabla_Auditorias[[#This Row],[AJUSTE
EGRESO
COSTO]]+Tabla_Auditorias[[#This Row],[AJUSTE EGRESO
MAL ESTADO]]+Tabla_Auditorias[[#This Row],[AJUSTE
INGRESO
COSTO]]</f>
        <v>0</v>
      </c>
      <c r="W74" s="48">
        <v>0</v>
      </c>
      <c r="X74" s="48"/>
      <c r="Y74" s="48"/>
      <c r="Z74" s="48">
        <v>0</v>
      </c>
      <c r="AA74" s="50">
        <f>+SUM(Tabla_Auditorias[[#This Row],[AJUSTE
EGRESO
COSTO]:[AJUSTE
INGRESO
COSTO]])</f>
        <v>0</v>
      </c>
      <c r="AB74" s="36" t="str">
        <f t="shared" si="8"/>
        <v>BAJO</v>
      </c>
      <c r="AC74" s="37">
        <f t="shared" si="9"/>
        <v>0</v>
      </c>
      <c r="AD74" s="35">
        <v>0</v>
      </c>
      <c r="AE74" s="41" t="s">
        <v>49</v>
      </c>
      <c r="AF74" s="38" t="str">
        <f>IF(Tabla_Auditorias[[#This Row],[TOTAL
COSTO
NETO]]&lt;&gt;0,"Si","No")</f>
        <v>No</v>
      </c>
      <c r="AG74" s="39" t="s">
        <v>55</v>
      </c>
      <c r="AH74" s="40"/>
      <c r="AI74" s="51" t="str">
        <f t="shared" si="10"/>
        <v/>
      </c>
      <c r="AJ74" s="38" t="str">
        <f t="shared" si="11"/>
        <v>Pendiente</v>
      </c>
    </row>
    <row r="75" spans="1:36" s="31" customFormat="1" ht="25.5" customHeight="1" x14ac:dyDescent="0.2">
      <c r="A75" s="32">
        <v>71</v>
      </c>
      <c r="B75" s="33" t="s">
        <v>79</v>
      </c>
      <c r="C75" s="32" t="s">
        <v>43</v>
      </c>
      <c r="D75" s="32" t="s">
        <v>44</v>
      </c>
      <c r="E75" s="32" t="s">
        <v>45</v>
      </c>
      <c r="F75" s="32">
        <v>1316</v>
      </c>
      <c r="G75" s="33" t="s">
        <v>46</v>
      </c>
      <c r="H75" s="32" t="s">
        <v>47</v>
      </c>
      <c r="I75" s="32"/>
      <c r="J75" s="34">
        <v>45455</v>
      </c>
      <c r="K75" s="34">
        <v>45455</v>
      </c>
      <c r="L75" s="32" t="s">
        <v>48</v>
      </c>
      <c r="M75" s="48">
        <v>168746.4078000001</v>
      </c>
      <c r="N75" s="48">
        <v>0</v>
      </c>
      <c r="O75" s="48">
        <v>-11.34</v>
      </c>
      <c r="P75" s="48">
        <v>12.66</v>
      </c>
      <c r="Q75" s="48">
        <v>0</v>
      </c>
      <c r="R75" s="48">
        <v>0</v>
      </c>
      <c r="S75" s="48"/>
      <c r="T75" s="48">
        <f t="shared" si="6"/>
        <v>1.3200000000000003</v>
      </c>
      <c r="U75" s="48">
        <f t="shared" si="7"/>
        <v>1.3200000000000003</v>
      </c>
      <c r="V75" s="49">
        <f>+Tabla_Auditorias[[#This Row],[AJUSTE
EGRESO
COSTO]]+Tabla_Auditorias[[#This Row],[AJUSTE EGRESO
MAL ESTADO]]+Tabla_Auditorias[[#This Row],[AJUSTE
INGRESO
COSTO]]</f>
        <v>-11.963400000000092</v>
      </c>
      <c r="W75" s="48">
        <v>-755.40570000000002</v>
      </c>
      <c r="X75" s="48"/>
      <c r="Y75" s="48"/>
      <c r="Z75" s="48">
        <v>743.44229999999993</v>
      </c>
      <c r="AA75" s="50">
        <f>+SUM(Tabla_Auditorias[[#This Row],[AJUSTE
EGRESO
COSTO]:[AJUSTE
INGRESO
COSTO]])</f>
        <v>-11.963400000000092</v>
      </c>
      <c r="AB75" s="36" t="str">
        <f t="shared" si="8"/>
        <v>MEDIO</v>
      </c>
      <c r="AC75" s="37">
        <f t="shared" si="9"/>
        <v>20</v>
      </c>
      <c r="AD75" s="35">
        <v>0</v>
      </c>
      <c r="AE75" s="41" t="s">
        <v>49</v>
      </c>
      <c r="AF75" s="38" t="str">
        <f>IF(Tabla_Auditorias[[#This Row],[TOTAL
COSTO
NETO]]&lt;&gt;0,"Si","No")</f>
        <v>Si</v>
      </c>
      <c r="AG75" s="39"/>
      <c r="AH75" s="40"/>
      <c r="AI75" s="51">
        <f t="shared" si="10"/>
        <v>0</v>
      </c>
      <c r="AJ75" s="38" t="str">
        <f t="shared" si="11"/>
        <v>Pendiente</v>
      </c>
    </row>
    <row r="76" spans="1:36" s="31" customFormat="1" ht="25.5" customHeight="1" x14ac:dyDescent="0.2">
      <c r="A76" s="32">
        <v>72</v>
      </c>
      <c r="B76" s="33" t="s">
        <v>65</v>
      </c>
      <c r="C76" s="32" t="s">
        <v>51</v>
      </c>
      <c r="D76" s="32" t="s">
        <v>57</v>
      </c>
      <c r="E76" s="32" t="s">
        <v>58</v>
      </c>
      <c r="F76" s="32">
        <v>1707</v>
      </c>
      <c r="G76" s="33" t="s">
        <v>59</v>
      </c>
      <c r="H76" s="32" t="s">
        <v>47</v>
      </c>
      <c r="I76" s="32"/>
      <c r="J76" s="34">
        <v>45457</v>
      </c>
      <c r="K76" s="34">
        <v>45457</v>
      </c>
      <c r="L76" s="32" t="s">
        <v>48</v>
      </c>
      <c r="M76" s="48">
        <v>114355.79949999999</v>
      </c>
      <c r="N76" s="48">
        <v>0</v>
      </c>
      <c r="O76" s="48">
        <v>-37.700000000000003</v>
      </c>
      <c r="P76" s="48">
        <v>-1.93</v>
      </c>
      <c r="Q76" s="48">
        <v>0</v>
      </c>
      <c r="R76" s="48">
        <v>0</v>
      </c>
      <c r="S76" s="48"/>
      <c r="T76" s="48">
        <f t="shared" si="6"/>
        <v>-39.630000000000003</v>
      </c>
      <c r="U76" s="48">
        <f t="shared" si="7"/>
        <v>-39.630000000000003</v>
      </c>
      <c r="V76" s="49">
        <f>+Tabla_Auditorias[[#This Row],[AJUSTE
EGRESO
COSTO]]+Tabla_Auditorias[[#This Row],[AJUSTE EGRESO
MAL ESTADO]]+Tabla_Auditorias[[#This Row],[AJUSTE
INGRESO
COSTO]]</f>
        <v>-19.382400000000001</v>
      </c>
      <c r="W76" s="48">
        <v>-19.382400000000001</v>
      </c>
      <c r="X76" s="48"/>
      <c r="Y76" s="48"/>
      <c r="Z76" s="48">
        <v>0</v>
      </c>
      <c r="AA76" s="50">
        <f>+SUM(Tabla_Auditorias[[#This Row],[AJUSTE
EGRESO
COSTO]:[AJUSTE
INGRESO
COSTO]])</f>
        <v>-19.382400000000001</v>
      </c>
      <c r="AB76" s="36" t="str">
        <f t="shared" si="8"/>
        <v>MEDIO</v>
      </c>
      <c r="AC76" s="37">
        <f t="shared" si="9"/>
        <v>20</v>
      </c>
      <c r="AD76" s="35">
        <v>0</v>
      </c>
      <c r="AE76" s="41" t="s">
        <v>49</v>
      </c>
      <c r="AF76" s="38" t="str">
        <f>IF(Tabla_Auditorias[[#This Row],[TOTAL
COSTO
NETO]]&lt;&gt;0,"Si","No")</f>
        <v>Si</v>
      </c>
      <c r="AG76" s="39" t="s">
        <v>142</v>
      </c>
      <c r="AH76" s="40"/>
      <c r="AI76" s="51">
        <f t="shared" si="10"/>
        <v>0</v>
      </c>
      <c r="AJ76" s="38" t="str">
        <f t="shared" si="11"/>
        <v>Pendiente</v>
      </c>
    </row>
    <row r="77" spans="1:36" s="31" customFormat="1" ht="25.5" customHeight="1" x14ac:dyDescent="0.2">
      <c r="A77" s="32">
        <v>73</v>
      </c>
      <c r="B77" s="33" t="s">
        <v>63</v>
      </c>
      <c r="C77" s="32" t="s">
        <v>51</v>
      </c>
      <c r="D77" s="32" t="s">
        <v>64</v>
      </c>
      <c r="E77" s="32" t="s">
        <v>53</v>
      </c>
      <c r="F77" s="32">
        <v>1729</v>
      </c>
      <c r="G77" s="33" t="s">
        <v>54</v>
      </c>
      <c r="H77" s="32" t="s">
        <v>47</v>
      </c>
      <c r="I77" s="32"/>
      <c r="J77" s="34">
        <v>45463</v>
      </c>
      <c r="K77" s="34">
        <v>45463</v>
      </c>
      <c r="L77" s="32" t="s">
        <v>48</v>
      </c>
      <c r="M77" s="48">
        <v>0</v>
      </c>
      <c r="N77" s="48">
        <v>0</v>
      </c>
      <c r="O77" s="48">
        <v>0</v>
      </c>
      <c r="P77" s="48">
        <v>0</v>
      </c>
      <c r="Q77" s="48">
        <v>-494.82</v>
      </c>
      <c r="R77" s="48">
        <v>0</v>
      </c>
      <c r="S77" s="48"/>
      <c r="T77" s="48">
        <f t="shared" si="6"/>
        <v>-494.82</v>
      </c>
      <c r="U77" s="48">
        <f t="shared" si="7"/>
        <v>-494.82</v>
      </c>
      <c r="V77" s="49">
        <f>+Tabla_Auditorias[[#This Row],[AJUSTE
EGRESO
COSTO]]+Tabla_Auditorias[[#This Row],[AJUSTE EGRESO
MAL ESTADO]]+Tabla_Auditorias[[#This Row],[AJUSTE
INGRESO
COSTO]]</f>
        <v>-347.96</v>
      </c>
      <c r="W77" s="48">
        <v>-347.96</v>
      </c>
      <c r="X77" s="48"/>
      <c r="Y77" s="48"/>
      <c r="Z77" s="48">
        <v>0</v>
      </c>
      <c r="AA77" s="50">
        <f>+SUM(Tabla_Auditorias[[#This Row],[AJUSTE
EGRESO
COSTO]:[AJUSTE
INGRESO
COSTO]])</f>
        <v>-347.96</v>
      </c>
      <c r="AB77" s="36" t="str">
        <f t="shared" si="8"/>
        <v>MEDIO</v>
      </c>
      <c r="AC77" s="37">
        <f t="shared" si="9"/>
        <v>20</v>
      </c>
      <c r="AD77" s="35">
        <v>0</v>
      </c>
      <c r="AE77" s="41" t="s">
        <v>49</v>
      </c>
      <c r="AF77" s="38" t="str">
        <f>IF(Tabla_Auditorias[[#This Row],[TOTAL
COSTO
NETO]]&lt;&gt;0,"Si","No")</f>
        <v>Si</v>
      </c>
      <c r="AG77" s="39" t="s">
        <v>143</v>
      </c>
      <c r="AH77" s="40"/>
      <c r="AI77" s="51">
        <f t="shared" si="10"/>
        <v>0</v>
      </c>
      <c r="AJ77" s="38" t="str">
        <f t="shared" si="11"/>
        <v>Pendiente</v>
      </c>
    </row>
    <row r="78" spans="1:36" s="31" customFormat="1" ht="25.5" customHeight="1" x14ac:dyDescent="0.2">
      <c r="A78" s="32">
        <v>74</v>
      </c>
      <c r="B78" s="33" t="s">
        <v>144</v>
      </c>
      <c r="C78" s="32" t="s">
        <v>43</v>
      </c>
      <c r="D78" s="32" t="s">
        <v>145</v>
      </c>
      <c r="E78" s="32" t="s">
        <v>45</v>
      </c>
      <c r="F78" s="32">
        <v>65</v>
      </c>
      <c r="G78" s="33" t="s">
        <v>46</v>
      </c>
      <c r="H78" s="32" t="s">
        <v>47</v>
      </c>
      <c r="I78" s="32"/>
      <c r="J78" s="34">
        <v>45470</v>
      </c>
      <c r="K78" s="34">
        <v>45470</v>
      </c>
      <c r="L78" s="32" t="s">
        <v>48</v>
      </c>
      <c r="M78" s="48">
        <v>1563834.4057</v>
      </c>
      <c r="N78" s="48">
        <v>11893.5592</v>
      </c>
      <c r="O78" s="48">
        <v>-10190.3992</v>
      </c>
      <c r="P78" s="48">
        <v>-355.63399428571398</v>
      </c>
      <c r="Q78" s="48">
        <v>-19.855499999999999</v>
      </c>
      <c r="R78" s="48">
        <v>-7462.9</v>
      </c>
      <c r="S78" s="48"/>
      <c r="T78" s="48">
        <f t="shared" si="6"/>
        <v>-6135.2294942857134</v>
      </c>
      <c r="U78" s="48">
        <f t="shared" si="7"/>
        <v>1327.670505714286</v>
      </c>
      <c r="V78" s="49">
        <f>+Tabla_Auditorias[[#This Row],[AJUSTE
EGRESO
COSTO]]+Tabla_Auditorias[[#This Row],[AJUSTE EGRESO
MAL ESTADO]]+Tabla_Auditorias[[#This Row],[AJUSTE
INGRESO
COSTO]]</f>
        <v>1334.0045681300289</v>
      </c>
      <c r="W78" s="48">
        <v>-31027.40775407408</v>
      </c>
      <c r="X78" s="48"/>
      <c r="Y78" s="48"/>
      <c r="Z78" s="48">
        <v>32361.412322204109</v>
      </c>
      <c r="AA78" s="50">
        <f>+SUM(Tabla_Auditorias[[#This Row],[AJUSTE
EGRESO
COSTO]:[AJUSTE
INGRESO
COSTO]])</f>
        <v>1334.0045681300289</v>
      </c>
      <c r="AB78" s="36" t="str">
        <f t="shared" si="8"/>
        <v>ALTO</v>
      </c>
      <c r="AC78" s="37">
        <f t="shared" si="9"/>
        <v>37</v>
      </c>
      <c r="AD78" s="35">
        <v>0</v>
      </c>
      <c r="AE78" s="41" t="s">
        <v>49</v>
      </c>
      <c r="AF78" s="38" t="str">
        <f>IF(Tabla_Auditorias[[#This Row],[TOTAL
COSTO
NETO]]&lt;&gt;0,"Si","No")</f>
        <v>Si</v>
      </c>
      <c r="AG78" s="39"/>
      <c r="AH78" s="40"/>
      <c r="AI78" s="51" t="str">
        <f t="shared" si="10"/>
        <v/>
      </c>
      <c r="AJ78" s="38" t="str">
        <f t="shared" si="11"/>
        <v>No Aplica</v>
      </c>
    </row>
    <row r="79" spans="1:36" s="31" customFormat="1" ht="25.5" customHeight="1" x14ac:dyDescent="0.2">
      <c r="A79" s="32">
        <v>75</v>
      </c>
      <c r="B79" s="33" t="s">
        <v>71</v>
      </c>
      <c r="C79" s="32" t="s">
        <v>43</v>
      </c>
      <c r="D79" s="32" t="s">
        <v>44</v>
      </c>
      <c r="E79" s="32" t="s">
        <v>45</v>
      </c>
      <c r="F79" s="32">
        <v>1317</v>
      </c>
      <c r="G79" s="33" t="s">
        <v>46</v>
      </c>
      <c r="H79" s="32" t="s">
        <v>47</v>
      </c>
      <c r="I79" s="32"/>
      <c r="J79" s="34">
        <v>45481</v>
      </c>
      <c r="K79" s="34">
        <v>45481</v>
      </c>
      <c r="L79" s="32" t="s">
        <v>48</v>
      </c>
      <c r="M79" s="48">
        <v>275755.33230000013</v>
      </c>
      <c r="N79" s="48">
        <v>556.52</v>
      </c>
      <c r="O79" s="48">
        <v>-600.16999999999973</v>
      </c>
      <c r="P79" s="48">
        <v>45.889999999999972</v>
      </c>
      <c r="Q79" s="48">
        <v>0</v>
      </c>
      <c r="R79" s="48">
        <v>0</v>
      </c>
      <c r="S79" s="48"/>
      <c r="T79" s="48">
        <f t="shared" si="6"/>
        <v>2.2400000000002223</v>
      </c>
      <c r="U79" s="48">
        <f t="shared" si="7"/>
        <v>2.2400000000002223</v>
      </c>
      <c r="V79" s="49">
        <f>+Tabla_Auditorias[[#This Row],[AJUSTE
EGRESO
COSTO]]+Tabla_Auditorias[[#This Row],[AJUSTE EGRESO
MAL ESTADO]]+Tabla_Auditorias[[#This Row],[AJUSTE
INGRESO
COSTO]]</f>
        <v>62.348514285713918</v>
      </c>
      <c r="W79" s="48">
        <v>-1195.5125357142861</v>
      </c>
      <c r="X79" s="48"/>
      <c r="Y79" s="48"/>
      <c r="Z79" s="48">
        <v>1257.86105</v>
      </c>
      <c r="AA79" s="50">
        <f>+SUM(Tabla_Auditorias[[#This Row],[AJUSTE
EGRESO
COSTO]:[AJUSTE
INGRESO
COSTO]])</f>
        <v>62.348514285713918</v>
      </c>
      <c r="AB79" s="36" t="str">
        <f t="shared" si="8"/>
        <v>MEDIO</v>
      </c>
      <c r="AC79" s="37">
        <f t="shared" si="9"/>
        <v>20</v>
      </c>
      <c r="AD79" s="35">
        <v>0</v>
      </c>
      <c r="AE79" s="41" t="s">
        <v>49</v>
      </c>
      <c r="AF79" s="38" t="str">
        <f>IF(Tabla_Auditorias[[#This Row],[TOTAL
COSTO
NETO]]&lt;&gt;0,"Si","No")</f>
        <v>Si</v>
      </c>
      <c r="AG79" s="39"/>
      <c r="AH79" s="40"/>
      <c r="AI79" s="51" t="str">
        <f t="shared" si="10"/>
        <v/>
      </c>
      <c r="AJ79" s="38" t="str">
        <f t="shared" si="11"/>
        <v>No Aplica</v>
      </c>
    </row>
    <row r="80" spans="1:36" s="31" customFormat="1" ht="25.5" customHeight="1" x14ac:dyDescent="0.2">
      <c r="A80" s="32">
        <v>76</v>
      </c>
      <c r="B80" s="33" t="s">
        <v>120</v>
      </c>
      <c r="C80" s="32" t="s">
        <v>43</v>
      </c>
      <c r="D80" s="32" t="s">
        <v>44</v>
      </c>
      <c r="E80" s="32" t="s">
        <v>58</v>
      </c>
      <c r="F80" s="32">
        <v>1300</v>
      </c>
      <c r="G80" s="33" t="s">
        <v>59</v>
      </c>
      <c r="H80" s="32" t="s">
        <v>47</v>
      </c>
      <c r="I80" s="32"/>
      <c r="J80" s="34">
        <v>45482</v>
      </c>
      <c r="K80" s="34">
        <v>45482</v>
      </c>
      <c r="L80" s="32" t="s">
        <v>48</v>
      </c>
      <c r="M80" s="48">
        <v>197312.54</v>
      </c>
      <c r="N80" s="48">
        <v>784.4547</v>
      </c>
      <c r="O80" s="48">
        <v>-906.89689999999996</v>
      </c>
      <c r="P80" s="48">
        <v>193.39699999999999</v>
      </c>
      <c r="Q80" s="48">
        <v>-217.6318</v>
      </c>
      <c r="R80" s="48">
        <v>0</v>
      </c>
      <c r="S80" s="48"/>
      <c r="T80" s="48">
        <f t="shared" si="6"/>
        <v>-146.67699999999996</v>
      </c>
      <c r="U80" s="48">
        <f t="shared" si="7"/>
        <v>-146.67699999999996</v>
      </c>
      <c r="V80" s="49">
        <f>+Tabla_Auditorias[[#This Row],[AJUSTE
EGRESO
COSTO]]+Tabla_Auditorias[[#This Row],[AJUSTE EGRESO
MAL ESTADO]]+Tabla_Auditorias[[#This Row],[AJUSTE
INGRESO
COSTO]]</f>
        <v>-102.0399666666699</v>
      </c>
      <c r="W80" s="48">
        <v>-2666.9515466666699</v>
      </c>
      <c r="X80" s="48"/>
      <c r="Y80" s="48"/>
      <c r="Z80" s="48">
        <v>2564.91158</v>
      </c>
      <c r="AA80" s="50">
        <f>+SUM(Tabla_Auditorias[[#This Row],[AJUSTE
EGRESO
COSTO]:[AJUSTE
INGRESO
COSTO]])</f>
        <v>-102.0399666666699</v>
      </c>
      <c r="AB80" s="36" t="str">
        <f t="shared" si="8"/>
        <v>MEDIO</v>
      </c>
      <c r="AC80" s="37">
        <f t="shared" si="9"/>
        <v>25</v>
      </c>
      <c r="AD80" s="35">
        <v>0</v>
      </c>
      <c r="AE80" s="41" t="s">
        <v>49</v>
      </c>
      <c r="AF80" s="38" t="str">
        <f>IF(Tabla_Auditorias[[#This Row],[TOTAL
COSTO
NETO]]&lt;&gt;0,"Si","No")</f>
        <v>Si</v>
      </c>
      <c r="AG80" s="39" t="s">
        <v>146</v>
      </c>
      <c r="AH80" s="40"/>
      <c r="AI80" s="51">
        <f t="shared" si="10"/>
        <v>0</v>
      </c>
      <c r="AJ80" s="38" t="str">
        <f t="shared" si="11"/>
        <v>Pendiente</v>
      </c>
    </row>
    <row r="81" spans="1:36" s="31" customFormat="1" ht="25.5" customHeight="1" x14ac:dyDescent="0.2">
      <c r="A81" s="32">
        <v>77</v>
      </c>
      <c r="B81" s="33" t="s">
        <v>101</v>
      </c>
      <c r="C81" s="32" t="s">
        <v>51</v>
      </c>
      <c r="D81" s="32" t="s">
        <v>64</v>
      </c>
      <c r="E81" s="32" t="s">
        <v>53</v>
      </c>
      <c r="F81" s="32">
        <v>1724</v>
      </c>
      <c r="G81" s="33" t="s">
        <v>54</v>
      </c>
      <c r="H81" s="32" t="s">
        <v>47</v>
      </c>
      <c r="I81" s="32"/>
      <c r="J81" s="34">
        <v>45482</v>
      </c>
      <c r="K81" s="34">
        <v>45482</v>
      </c>
      <c r="L81" s="32" t="s">
        <v>48</v>
      </c>
      <c r="M81" s="48">
        <v>333146.09999999998</v>
      </c>
      <c r="N81" s="48">
        <v>0</v>
      </c>
      <c r="O81" s="48">
        <v>0</v>
      </c>
      <c r="P81" s="48">
        <v>0</v>
      </c>
      <c r="Q81" s="48">
        <v>-1539.75</v>
      </c>
      <c r="R81" s="48">
        <v>0</v>
      </c>
      <c r="S81" s="48"/>
      <c r="T81" s="48">
        <f t="shared" si="6"/>
        <v>-1539.75</v>
      </c>
      <c r="U81" s="48">
        <f t="shared" si="7"/>
        <v>-1539.75</v>
      </c>
      <c r="V81" s="49">
        <f>+Tabla_Auditorias[[#This Row],[AJUSTE
EGRESO
COSTO]]+Tabla_Auditorias[[#This Row],[AJUSTE EGRESO
MAL ESTADO]]+Tabla_Auditorias[[#This Row],[AJUSTE
INGRESO
COSTO]]</f>
        <v>-1083.81</v>
      </c>
      <c r="W81" s="48">
        <v>-1083.81</v>
      </c>
      <c r="X81" s="48"/>
      <c r="Y81" s="48"/>
      <c r="Z81" s="48">
        <v>0</v>
      </c>
      <c r="AA81" s="50">
        <f>+SUM(Tabla_Auditorias[[#This Row],[AJUSTE
EGRESO
COSTO]:[AJUSTE
INGRESO
COSTO]])</f>
        <v>-1083.81</v>
      </c>
      <c r="AB81" s="36" t="str">
        <f t="shared" si="8"/>
        <v>MEDIO</v>
      </c>
      <c r="AC81" s="37">
        <f t="shared" si="9"/>
        <v>27</v>
      </c>
      <c r="AD81" s="35">
        <v>0</v>
      </c>
      <c r="AE81" s="41" t="s">
        <v>49</v>
      </c>
      <c r="AF81" s="38" t="str">
        <f>IF(Tabla_Auditorias[[#This Row],[TOTAL
COSTO
NETO]]&lt;&gt;0,"Si","No")</f>
        <v>Si</v>
      </c>
      <c r="AG81" s="39" t="s">
        <v>147</v>
      </c>
      <c r="AH81" s="40"/>
      <c r="AI81" s="51">
        <f t="shared" si="10"/>
        <v>0</v>
      </c>
      <c r="AJ81" s="38" t="str">
        <f t="shared" si="11"/>
        <v>Pendiente</v>
      </c>
    </row>
    <row r="82" spans="1:36" s="31" customFormat="1" ht="25.5" customHeight="1" x14ac:dyDescent="0.2">
      <c r="A82" s="32">
        <v>78</v>
      </c>
      <c r="B82" s="33" t="s">
        <v>94</v>
      </c>
      <c r="C82" s="32" t="s">
        <v>43</v>
      </c>
      <c r="D82" s="32" t="s">
        <v>44</v>
      </c>
      <c r="E82" s="32" t="s">
        <v>53</v>
      </c>
      <c r="F82" s="32">
        <v>1473</v>
      </c>
      <c r="G82" s="33" t="s">
        <v>54</v>
      </c>
      <c r="H82" s="32" t="s">
        <v>47</v>
      </c>
      <c r="I82" s="32"/>
      <c r="J82" s="34">
        <v>45482</v>
      </c>
      <c r="K82" s="34">
        <v>45482</v>
      </c>
      <c r="L82" s="32" t="s">
        <v>48</v>
      </c>
      <c r="M82" s="48">
        <v>233779.43</v>
      </c>
      <c r="N82" s="48">
        <v>184.56</v>
      </c>
      <c r="O82" s="48">
        <v>-1180.02</v>
      </c>
      <c r="P82" s="48">
        <v>0</v>
      </c>
      <c r="Q82" s="48">
        <v>-705.58</v>
      </c>
      <c r="R82" s="48">
        <v>45.3</v>
      </c>
      <c r="S82" s="48"/>
      <c r="T82" s="48">
        <f t="shared" si="6"/>
        <v>-1655.74</v>
      </c>
      <c r="U82" s="48">
        <f t="shared" si="7"/>
        <v>-1701.04</v>
      </c>
      <c r="V82" s="49">
        <f>+Tabla_Auditorias[[#This Row],[AJUSTE
EGRESO
COSTO]]+Tabla_Auditorias[[#This Row],[AJUSTE EGRESO
MAL ESTADO]]+Tabla_Auditorias[[#This Row],[AJUSTE
INGRESO
COSTO]]</f>
        <v>-1180.3600000000001</v>
      </c>
      <c r="W82" s="48">
        <v>-1268.3900000000001</v>
      </c>
      <c r="X82" s="48"/>
      <c r="Y82" s="48"/>
      <c r="Z82" s="48">
        <v>88.03</v>
      </c>
      <c r="AA82" s="50">
        <f>+SUM(Tabla_Auditorias[[#This Row],[AJUSTE
EGRESO
COSTO]:[AJUSTE
INGRESO
COSTO]])</f>
        <v>-1180.3600000000001</v>
      </c>
      <c r="AB82" s="36" t="str">
        <f t="shared" si="8"/>
        <v>ALTO</v>
      </c>
      <c r="AC82" s="37">
        <f t="shared" si="9"/>
        <v>37</v>
      </c>
      <c r="AD82" s="35">
        <v>0</v>
      </c>
      <c r="AE82" s="41" t="s">
        <v>49</v>
      </c>
      <c r="AF82" s="38" t="str">
        <f>IF(Tabla_Auditorias[[#This Row],[TOTAL
COSTO
NETO]]&lt;&gt;0,"Si","No")</f>
        <v>Si</v>
      </c>
      <c r="AG82" s="39" t="s">
        <v>148</v>
      </c>
      <c r="AH82" s="40"/>
      <c r="AI82" s="51">
        <f t="shared" si="10"/>
        <v>0</v>
      </c>
      <c r="AJ82" s="38" t="str">
        <f t="shared" si="11"/>
        <v>Pendiente</v>
      </c>
    </row>
    <row r="83" spans="1:36" s="31" customFormat="1" ht="25.5" customHeight="1" x14ac:dyDescent="0.2">
      <c r="A83" s="32">
        <v>79</v>
      </c>
      <c r="B83" s="33" t="s">
        <v>63</v>
      </c>
      <c r="C83" s="32" t="s">
        <v>51</v>
      </c>
      <c r="D83" s="32" t="s">
        <v>64</v>
      </c>
      <c r="E83" s="32" t="s">
        <v>53</v>
      </c>
      <c r="F83" s="32">
        <v>1729</v>
      </c>
      <c r="G83" s="33" t="s">
        <v>54</v>
      </c>
      <c r="H83" s="32" t="s">
        <v>47</v>
      </c>
      <c r="I83" s="32"/>
      <c r="J83" s="34">
        <v>45485</v>
      </c>
      <c r="K83" s="34">
        <v>45485</v>
      </c>
      <c r="L83" s="32" t="s">
        <v>48</v>
      </c>
      <c r="M83" s="48">
        <v>193287.15</v>
      </c>
      <c r="N83" s="48">
        <v>0</v>
      </c>
      <c r="O83" s="48">
        <v>0</v>
      </c>
      <c r="P83" s="48">
        <v>0</v>
      </c>
      <c r="Q83" s="48">
        <v>0</v>
      </c>
      <c r="R83" s="48">
        <v>0</v>
      </c>
      <c r="S83" s="48"/>
      <c r="T83" s="48">
        <f t="shared" si="6"/>
        <v>0</v>
      </c>
      <c r="U83" s="48">
        <f t="shared" si="7"/>
        <v>0</v>
      </c>
      <c r="V83" s="49">
        <f>+Tabla_Auditorias[[#This Row],[AJUSTE
EGRESO
COSTO]]+Tabla_Auditorias[[#This Row],[AJUSTE EGRESO
MAL ESTADO]]+Tabla_Auditorias[[#This Row],[AJUSTE
INGRESO
COSTO]]</f>
        <v>0</v>
      </c>
      <c r="W83" s="48">
        <v>0</v>
      </c>
      <c r="X83" s="48"/>
      <c r="Y83" s="48"/>
      <c r="Z83" s="48">
        <v>0</v>
      </c>
      <c r="AA83" s="50">
        <f>+SUM(Tabla_Auditorias[[#This Row],[AJUSTE
EGRESO
COSTO]:[AJUSTE
INGRESO
COSTO]])</f>
        <v>0</v>
      </c>
      <c r="AB83" s="36" t="str">
        <f t="shared" si="8"/>
        <v>BAJO</v>
      </c>
      <c r="AC83" s="37">
        <f t="shared" si="9"/>
        <v>0</v>
      </c>
      <c r="AD83" s="35">
        <v>0</v>
      </c>
      <c r="AE83" s="41" t="s">
        <v>49</v>
      </c>
      <c r="AF83" s="38" t="str">
        <f>IF(Tabla_Auditorias[[#This Row],[TOTAL
COSTO
NETO]]&lt;&gt;0,"Si","No")</f>
        <v>No</v>
      </c>
      <c r="AG83" s="39" t="s">
        <v>55</v>
      </c>
      <c r="AH83" s="40"/>
      <c r="AI83" s="51" t="str">
        <f t="shared" si="10"/>
        <v/>
      </c>
      <c r="AJ83" s="38" t="str">
        <f t="shared" si="11"/>
        <v>Pendiente</v>
      </c>
    </row>
    <row r="84" spans="1:36" s="31" customFormat="1" ht="25.5" customHeight="1" x14ac:dyDescent="0.2">
      <c r="A84" s="32">
        <v>80</v>
      </c>
      <c r="B84" s="33" t="s">
        <v>129</v>
      </c>
      <c r="C84" s="32" t="s">
        <v>51</v>
      </c>
      <c r="D84" s="32" t="s">
        <v>57</v>
      </c>
      <c r="E84" s="32" t="s">
        <v>45</v>
      </c>
      <c r="F84" s="32">
        <v>1712</v>
      </c>
      <c r="G84" s="33" t="s">
        <v>46</v>
      </c>
      <c r="H84" s="32" t="s">
        <v>47</v>
      </c>
      <c r="I84" s="32"/>
      <c r="J84" s="34">
        <v>45488</v>
      </c>
      <c r="K84" s="34">
        <v>45488</v>
      </c>
      <c r="L84" s="32" t="s">
        <v>48</v>
      </c>
      <c r="M84" s="48">
        <v>89755.987199999974</v>
      </c>
      <c r="N84" s="48">
        <v>410.25</v>
      </c>
      <c r="O84" s="48">
        <v>-368.49</v>
      </c>
      <c r="P84" s="48">
        <v>0</v>
      </c>
      <c r="Q84" s="48">
        <v>0</v>
      </c>
      <c r="R84" s="48">
        <v>0</v>
      </c>
      <c r="S84" s="48"/>
      <c r="T84" s="48">
        <f t="shared" si="6"/>
        <v>41.759999999999991</v>
      </c>
      <c r="U84" s="48">
        <f t="shared" si="7"/>
        <v>41.759999999999991</v>
      </c>
      <c r="V84" s="49">
        <f>+Tabla_Auditorias[[#This Row],[AJUSTE
EGRESO
COSTO]]+Tabla_Auditorias[[#This Row],[AJUSTE EGRESO
MAL ESTADO]]+Tabla_Auditorias[[#This Row],[AJUSTE
INGRESO
COSTO]]</f>
        <v>-331.69655</v>
      </c>
      <c r="W84" s="48">
        <v>-729.83335</v>
      </c>
      <c r="X84" s="48"/>
      <c r="Y84" s="48"/>
      <c r="Z84" s="48">
        <v>398.13679999999999</v>
      </c>
      <c r="AA84" s="50">
        <f>+SUM(Tabla_Auditorias[[#This Row],[AJUSTE
EGRESO
COSTO]:[AJUSTE
INGRESO
COSTO]])</f>
        <v>-331.69655</v>
      </c>
      <c r="AB84" s="36" t="str">
        <f t="shared" si="8"/>
        <v>MEDIO</v>
      </c>
      <c r="AC84" s="37">
        <f t="shared" si="9"/>
        <v>20</v>
      </c>
      <c r="AD84" s="35">
        <v>0</v>
      </c>
      <c r="AE84" s="41" t="s">
        <v>49</v>
      </c>
      <c r="AF84" s="38" t="str">
        <f>IF(Tabla_Auditorias[[#This Row],[TOTAL
COSTO
NETO]]&lt;&gt;0,"Si","No")</f>
        <v>Si</v>
      </c>
      <c r="AG84" s="39"/>
      <c r="AH84" s="40"/>
      <c r="AI84" s="51">
        <f t="shared" si="10"/>
        <v>0</v>
      </c>
      <c r="AJ84" s="38" t="str">
        <f t="shared" si="11"/>
        <v>Pendiente</v>
      </c>
    </row>
    <row r="85" spans="1:36" s="31" customFormat="1" ht="25.5" customHeight="1" x14ac:dyDescent="0.2">
      <c r="A85" s="32">
        <v>81</v>
      </c>
      <c r="B85" s="33" t="s">
        <v>76</v>
      </c>
      <c r="C85" s="32" t="s">
        <v>51</v>
      </c>
      <c r="D85" s="32" t="s">
        <v>52</v>
      </c>
      <c r="E85" s="32" t="s">
        <v>45</v>
      </c>
      <c r="F85" s="32">
        <v>1733</v>
      </c>
      <c r="G85" s="33" t="s">
        <v>46</v>
      </c>
      <c r="H85" s="32" t="s">
        <v>47</v>
      </c>
      <c r="I85" s="32"/>
      <c r="J85" s="34">
        <v>45488</v>
      </c>
      <c r="K85" s="34">
        <v>45488</v>
      </c>
      <c r="L85" s="32" t="s">
        <v>48</v>
      </c>
      <c r="M85" s="48">
        <v>55239.614699999998</v>
      </c>
      <c r="N85" s="48">
        <v>0</v>
      </c>
      <c r="O85" s="48">
        <v>0</v>
      </c>
      <c r="P85" s="48">
        <v>0</v>
      </c>
      <c r="Q85" s="48">
        <v>0</v>
      </c>
      <c r="R85" s="48">
        <v>0</v>
      </c>
      <c r="S85" s="48"/>
      <c r="T85" s="48">
        <f t="shared" si="6"/>
        <v>0</v>
      </c>
      <c r="U85" s="48">
        <f t="shared" si="7"/>
        <v>0</v>
      </c>
      <c r="V85" s="49">
        <f>+Tabla_Auditorias[[#This Row],[AJUSTE
EGRESO
COSTO]]+Tabla_Auditorias[[#This Row],[AJUSTE EGRESO
MAL ESTADO]]+Tabla_Auditorias[[#This Row],[AJUSTE
INGRESO
COSTO]]</f>
        <v>0</v>
      </c>
      <c r="W85" s="48">
        <v>0</v>
      </c>
      <c r="X85" s="48"/>
      <c r="Y85" s="48"/>
      <c r="Z85" s="48">
        <v>0</v>
      </c>
      <c r="AA85" s="50">
        <f>+SUM(Tabla_Auditorias[[#This Row],[AJUSTE
EGRESO
COSTO]:[AJUSTE
INGRESO
COSTO]])</f>
        <v>0</v>
      </c>
      <c r="AB85" s="36" t="str">
        <f t="shared" si="8"/>
        <v>BAJO</v>
      </c>
      <c r="AC85" s="37">
        <f t="shared" si="9"/>
        <v>0</v>
      </c>
      <c r="AD85" s="35">
        <v>0</v>
      </c>
      <c r="AE85" s="41" t="s">
        <v>49</v>
      </c>
      <c r="AF85" s="38" t="str">
        <f>IF(Tabla_Auditorias[[#This Row],[TOTAL
COSTO
NETO]]&lt;&gt;0,"Si","No")</f>
        <v>No</v>
      </c>
      <c r="AG85" s="39"/>
      <c r="AH85" s="40"/>
      <c r="AI85" s="51" t="str">
        <f t="shared" si="10"/>
        <v/>
      </c>
      <c r="AJ85" s="38" t="str">
        <f t="shared" si="11"/>
        <v>Pendiente</v>
      </c>
    </row>
    <row r="86" spans="1:36" s="31" customFormat="1" ht="25.5" customHeight="1" x14ac:dyDescent="0.2">
      <c r="A86" s="32">
        <v>82</v>
      </c>
      <c r="B86" s="33" t="s">
        <v>91</v>
      </c>
      <c r="C86" s="32" t="s">
        <v>43</v>
      </c>
      <c r="D86" s="32" t="s">
        <v>44</v>
      </c>
      <c r="E86" s="32" t="s">
        <v>53</v>
      </c>
      <c r="F86" s="32">
        <v>1489</v>
      </c>
      <c r="G86" s="33" t="s">
        <v>54</v>
      </c>
      <c r="H86" s="32" t="s">
        <v>47</v>
      </c>
      <c r="I86" s="32"/>
      <c r="J86" s="34">
        <v>45490</v>
      </c>
      <c r="K86" s="34">
        <v>45490</v>
      </c>
      <c r="L86" s="32" t="s">
        <v>48</v>
      </c>
      <c r="M86" s="48">
        <v>153635.96</v>
      </c>
      <c r="N86" s="48">
        <v>0</v>
      </c>
      <c r="O86" s="48">
        <v>-198.47</v>
      </c>
      <c r="P86" s="48">
        <v>0</v>
      </c>
      <c r="Q86" s="48">
        <v>-54.51</v>
      </c>
      <c r="R86" s="48">
        <v>0</v>
      </c>
      <c r="S86" s="48"/>
      <c r="T86" s="48">
        <f t="shared" si="6"/>
        <v>-252.98</v>
      </c>
      <c r="U86" s="48">
        <f t="shared" si="7"/>
        <v>-252.98</v>
      </c>
      <c r="V86" s="49">
        <f>+Tabla_Auditorias[[#This Row],[AJUSTE
EGRESO
COSTO]]+Tabla_Auditorias[[#This Row],[AJUSTE EGRESO
MAL ESTADO]]+Tabla_Auditorias[[#This Row],[AJUSTE
INGRESO
COSTO]]</f>
        <v>-156.37</v>
      </c>
      <c r="W86" s="48">
        <v>-156.37</v>
      </c>
      <c r="X86" s="48"/>
      <c r="Y86" s="48"/>
      <c r="Z86" s="48">
        <v>0</v>
      </c>
      <c r="AA86" s="50">
        <f>+SUM(Tabla_Auditorias[[#This Row],[AJUSTE
EGRESO
COSTO]:[AJUSTE
INGRESO
COSTO]])</f>
        <v>-156.37</v>
      </c>
      <c r="AB86" s="36" t="str">
        <f t="shared" si="8"/>
        <v>MEDIO</v>
      </c>
      <c r="AC86" s="37">
        <f t="shared" si="9"/>
        <v>30</v>
      </c>
      <c r="AD86" s="35">
        <v>0</v>
      </c>
      <c r="AE86" s="41" t="s">
        <v>49</v>
      </c>
      <c r="AF86" s="38" t="str">
        <f>IF(Tabla_Auditorias[[#This Row],[TOTAL
COSTO
NETO]]&lt;&gt;0,"Si","No")</f>
        <v>Si</v>
      </c>
      <c r="AG86" s="39" t="s">
        <v>149</v>
      </c>
      <c r="AH86" s="40"/>
      <c r="AI86" s="51">
        <f t="shared" si="10"/>
        <v>0</v>
      </c>
      <c r="AJ86" s="38" t="str">
        <f t="shared" si="11"/>
        <v>Pendiente</v>
      </c>
    </row>
    <row r="87" spans="1:36" s="31" customFormat="1" ht="25.5" customHeight="1" x14ac:dyDescent="0.2">
      <c r="A87" s="32">
        <v>83</v>
      </c>
      <c r="B87" s="33" t="s">
        <v>50</v>
      </c>
      <c r="C87" s="32" t="s">
        <v>51</v>
      </c>
      <c r="D87" s="32" t="s">
        <v>52</v>
      </c>
      <c r="E87" s="32" t="s">
        <v>53</v>
      </c>
      <c r="F87" s="32">
        <v>1732</v>
      </c>
      <c r="G87" s="33" t="s">
        <v>54</v>
      </c>
      <c r="H87" s="32" t="s">
        <v>47</v>
      </c>
      <c r="I87" s="32"/>
      <c r="J87" s="34">
        <v>45492</v>
      </c>
      <c r="K87" s="34">
        <v>45492</v>
      </c>
      <c r="L87" s="32" t="s">
        <v>48</v>
      </c>
      <c r="M87" s="48">
        <v>54417.72</v>
      </c>
      <c r="N87" s="48">
        <v>0</v>
      </c>
      <c r="O87" s="48">
        <v>0</v>
      </c>
      <c r="P87" s="48">
        <v>0</v>
      </c>
      <c r="Q87" s="48">
        <v>0</v>
      </c>
      <c r="R87" s="48">
        <v>0</v>
      </c>
      <c r="S87" s="48"/>
      <c r="T87" s="48">
        <f t="shared" si="6"/>
        <v>0</v>
      </c>
      <c r="U87" s="48">
        <f t="shared" si="7"/>
        <v>0</v>
      </c>
      <c r="V87" s="49">
        <f>+Tabla_Auditorias[[#This Row],[AJUSTE
EGRESO
COSTO]]+Tabla_Auditorias[[#This Row],[AJUSTE EGRESO
MAL ESTADO]]+Tabla_Auditorias[[#This Row],[AJUSTE
INGRESO
COSTO]]</f>
        <v>0</v>
      </c>
      <c r="W87" s="48">
        <v>0</v>
      </c>
      <c r="X87" s="48"/>
      <c r="Y87" s="48"/>
      <c r="Z87" s="48">
        <v>0</v>
      </c>
      <c r="AA87" s="50">
        <f>+SUM(Tabla_Auditorias[[#This Row],[AJUSTE
EGRESO
COSTO]:[AJUSTE
INGRESO
COSTO]])</f>
        <v>0</v>
      </c>
      <c r="AB87" s="36" t="str">
        <f t="shared" si="8"/>
        <v>BAJO</v>
      </c>
      <c r="AC87" s="37">
        <f t="shared" si="9"/>
        <v>0</v>
      </c>
      <c r="AD87" s="35">
        <v>0</v>
      </c>
      <c r="AE87" s="41" t="s">
        <v>49</v>
      </c>
      <c r="AF87" s="38" t="str">
        <f>IF(Tabla_Auditorias[[#This Row],[TOTAL
COSTO
NETO]]&lt;&gt;0,"Si","No")</f>
        <v>No</v>
      </c>
      <c r="AG87" s="39" t="s">
        <v>55</v>
      </c>
      <c r="AH87" s="40"/>
      <c r="AI87" s="51" t="str">
        <f t="shared" si="10"/>
        <v/>
      </c>
      <c r="AJ87" s="38" t="str">
        <f t="shared" si="11"/>
        <v>Pendiente</v>
      </c>
    </row>
    <row r="88" spans="1:36" s="31" customFormat="1" ht="25.5" customHeight="1" x14ac:dyDescent="0.2">
      <c r="A88" s="32">
        <v>84</v>
      </c>
      <c r="B88" s="33" t="s">
        <v>118</v>
      </c>
      <c r="C88" s="32" t="s">
        <v>43</v>
      </c>
      <c r="D88" s="32" t="s">
        <v>44</v>
      </c>
      <c r="E88" s="32" t="s">
        <v>53</v>
      </c>
      <c r="F88" s="32">
        <v>1478</v>
      </c>
      <c r="G88" s="33" t="s">
        <v>54</v>
      </c>
      <c r="H88" s="32" t="s">
        <v>47</v>
      </c>
      <c r="I88" s="32"/>
      <c r="J88" s="34">
        <v>45492</v>
      </c>
      <c r="K88" s="34">
        <v>45492</v>
      </c>
      <c r="L88" s="32" t="s">
        <v>48</v>
      </c>
      <c r="M88" s="48">
        <v>137461.35</v>
      </c>
      <c r="N88" s="48">
        <v>145.81</v>
      </c>
      <c r="O88" s="48">
        <v>-128.75</v>
      </c>
      <c r="P88" s="48">
        <v>0</v>
      </c>
      <c r="Q88" s="48">
        <v>-30.8</v>
      </c>
      <c r="R88" s="48">
        <v>0</v>
      </c>
      <c r="S88" s="48"/>
      <c r="T88" s="48">
        <f t="shared" si="6"/>
        <v>-13.739999999999998</v>
      </c>
      <c r="U88" s="48">
        <f t="shared" si="7"/>
        <v>-13.739999999999998</v>
      </c>
      <c r="V88" s="49">
        <f>+Tabla_Auditorias[[#This Row],[AJUSTE
EGRESO
COSTO]]+Tabla_Auditorias[[#This Row],[AJUSTE EGRESO
MAL ESTADO]]+Tabla_Auditorias[[#This Row],[AJUSTE
INGRESO
COSTO]]</f>
        <v>13.620000000000005</v>
      </c>
      <c r="W88" s="48">
        <v>-90.3</v>
      </c>
      <c r="X88" s="48"/>
      <c r="Y88" s="48"/>
      <c r="Z88" s="48">
        <v>103.92</v>
      </c>
      <c r="AA88" s="50">
        <f>+SUM(Tabla_Auditorias[[#This Row],[AJUSTE
EGRESO
COSTO]:[AJUSTE
INGRESO
COSTO]])</f>
        <v>13.620000000000005</v>
      </c>
      <c r="AB88" s="36" t="str">
        <f t="shared" si="8"/>
        <v>MEDIO</v>
      </c>
      <c r="AC88" s="37">
        <f t="shared" si="9"/>
        <v>25</v>
      </c>
      <c r="AD88" s="35">
        <v>0</v>
      </c>
      <c r="AE88" s="41" t="s">
        <v>49</v>
      </c>
      <c r="AF88" s="38" t="str">
        <f>IF(Tabla_Auditorias[[#This Row],[TOTAL
COSTO
NETO]]&lt;&gt;0,"Si","No")</f>
        <v>Si</v>
      </c>
      <c r="AG88" s="39" t="s">
        <v>150</v>
      </c>
      <c r="AH88" s="40"/>
      <c r="AI88" s="51" t="str">
        <f t="shared" si="10"/>
        <v/>
      </c>
      <c r="AJ88" s="38" t="str">
        <f t="shared" si="11"/>
        <v>No Aplica</v>
      </c>
    </row>
    <row r="89" spans="1:36" s="31" customFormat="1" ht="25.5" customHeight="1" x14ac:dyDescent="0.2">
      <c r="A89" s="32">
        <v>85</v>
      </c>
      <c r="B89" s="33" t="s">
        <v>72</v>
      </c>
      <c r="C89" s="32" t="s">
        <v>43</v>
      </c>
      <c r="D89" s="32" t="s">
        <v>44</v>
      </c>
      <c r="E89" s="32" t="s">
        <v>58</v>
      </c>
      <c r="F89" s="32">
        <v>1319</v>
      </c>
      <c r="G89" s="33" t="s">
        <v>59</v>
      </c>
      <c r="H89" s="32" t="s">
        <v>47</v>
      </c>
      <c r="I89" s="32"/>
      <c r="J89" s="34">
        <v>45499</v>
      </c>
      <c r="K89" s="34">
        <v>45499</v>
      </c>
      <c r="L89" s="32" t="s">
        <v>48</v>
      </c>
      <c r="M89" s="48">
        <v>169044.48050000001</v>
      </c>
      <c r="N89" s="48">
        <v>347.82330000000002</v>
      </c>
      <c r="O89" s="48">
        <v>-3574.4353999999998</v>
      </c>
      <c r="P89" s="48">
        <v>205.56720000000001</v>
      </c>
      <c r="Q89" s="48">
        <v>-755.19039999999995</v>
      </c>
      <c r="R89" s="48">
        <v>-814.22439999999995</v>
      </c>
      <c r="S89" s="48"/>
      <c r="T89" s="48">
        <f t="shared" si="6"/>
        <v>-4590.4596999999994</v>
      </c>
      <c r="U89" s="48">
        <f t="shared" si="7"/>
        <v>-3776.2352999999998</v>
      </c>
      <c r="V89" s="49">
        <f>+Tabla_Auditorias[[#This Row],[AJUSTE
EGRESO
COSTO]]+Tabla_Auditorias[[#This Row],[AJUSTE EGRESO
MAL ESTADO]]+Tabla_Auditorias[[#This Row],[AJUSTE
INGRESO
COSTO]]</f>
        <v>-4590.4597000000003</v>
      </c>
      <c r="W89" s="48">
        <v>-10040.1594</v>
      </c>
      <c r="X89" s="48"/>
      <c r="Y89" s="48"/>
      <c r="Z89" s="48">
        <v>5449.6997000000001</v>
      </c>
      <c r="AA89" s="50">
        <f>+SUM(Tabla_Auditorias[[#This Row],[AJUSTE
EGRESO
COSTO]:[AJUSTE
INGRESO
COSTO]])</f>
        <v>-4590.4597000000003</v>
      </c>
      <c r="AB89" s="36" t="str">
        <f t="shared" si="8"/>
        <v>ALTO</v>
      </c>
      <c r="AC89" s="37">
        <f t="shared" si="9"/>
        <v>60</v>
      </c>
      <c r="AD89" s="35">
        <v>0</v>
      </c>
      <c r="AE89" s="41" t="s">
        <v>49</v>
      </c>
      <c r="AF89" s="38" t="str">
        <f>IF(Tabla_Auditorias[[#This Row],[TOTAL
COSTO
NETO]]&lt;&gt;0,"Si","No")</f>
        <v>Si</v>
      </c>
      <c r="AG89" s="39" t="s">
        <v>151</v>
      </c>
      <c r="AH89" s="40"/>
      <c r="AI89" s="51">
        <f t="shared" si="10"/>
        <v>0</v>
      </c>
      <c r="AJ89" s="38" t="str">
        <f t="shared" si="11"/>
        <v>Pendiente</v>
      </c>
    </row>
    <row r="90" spans="1:36" s="31" customFormat="1" ht="25.5" customHeight="1" x14ac:dyDescent="0.2">
      <c r="A90" s="32">
        <v>86</v>
      </c>
      <c r="B90" s="33" t="s">
        <v>96</v>
      </c>
      <c r="C90" s="32" t="s">
        <v>51</v>
      </c>
      <c r="D90" s="32" t="s">
        <v>57</v>
      </c>
      <c r="E90" s="32" t="s">
        <v>45</v>
      </c>
      <c r="F90" s="32">
        <v>1711</v>
      </c>
      <c r="G90" s="33" t="s">
        <v>46</v>
      </c>
      <c r="H90" s="32" t="s">
        <v>47</v>
      </c>
      <c r="I90" s="32"/>
      <c r="J90" s="34">
        <v>45502</v>
      </c>
      <c r="K90" s="34">
        <v>45502</v>
      </c>
      <c r="L90" s="32" t="s">
        <v>48</v>
      </c>
      <c r="M90" s="48">
        <v>41654.757799999978</v>
      </c>
      <c r="N90" s="48">
        <v>0</v>
      </c>
      <c r="O90" s="48">
        <v>0</v>
      </c>
      <c r="P90" s="48">
        <v>-0.6299999999999919</v>
      </c>
      <c r="Q90" s="48">
        <v>0</v>
      </c>
      <c r="R90" s="48">
        <v>0</v>
      </c>
      <c r="S90" s="48"/>
      <c r="T90" s="48">
        <f t="shared" si="6"/>
        <v>-0.6299999999999919</v>
      </c>
      <c r="U90" s="48">
        <f t="shared" si="7"/>
        <v>-0.6299999999999919</v>
      </c>
      <c r="V90" s="49">
        <f>+Tabla_Auditorias[[#This Row],[AJUSTE
EGRESO
COSTO]]+Tabla_Auditorias[[#This Row],[AJUSTE EGRESO
MAL ESTADO]]+Tabla_Auditorias[[#This Row],[AJUSTE
INGRESO
COSTO]]</f>
        <v>-62.967083333333321</v>
      </c>
      <c r="W90" s="48">
        <v>-155.83994999999999</v>
      </c>
      <c r="X90" s="48"/>
      <c r="Y90" s="48"/>
      <c r="Z90" s="48">
        <v>92.872866666666667</v>
      </c>
      <c r="AA90" s="50">
        <f>+SUM(Tabla_Auditorias[[#This Row],[AJUSTE
EGRESO
COSTO]:[AJUSTE
INGRESO
COSTO]])</f>
        <v>-62.967083333333321</v>
      </c>
      <c r="AB90" s="36" t="str">
        <f t="shared" si="8"/>
        <v>BAJO</v>
      </c>
      <c r="AC90" s="37">
        <f t="shared" si="9"/>
        <v>10</v>
      </c>
      <c r="AD90" s="35">
        <v>0</v>
      </c>
      <c r="AE90" s="41" t="s">
        <v>49</v>
      </c>
      <c r="AF90" s="38" t="str">
        <f>IF(Tabla_Auditorias[[#This Row],[TOTAL
COSTO
NETO]]&lt;&gt;0,"Si","No")</f>
        <v>Si</v>
      </c>
      <c r="AG90" s="39"/>
      <c r="AH90" s="40"/>
      <c r="AI90" s="51">
        <f t="shared" si="10"/>
        <v>0</v>
      </c>
      <c r="AJ90" s="38" t="str">
        <f t="shared" si="11"/>
        <v>Pendiente</v>
      </c>
    </row>
    <row r="91" spans="1:36" s="31" customFormat="1" ht="25.5" customHeight="1" x14ac:dyDescent="0.2">
      <c r="A91" s="32">
        <v>87</v>
      </c>
      <c r="B91" s="33" t="s">
        <v>152</v>
      </c>
      <c r="C91" s="32" t="s">
        <v>153</v>
      </c>
      <c r="D91" s="32" t="s">
        <v>89</v>
      </c>
      <c r="E91" s="32" t="s">
        <v>45</v>
      </c>
      <c r="F91" s="32">
        <v>3041</v>
      </c>
      <c r="G91" s="33" t="s">
        <v>46</v>
      </c>
      <c r="H91" s="32" t="s">
        <v>47</v>
      </c>
      <c r="I91" s="32"/>
      <c r="J91" s="34">
        <v>45502</v>
      </c>
      <c r="K91" s="34">
        <v>45502</v>
      </c>
      <c r="L91" s="32" t="s">
        <v>48</v>
      </c>
      <c r="M91" s="48">
        <v>8459.2951999999987</v>
      </c>
      <c r="N91" s="48">
        <v>0</v>
      </c>
      <c r="O91" s="48">
        <v>0</v>
      </c>
      <c r="P91" s="48">
        <v>2.399999999999999</v>
      </c>
      <c r="Q91" s="48">
        <v>0</v>
      </c>
      <c r="R91" s="48">
        <v>0</v>
      </c>
      <c r="S91" s="48"/>
      <c r="T91" s="48">
        <f t="shared" si="6"/>
        <v>2.399999999999999</v>
      </c>
      <c r="U91" s="48">
        <f t="shared" si="7"/>
        <v>2.399999999999999</v>
      </c>
      <c r="V91" s="49">
        <f>+Tabla_Auditorias[[#This Row],[AJUSTE
EGRESO
COSTO]]+Tabla_Auditorias[[#This Row],[AJUSTE EGRESO
MAL ESTADO]]+Tabla_Auditorias[[#This Row],[AJUSTE
INGRESO
COSTO]]</f>
        <v>1.1443599999999998</v>
      </c>
      <c r="W91" s="48">
        <v>-1.7237</v>
      </c>
      <c r="X91" s="48"/>
      <c r="Y91" s="48"/>
      <c r="Z91" s="48">
        <v>2.8680599999999998</v>
      </c>
      <c r="AA91" s="50">
        <f>+SUM(Tabla_Auditorias[[#This Row],[AJUSTE
EGRESO
COSTO]:[AJUSTE
INGRESO
COSTO]])</f>
        <v>1.1443599999999998</v>
      </c>
      <c r="AB91" s="36" t="str">
        <f t="shared" si="8"/>
        <v>BAJO</v>
      </c>
      <c r="AC91" s="37">
        <f t="shared" si="9"/>
        <v>10</v>
      </c>
      <c r="AD91" s="35">
        <v>0</v>
      </c>
      <c r="AE91" s="41" t="s">
        <v>49</v>
      </c>
      <c r="AF91" s="38" t="str">
        <f>IF(Tabla_Auditorias[[#This Row],[TOTAL
COSTO
NETO]]&lt;&gt;0,"Si","No")</f>
        <v>Si</v>
      </c>
      <c r="AG91" s="39"/>
      <c r="AH91" s="40"/>
      <c r="AI91" s="51" t="str">
        <f t="shared" si="10"/>
        <v/>
      </c>
      <c r="AJ91" s="38" t="str">
        <f t="shared" si="11"/>
        <v>No Aplica</v>
      </c>
    </row>
    <row r="92" spans="1:36" s="31" customFormat="1" ht="25.5" customHeight="1" x14ac:dyDescent="0.2">
      <c r="A92" s="32">
        <v>88</v>
      </c>
      <c r="B92" s="33" t="s">
        <v>79</v>
      </c>
      <c r="C92" s="32" t="s">
        <v>43</v>
      </c>
      <c r="D92" s="32" t="s">
        <v>44</v>
      </c>
      <c r="E92" s="32" t="s">
        <v>45</v>
      </c>
      <c r="F92" s="32">
        <v>1316</v>
      </c>
      <c r="G92" s="33" t="s">
        <v>46</v>
      </c>
      <c r="H92" s="32" t="s">
        <v>47</v>
      </c>
      <c r="I92" s="32"/>
      <c r="J92" s="34">
        <v>45503</v>
      </c>
      <c r="K92" s="34">
        <v>45503</v>
      </c>
      <c r="L92" s="32" t="s">
        <v>48</v>
      </c>
      <c r="M92" s="48">
        <v>168923.7322000002</v>
      </c>
      <c r="N92" s="48">
        <v>0</v>
      </c>
      <c r="O92" s="48">
        <v>-47.76</v>
      </c>
      <c r="P92" s="48">
        <v>0</v>
      </c>
      <c r="Q92" s="48">
        <v>0</v>
      </c>
      <c r="R92" s="48">
        <v>0</v>
      </c>
      <c r="S92" s="48"/>
      <c r="T92" s="48">
        <f t="shared" si="6"/>
        <v>-47.76</v>
      </c>
      <c r="U92" s="48">
        <f t="shared" si="7"/>
        <v>-47.76</v>
      </c>
      <c r="V92" s="49">
        <f>+Tabla_Auditorias[[#This Row],[AJUSTE
EGRESO
COSTO]]+Tabla_Auditorias[[#This Row],[AJUSTE EGRESO
MAL ESTADO]]+Tabla_Auditorias[[#This Row],[AJUSTE
INGRESO
COSTO]]</f>
        <v>-16.2286</v>
      </c>
      <c r="W92" s="48">
        <v>-16.2286</v>
      </c>
      <c r="X92" s="48"/>
      <c r="Y92" s="48"/>
      <c r="Z92" s="48">
        <v>0</v>
      </c>
      <c r="AA92" s="50">
        <f>+SUM(Tabla_Auditorias[[#This Row],[AJUSTE
EGRESO
COSTO]:[AJUSTE
INGRESO
COSTO]])</f>
        <v>-16.2286</v>
      </c>
      <c r="AB92" s="36" t="str">
        <f t="shared" si="8"/>
        <v>MEDIO</v>
      </c>
      <c r="AC92" s="37">
        <f t="shared" si="9"/>
        <v>20</v>
      </c>
      <c r="AD92" s="35">
        <v>0</v>
      </c>
      <c r="AE92" s="41" t="s">
        <v>49</v>
      </c>
      <c r="AF92" s="38" t="str">
        <f>IF(Tabla_Auditorias[[#This Row],[TOTAL
COSTO
NETO]]&lt;&gt;0,"Si","No")</f>
        <v>Si</v>
      </c>
      <c r="AG92" s="39"/>
      <c r="AH92" s="40"/>
      <c r="AI92" s="51">
        <f t="shared" si="10"/>
        <v>0</v>
      </c>
      <c r="AJ92" s="38" t="str">
        <f t="shared" si="11"/>
        <v>Pendiente</v>
      </c>
    </row>
    <row r="93" spans="1:36" s="31" customFormat="1" ht="25.5" customHeight="1" x14ac:dyDescent="0.2">
      <c r="A93" s="32">
        <v>89</v>
      </c>
      <c r="B93" s="33" t="s">
        <v>93</v>
      </c>
      <c r="C93" s="32" t="s">
        <v>51</v>
      </c>
      <c r="D93" s="32" t="s">
        <v>64</v>
      </c>
      <c r="E93" s="32" t="s">
        <v>45</v>
      </c>
      <c r="F93" s="32">
        <v>1723</v>
      </c>
      <c r="G93" s="33" t="s">
        <v>46</v>
      </c>
      <c r="H93" s="32" t="s">
        <v>47</v>
      </c>
      <c r="I93" s="32"/>
      <c r="J93" s="34">
        <v>45506</v>
      </c>
      <c r="K93" s="34">
        <v>45506</v>
      </c>
      <c r="L93" s="32" t="s">
        <v>48</v>
      </c>
      <c r="M93" s="48">
        <v>386146.32719999988</v>
      </c>
      <c r="N93" s="48">
        <v>0</v>
      </c>
      <c r="O93" s="48">
        <v>0</v>
      </c>
      <c r="P93" s="48">
        <v>0</v>
      </c>
      <c r="Q93" s="48">
        <v>0</v>
      </c>
      <c r="R93" s="48">
        <v>0</v>
      </c>
      <c r="S93" s="48"/>
      <c r="T93" s="48">
        <f t="shared" si="6"/>
        <v>0</v>
      </c>
      <c r="U93" s="48">
        <f t="shared" si="7"/>
        <v>0</v>
      </c>
      <c r="V93" s="49">
        <f>+Tabla_Auditorias[[#This Row],[AJUSTE
EGRESO
COSTO]]+Tabla_Auditorias[[#This Row],[AJUSTE EGRESO
MAL ESTADO]]+Tabla_Auditorias[[#This Row],[AJUSTE
INGRESO
COSTO]]</f>
        <v>0</v>
      </c>
      <c r="W93" s="48">
        <v>0</v>
      </c>
      <c r="X93" s="48"/>
      <c r="Y93" s="48"/>
      <c r="Z93" s="48">
        <v>0</v>
      </c>
      <c r="AA93" s="50">
        <f>+SUM(Tabla_Auditorias[[#This Row],[AJUSTE
EGRESO
COSTO]:[AJUSTE
INGRESO
COSTO]])</f>
        <v>0</v>
      </c>
      <c r="AB93" s="36" t="str">
        <f t="shared" si="8"/>
        <v>BAJO</v>
      </c>
      <c r="AC93" s="37">
        <f t="shared" si="9"/>
        <v>0</v>
      </c>
      <c r="AD93" s="35">
        <v>0</v>
      </c>
      <c r="AE93" s="41" t="s">
        <v>49</v>
      </c>
      <c r="AF93" s="38" t="str">
        <f>IF(Tabla_Auditorias[[#This Row],[TOTAL
COSTO
NETO]]&lt;&gt;0,"Si","No")</f>
        <v>No</v>
      </c>
      <c r="AG93" s="39"/>
      <c r="AH93" s="40"/>
      <c r="AI93" s="51" t="str">
        <f t="shared" si="10"/>
        <v/>
      </c>
      <c r="AJ93" s="38" t="str">
        <f t="shared" si="11"/>
        <v>Pendiente</v>
      </c>
    </row>
    <row r="94" spans="1:36" s="31" customFormat="1" ht="25.5" customHeight="1" x14ac:dyDescent="0.2">
      <c r="A94" s="32">
        <v>90</v>
      </c>
      <c r="B94" s="33" t="s">
        <v>42</v>
      </c>
      <c r="C94" s="32" t="s">
        <v>43</v>
      </c>
      <c r="D94" s="32" t="s">
        <v>44</v>
      </c>
      <c r="E94" s="32" t="s">
        <v>45</v>
      </c>
      <c r="F94" s="32">
        <v>1310</v>
      </c>
      <c r="G94" s="33" t="s">
        <v>46</v>
      </c>
      <c r="H94" s="32" t="s">
        <v>47</v>
      </c>
      <c r="I94" s="32"/>
      <c r="J94" s="34">
        <v>45509</v>
      </c>
      <c r="K94" s="34">
        <v>45509</v>
      </c>
      <c r="L94" s="32" t="s">
        <v>48</v>
      </c>
      <c r="M94" s="48">
        <v>199044.36899999989</v>
      </c>
      <c r="N94" s="48">
        <v>0</v>
      </c>
      <c r="O94" s="48">
        <v>0</v>
      </c>
      <c r="P94" s="48">
        <v>-1.22</v>
      </c>
      <c r="Q94" s="48">
        <v>0</v>
      </c>
      <c r="R94" s="48">
        <v>0</v>
      </c>
      <c r="S94" s="48"/>
      <c r="T94" s="48">
        <f t="shared" si="6"/>
        <v>-1.22</v>
      </c>
      <c r="U94" s="48">
        <f t="shared" si="7"/>
        <v>-1.22</v>
      </c>
      <c r="V94" s="49">
        <f>+Tabla_Auditorias[[#This Row],[AJUSTE
EGRESO
COSTO]]+Tabla_Auditorias[[#This Row],[AJUSTE EGRESO
MAL ESTADO]]+Tabla_Auditorias[[#This Row],[AJUSTE
INGRESO
COSTO]]</f>
        <v>-0.54923571428571449</v>
      </c>
      <c r="W94" s="48">
        <v>-315.09088571428572</v>
      </c>
      <c r="X94" s="48"/>
      <c r="Y94" s="48"/>
      <c r="Z94" s="48">
        <v>314.54165</v>
      </c>
      <c r="AA94" s="50">
        <f>+SUM(Tabla_Auditorias[[#This Row],[AJUSTE
EGRESO
COSTO]:[AJUSTE
INGRESO
COSTO]])</f>
        <v>-0.54923571428571449</v>
      </c>
      <c r="AB94" s="36" t="str">
        <f t="shared" si="8"/>
        <v>BAJO</v>
      </c>
      <c r="AC94" s="37">
        <f t="shared" si="9"/>
        <v>10</v>
      </c>
      <c r="AD94" s="35">
        <v>0</v>
      </c>
      <c r="AE94" s="41" t="s">
        <v>49</v>
      </c>
      <c r="AF94" s="38" t="str">
        <f>IF(Tabla_Auditorias[[#This Row],[TOTAL
COSTO
NETO]]&lt;&gt;0,"Si","No")</f>
        <v>Si</v>
      </c>
      <c r="AG94" s="39"/>
      <c r="AH94" s="40"/>
      <c r="AI94" s="51">
        <f t="shared" si="10"/>
        <v>0</v>
      </c>
      <c r="AJ94" s="38" t="str">
        <f t="shared" si="11"/>
        <v>Pendiente</v>
      </c>
    </row>
    <row r="95" spans="1:36" s="31" customFormat="1" ht="25.5" customHeight="1" x14ac:dyDescent="0.2">
      <c r="A95" s="32">
        <v>91</v>
      </c>
      <c r="B95" s="33" t="s">
        <v>69</v>
      </c>
      <c r="C95" s="32" t="s">
        <v>51</v>
      </c>
      <c r="D95" s="32" t="s">
        <v>57</v>
      </c>
      <c r="E95" s="32" t="s">
        <v>53</v>
      </c>
      <c r="F95" s="32">
        <v>1705</v>
      </c>
      <c r="G95" s="33" t="s">
        <v>54</v>
      </c>
      <c r="H95" s="32" t="s">
        <v>47</v>
      </c>
      <c r="I95" s="32"/>
      <c r="J95" s="34">
        <v>45509</v>
      </c>
      <c r="K95" s="34">
        <v>45509</v>
      </c>
      <c r="L95" s="32" t="s">
        <v>48</v>
      </c>
      <c r="M95" s="48">
        <v>127621.01</v>
      </c>
      <c r="N95" s="48">
        <v>0</v>
      </c>
      <c r="O95" s="48">
        <v>0</v>
      </c>
      <c r="P95" s="48">
        <v>0</v>
      </c>
      <c r="Q95" s="48">
        <v>0</v>
      </c>
      <c r="R95" s="48">
        <v>0</v>
      </c>
      <c r="S95" s="48"/>
      <c r="T95" s="48">
        <f t="shared" si="6"/>
        <v>0</v>
      </c>
      <c r="U95" s="48">
        <f t="shared" si="7"/>
        <v>0</v>
      </c>
      <c r="V95" s="49">
        <f>+Tabla_Auditorias[[#This Row],[AJUSTE
EGRESO
COSTO]]+Tabla_Auditorias[[#This Row],[AJUSTE EGRESO
MAL ESTADO]]+Tabla_Auditorias[[#This Row],[AJUSTE
INGRESO
COSTO]]</f>
        <v>0</v>
      </c>
      <c r="W95" s="48">
        <v>0</v>
      </c>
      <c r="X95" s="48"/>
      <c r="Y95" s="48"/>
      <c r="Z95" s="48">
        <v>0</v>
      </c>
      <c r="AA95" s="50">
        <f>+SUM(Tabla_Auditorias[[#This Row],[AJUSTE
EGRESO
COSTO]:[AJUSTE
INGRESO
COSTO]])</f>
        <v>0</v>
      </c>
      <c r="AB95" s="36" t="str">
        <f t="shared" si="8"/>
        <v>BAJO</v>
      </c>
      <c r="AC95" s="37">
        <f t="shared" si="9"/>
        <v>0</v>
      </c>
      <c r="AD95" s="35">
        <v>0</v>
      </c>
      <c r="AE95" s="41" t="s">
        <v>49</v>
      </c>
      <c r="AF95" s="38" t="str">
        <f>IF(Tabla_Auditorias[[#This Row],[TOTAL
COSTO
NETO]]&lt;&gt;0,"Si","No")</f>
        <v>No</v>
      </c>
      <c r="AG95" s="39" t="s">
        <v>55</v>
      </c>
      <c r="AH95" s="40"/>
      <c r="AI95" s="51" t="str">
        <f t="shared" si="10"/>
        <v/>
      </c>
      <c r="AJ95" s="38" t="str">
        <f t="shared" si="11"/>
        <v>Pendiente</v>
      </c>
    </row>
    <row r="96" spans="1:36" s="31" customFormat="1" ht="25.5" customHeight="1" x14ac:dyDescent="0.2">
      <c r="A96" s="32">
        <v>92</v>
      </c>
      <c r="B96" s="33" t="s">
        <v>134</v>
      </c>
      <c r="C96" s="32" t="s">
        <v>43</v>
      </c>
      <c r="D96" s="32" t="s">
        <v>44</v>
      </c>
      <c r="E96" s="32" t="s">
        <v>45</v>
      </c>
      <c r="F96" s="32">
        <v>1314</v>
      </c>
      <c r="G96" s="33" t="s">
        <v>46</v>
      </c>
      <c r="H96" s="32" t="s">
        <v>47</v>
      </c>
      <c r="I96" s="32"/>
      <c r="J96" s="34">
        <v>45516</v>
      </c>
      <c r="K96" s="34">
        <v>45516</v>
      </c>
      <c r="L96" s="32" t="s">
        <v>48</v>
      </c>
      <c r="M96" s="48">
        <v>473616.82049999997</v>
      </c>
      <c r="N96" s="48">
        <v>1083.77</v>
      </c>
      <c r="O96" s="48">
        <v>-1287.17</v>
      </c>
      <c r="P96" s="48">
        <v>77.90000000000002</v>
      </c>
      <c r="Q96" s="48">
        <v>0</v>
      </c>
      <c r="R96" s="48">
        <v>0</v>
      </c>
      <c r="S96" s="48"/>
      <c r="T96" s="48">
        <f t="shared" si="6"/>
        <v>-125.50000000000007</v>
      </c>
      <c r="U96" s="48">
        <f t="shared" si="7"/>
        <v>-125.50000000000007</v>
      </c>
      <c r="V96" s="49">
        <f>+Tabla_Auditorias[[#This Row],[AJUSTE
EGRESO
COSTO]]+Tabla_Auditorias[[#This Row],[AJUSTE EGRESO
MAL ESTADO]]+Tabla_Auditorias[[#This Row],[AJUSTE
INGRESO
COSTO]]</f>
        <v>133.01317081196703</v>
      </c>
      <c r="W96" s="48">
        <v>-2204.9003347435892</v>
      </c>
      <c r="X96" s="48"/>
      <c r="Y96" s="48"/>
      <c r="Z96" s="48">
        <v>2337.9135055555562</v>
      </c>
      <c r="AA96" s="50">
        <f>+SUM(Tabla_Auditorias[[#This Row],[AJUSTE
EGRESO
COSTO]:[AJUSTE
INGRESO
COSTO]])</f>
        <v>133.01317081196703</v>
      </c>
      <c r="AB96" s="36" t="str">
        <f t="shared" si="8"/>
        <v>MEDIO</v>
      </c>
      <c r="AC96" s="37">
        <f t="shared" si="9"/>
        <v>20</v>
      </c>
      <c r="AD96" s="35">
        <v>0</v>
      </c>
      <c r="AE96" s="41" t="s">
        <v>49</v>
      </c>
      <c r="AF96" s="38" t="str">
        <f>IF(Tabla_Auditorias[[#This Row],[TOTAL
COSTO
NETO]]&lt;&gt;0,"Si","No")</f>
        <v>Si</v>
      </c>
      <c r="AG96" s="39"/>
      <c r="AH96" s="40"/>
      <c r="AI96" s="51" t="str">
        <f t="shared" si="10"/>
        <v/>
      </c>
      <c r="AJ96" s="38" t="str">
        <f t="shared" si="11"/>
        <v>No Aplica</v>
      </c>
    </row>
    <row r="97" spans="1:36" s="31" customFormat="1" ht="25.5" customHeight="1" x14ac:dyDescent="0.2">
      <c r="A97" s="32">
        <v>93</v>
      </c>
      <c r="B97" s="33" t="s">
        <v>154</v>
      </c>
      <c r="C97" s="32" t="s">
        <v>51</v>
      </c>
      <c r="D97" s="32" t="s">
        <v>57</v>
      </c>
      <c r="E97" s="32" t="s">
        <v>58</v>
      </c>
      <c r="F97" s="32">
        <v>1740</v>
      </c>
      <c r="G97" s="33" t="s">
        <v>59</v>
      </c>
      <c r="H97" s="32" t="s">
        <v>47</v>
      </c>
      <c r="I97" s="32"/>
      <c r="J97" s="34">
        <v>45516</v>
      </c>
      <c r="K97" s="34">
        <v>45516</v>
      </c>
      <c r="L97" s="32" t="s">
        <v>48</v>
      </c>
      <c r="M97" s="48">
        <v>90200.857699999993</v>
      </c>
      <c r="N97" s="48">
        <v>34.612000000000002</v>
      </c>
      <c r="O97" s="48">
        <v>0</v>
      </c>
      <c r="P97" s="48">
        <v>-23.914000000000001</v>
      </c>
      <c r="Q97" s="48">
        <v>0</v>
      </c>
      <c r="R97" s="48">
        <v>0</v>
      </c>
      <c r="S97" s="48"/>
      <c r="T97" s="48">
        <f t="shared" si="6"/>
        <v>10.698</v>
      </c>
      <c r="U97" s="48">
        <f t="shared" si="7"/>
        <v>10.698</v>
      </c>
      <c r="V97" s="49">
        <f>+Tabla_Auditorias[[#This Row],[AJUSTE
EGRESO
COSTO]]+Tabla_Auditorias[[#This Row],[AJUSTE EGRESO
MAL ESTADO]]+Tabla_Auditorias[[#This Row],[AJUSTE
INGRESO
COSTO]]</f>
        <v>34.170220454545984</v>
      </c>
      <c r="W97" s="48">
        <v>-494.26913560605999</v>
      </c>
      <c r="X97" s="48"/>
      <c r="Y97" s="48"/>
      <c r="Z97" s="48">
        <v>528.43935606060597</v>
      </c>
      <c r="AA97" s="50">
        <f>+SUM(Tabla_Auditorias[[#This Row],[AJUSTE
EGRESO
COSTO]:[AJUSTE
INGRESO
COSTO]])</f>
        <v>34.170220454545984</v>
      </c>
      <c r="AB97" s="36" t="str">
        <f t="shared" si="8"/>
        <v>BAJO</v>
      </c>
      <c r="AC97" s="37">
        <f t="shared" si="9"/>
        <v>10</v>
      </c>
      <c r="AD97" s="35">
        <v>0</v>
      </c>
      <c r="AE97" s="41" t="s">
        <v>49</v>
      </c>
      <c r="AF97" s="38" t="str">
        <f>IF(Tabla_Auditorias[[#This Row],[TOTAL
COSTO
NETO]]&lt;&gt;0,"Si","No")</f>
        <v>Si</v>
      </c>
      <c r="AG97" s="39" t="s">
        <v>155</v>
      </c>
      <c r="AH97" s="40"/>
      <c r="AI97" s="51" t="str">
        <f t="shared" si="10"/>
        <v/>
      </c>
      <c r="AJ97" s="38" t="str">
        <f t="shared" si="11"/>
        <v>No Aplica</v>
      </c>
    </row>
    <row r="98" spans="1:36" s="31" customFormat="1" ht="25.5" customHeight="1" x14ac:dyDescent="0.2">
      <c r="A98" s="32">
        <v>94</v>
      </c>
      <c r="B98" s="33" t="s">
        <v>94</v>
      </c>
      <c r="C98" s="32" t="s">
        <v>43</v>
      </c>
      <c r="D98" s="32" t="s">
        <v>44</v>
      </c>
      <c r="E98" s="32" t="s">
        <v>53</v>
      </c>
      <c r="F98" s="32">
        <v>1473</v>
      </c>
      <c r="G98" s="33" t="s">
        <v>54</v>
      </c>
      <c r="H98" s="32" t="s">
        <v>47</v>
      </c>
      <c r="I98" s="32"/>
      <c r="J98" s="34">
        <v>45517</v>
      </c>
      <c r="K98" s="34">
        <v>45517</v>
      </c>
      <c r="L98" s="32" t="s">
        <v>48</v>
      </c>
      <c r="M98" s="48">
        <v>209054.48</v>
      </c>
      <c r="N98" s="48">
        <v>92.24</v>
      </c>
      <c r="O98" s="48">
        <v>-16.12</v>
      </c>
      <c r="P98" s="48">
        <v>-28.340000000000028</v>
      </c>
      <c r="Q98" s="48">
        <v>0</v>
      </c>
      <c r="R98" s="48">
        <v>0</v>
      </c>
      <c r="S98" s="48"/>
      <c r="T98" s="48">
        <f t="shared" si="6"/>
        <v>47.779999999999959</v>
      </c>
      <c r="U98" s="48">
        <f t="shared" si="7"/>
        <v>47.779999999999959</v>
      </c>
      <c r="V98" s="49">
        <f>+Tabla_Auditorias[[#This Row],[AJUSTE
EGRESO
COSTO]]+Tabla_Auditorias[[#This Row],[AJUSTE EGRESO
MAL ESTADO]]+Tabla_Auditorias[[#This Row],[AJUSTE
INGRESO
COSTO]]</f>
        <v>22.550000000000011</v>
      </c>
      <c r="W98" s="48">
        <v>-394.18</v>
      </c>
      <c r="X98" s="48"/>
      <c r="Y98" s="48"/>
      <c r="Z98" s="48">
        <v>416.73</v>
      </c>
      <c r="AA98" s="50">
        <f>+SUM(Tabla_Auditorias[[#This Row],[AJUSTE
EGRESO
COSTO]:[AJUSTE
INGRESO
COSTO]])</f>
        <v>22.550000000000011</v>
      </c>
      <c r="AB98" s="36" t="str">
        <f t="shared" si="8"/>
        <v>MEDIO</v>
      </c>
      <c r="AC98" s="37">
        <f t="shared" si="9"/>
        <v>20</v>
      </c>
      <c r="AD98" s="35">
        <v>0</v>
      </c>
      <c r="AE98" s="41" t="s">
        <v>49</v>
      </c>
      <c r="AF98" s="38" t="str">
        <f>IF(Tabla_Auditorias[[#This Row],[TOTAL
COSTO
NETO]]&lt;&gt;0,"Si","No")</f>
        <v>Si</v>
      </c>
      <c r="AG98" s="39" t="s">
        <v>156</v>
      </c>
      <c r="AH98" s="40"/>
      <c r="AI98" s="51" t="str">
        <f t="shared" si="10"/>
        <v/>
      </c>
      <c r="AJ98" s="38" t="str">
        <f t="shared" si="11"/>
        <v>No Aplica</v>
      </c>
    </row>
    <row r="99" spans="1:36" s="31" customFormat="1" ht="25.5" customHeight="1" x14ac:dyDescent="0.2">
      <c r="A99" s="32">
        <v>95</v>
      </c>
      <c r="B99" s="33" t="s">
        <v>123</v>
      </c>
      <c r="C99" s="32" t="s">
        <v>51</v>
      </c>
      <c r="D99" s="32" t="s">
        <v>64</v>
      </c>
      <c r="E99" s="32" t="s">
        <v>58</v>
      </c>
      <c r="F99" s="32">
        <v>1726</v>
      </c>
      <c r="G99" s="33" t="s">
        <v>59</v>
      </c>
      <c r="H99" s="32" t="s">
        <v>47</v>
      </c>
      <c r="I99" s="32"/>
      <c r="J99" s="34">
        <v>45523</v>
      </c>
      <c r="K99" s="34">
        <v>45523</v>
      </c>
      <c r="L99" s="32" t="s">
        <v>48</v>
      </c>
      <c r="M99" s="48">
        <v>532740.53630000004</v>
      </c>
      <c r="N99" s="48">
        <v>31.42</v>
      </c>
      <c r="O99" s="48">
        <v>-403.06</v>
      </c>
      <c r="P99" s="48">
        <v>17.82</v>
      </c>
      <c r="Q99" s="48">
        <v>0</v>
      </c>
      <c r="R99" s="48">
        <v>0</v>
      </c>
      <c r="S99" s="48"/>
      <c r="T99" s="48">
        <f t="shared" si="6"/>
        <v>-353.82</v>
      </c>
      <c r="U99" s="48">
        <f t="shared" si="7"/>
        <v>-353.82</v>
      </c>
      <c r="V99" s="49">
        <f>+Tabla_Auditorias[[#This Row],[AJUSTE
EGRESO
COSTO]]+Tabla_Auditorias[[#This Row],[AJUSTE EGRESO
MAL ESTADO]]+Tabla_Auditorias[[#This Row],[AJUSTE
INGRESO
COSTO]]</f>
        <v>-475.33994999999959</v>
      </c>
      <c r="W99" s="48">
        <v>-12651.803449999999</v>
      </c>
      <c r="X99" s="48"/>
      <c r="Y99" s="48"/>
      <c r="Z99" s="48">
        <v>12176.4635</v>
      </c>
      <c r="AA99" s="50">
        <f>+SUM(Tabla_Auditorias[[#This Row],[AJUSTE
EGRESO
COSTO]:[AJUSTE
INGRESO
COSTO]])</f>
        <v>-475.33994999999959</v>
      </c>
      <c r="AB99" s="36" t="str">
        <f t="shared" si="8"/>
        <v>MEDIO</v>
      </c>
      <c r="AC99" s="37">
        <f t="shared" si="9"/>
        <v>25</v>
      </c>
      <c r="AD99" s="35">
        <v>0</v>
      </c>
      <c r="AE99" s="41" t="s">
        <v>49</v>
      </c>
      <c r="AF99" s="38" t="str">
        <f>IF(Tabla_Auditorias[[#This Row],[TOTAL
COSTO
NETO]]&lt;&gt;0,"Si","No")</f>
        <v>Si</v>
      </c>
      <c r="AG99" s="39" t="s">
        <v>157</v>
      </c>
      <c r="AH99" s="40"/>
      <c r="AI99" s="51">
        <f t="shared" si="10"/>
        <v>0</v>
      </c>
      <c r="AJ99" s="38" t="str">
        <f t="shared" si="11"/>
        <v>Pendiente</v>
      </c>
    </row>
    <row r="100" spans="1:36" s="31" customFormat="1" ht="25.5" customHeight="1" x14ac:dyDescent="0.2">
      <c r="A100" s="32">
        <v>96</v>
      </c>
      <c r="B100" s="33" t="s">
        <v>85</v>
      </c>
      <c r="C100" s="32" t="s">
        <v>43</v>
      </c>
      <c r="D100" s="32" t="s">
        <v>44</v>
      </c>
      <c r="E100" s="32" t="s">
        <v>53</v>
      </c>
      <c r="F100" s="32">
        <v>1481</v>
      </c>
      <c r="G100" s="33" t="s">
        <v>54</v>
      </c>
      <c r="H100" s="32" t="s">
        <v>47</v>
      </c>
      <c r="I100" s="32"/>
      <c r="J100" s="34">
        <v>45523</v>
      </c>
      <c r="K100" s="34">
        <v>45523</v>
      </c>
      <c r="L100" s="32" t="s">
        <v>48</v>
      </c>
      <c r="M100" s="48">
        <v>78741.87</v>
      </c>
      <c r="N100" s="48">
        <v>0</v>
      </c>
      <c r="O100" s="48">
        <v>-90.15</v>
      </c>
      <c r="P100" s="48">
        <v>-2.7400000000000091</v>
      </c>
      <c r="Q100" s="48">
        <v>0</v>
      </c>
      <c r="R100" s="48">
        <v>0</v>
      </c>
      <c r="S100" s="48"/>
      <c r="T100" s="48">
        <f t="shared" si="6"/>
        <v>-92.890000000000015</v>
      </c>
      <c r="U100" s="48">
        <f t="shared" si="7"/>
        <v>-92.890000000000015</v>
      </c>
      <c r="V100" s="49">
        <f>+Tabla_Auditorias[[#This Row],[AJUSTE
EGRESO
COSTO]]+Tabla_Auditorias[[#This Row],[AJUSTE EGRESO
MAL ESTADO]]+Tabla_Auditorias[[#This Row],[AJUSTE
INGRESO
COSTO]]</f>
        <v>-47.72</v>
      </c>
      <c r="W100" s="48">
        <v>-154.91</v>
      </c>
      <c r="X100" s="48"/>
      <c r="Y100" s="48"/>
      <c r="Z100" s="48">
        <v>107.19</v>
      </c>
      <c r="AA100" s="50">
        <f>+SUM(Tabla_Auditorias[[#This Row],[AJUSTE
EGRESO
COSTO]:[AJUSTE
INGRESO
COSTO]])</f>
        <v>-47.72</v>
      </c>
      <c r="AB100" s="36" t="str">
        <f t="shared" si="8"/>
        <v>MEDIO</v>
      </c>
      <c r="AC100" s="37">
        <f t="shared" si="9"/>
        <v>20</v>
      </c>
      <c r="AD100" s="35">
        <v>0</v>
      </c>
      <c r="AE100" s="41" t="s">
        <v>49</v>
      </c>
      <c r="AF100" s="38" t="str">
        <f>IF(Tabla_Auditorias[[#This Row],[TOTAL
COSTO
NETO]]&lt;&gt;0,"Si","No")</f>
        <v>Si</v>
      </c>
      <c r="AG100" s="39" t="s">
        <v>158</v>
      </c>
      <c r="AH100" s="40"/>
      <c r="AI100" s="51">
        <f t="shared" si="10"/>
        <v>0</v>
      </c>
      <c r="AJ100" s="38" t="str">
        <f t="shared" si="11"/>
        <v>Pendiente</v>
      </c>
    </row>
    <row r="101" spans="1:36" s="31" customFormat="1" ht="25.5" customHeight="1" x14ac:dyDescent="0.2">
      <c r="A101" s="32">
        <v>97</v>
      </c>
      <c r="B101" s="33" t="s">
        <v>159</v>
      </c>
      <c r="C101" s="32" t="s">
        <v>51</v>
      </c>
      <c r="D101" s="32" t="s">
        <v>57</v>
      </c>
      <c r="E101" s="32" t="s">
        <v>53</v>
      </c>
      <c r="F101" s="32">
        <v>1743</v>
      </c>
      <c r="G101" s="33" t="s">
        <v>54</v>
      </c>
      <c r="H101" s="32" t="s">
        <v>47</v>
      </c>
      <c r="I101" s="32"/>
      <c r="J101" s="34">
        <v>45523</v>
      </c>
      <c r="K101" s="34">
        <v>45523</v>
      </c>
      <c r="L101" s="32" t="s">
        <v>48</v>
      </c>
      <c r="M101" s="48">
        <v>79800.240000000005</v>
      </c>
      <c r="N101" s="48">
        <v>0</v>
      </c>
      <c r="O101" s="48">
        <v>0</v>
      </c>
      <c r="P101" s="48">
        <v>0</v>
      </c>
      <c r="Q101" s="48">
        <v>0</v>
      </c>
      <c r="R101" s="48">
        <v>0</v>
      </c>
      <c r="S101" s="48"/>
      <c r="T101" s="48">
        <f t="shared" si="6"/>
        <v>0</v>
      </c>
      <c r="U101" s="48">
        <f t="shared" si="7"/>
        <v>0</v>
      </c>
      <c r="V101" s="49">
        <f>+Tabla_Auditorias[[#This Row],[AJUSTE
EGRESO
COSTO]]+Tabla_Auditorias[[#This Row],[AJUSTE EGRESO
MAL ESTADO]]+Tabla_Auditorias[[#This Row],[AJUSTE
INGRESO
COSTO]]</f>
        <v>0</v>
      </c>
      <c r="W101" s="48">
        <v>0</v>
      </c>
      <c r="X101" s="48"/>
      <c r="Y101" s="48"/>
      <c r="Z101" s="48">
        <v>0</v>
      </c>
      <c r="AA101" s="50">
        <f>+SUM(Tabla_Auditorias[[#This Row],[AJUSTE
EGRESO
COSTO]:[AJUSTE
INGRESO
COSTO]])</f>
        <v>0</v>
      </c>
      <c r="AB101" s="36" t="str">
        <f t="shared" si="8"/>
        <v>BAJO</v>
      </c>
      <c r="AC101" s="37">
        <f t="shared" si="9"/>
        <v>0</v>
      </c>
      <c r="AD101" s="35">
        <v>0</v>
      </c>
      <c r="AE101" s="41" t="s">
        <v>49</v>
      </c>
      <c r="AF101" s="38" t="str">
        <f>IF(Tabla_Auditorias[[#This Row],[TOTAL
COSTO
NETO]]&lt;&gt;0,"Si","No")</f>
        <v>No</v>
      </c>
      <c r="AG101" s="39" t="s">
        <v>55</v>
      </c>
      <c r="AH101" s="40"/>
      <c r="AI101" s="51" t="str">
        <f t="shared" si="10"/>
        <v/>
      </c>
      <c r="AJ101" s="38" t="str">
        <f t="shared" si="11"/>
        <v>Pendiente</v>
      </c>
    </row>
    <row r="102" spans="1:36" s="31" customFormat="1" ht="25.5" customHeight="1" x14ac:dyDescent="0.2">
      <c r="A102" s="32">
        <v>98</v>
      </c>
      <c r="B102" s="33" t="s">
        <v>160</v>
      </c>
      <c r="C102" s="32" t="s">
        <v>51</v>
      </c>
      <c r="D102" s="32" t="s">
        <v>52</v>
      </c>
      <c r="E102" s="32" t="s">
        <v>53</v>
      </c>
      <c r="F102" s="32">
        <v>1739</v>
      </c>
      <c r="G102" s="33" t="s">
        <v>54</v>
      </c>
      <c r="H102" s="32" t="s">
        <v>47</v>
      </c>
      <c r="I102" s="32"/>
      <c r="J102" s="34">
        <v>45523</v>
      </c>
      <c r="K102" s="34">
        <v>45523</v>
      </c>
      <c r="L102" s="32" t="s">
        <v>48</v>
      </c>
      <c r="M102" s="48">
        <v>13355.63</v>
      </c>
      <c r="N102" s="48">
        <v>0</v>
      </c>
      <c r="O102" s="48">
        <v>0</v>
      </c>
      <c r="P102" s="48">
        <v>0</v>
      </c>
      <c r="Q102" s="48">
        <v>0</v>
      </c>
      <c r="R102" s="48">
        <v>0</v>
      </c>
      <c r="S102" s="48"/>
      <c r="T102" s="48">
        <f t="shared" si="6"/>
        <v>0</v>
      </c>
      <c r="U102" s="48">
        <f t="shared" si="7"/>
        <v>0</v>
      </c>
      <c r="V102" s="49">
        <f>+Tabla_Auditorias[[#This Row],[AJUSTE
EGRESO
COSTO]]+Tabla_Auditorias[[#This Row],[AJUSTE EGRESO
MAL ESTADO]]+Tabla_Auditorias[[#This Row],[AJUSTE
INGRESO
COSTO]]</f>
        <v>0</v>
      </c>
      <c r="W102" s="48">
        <v>0</v>
      </c>
      <c r="X102" s="48"/>
      <c r="Y102" s="48"/>
      <c r="Z102" s="48">
        <v>0</v>
      </c>
      <c r="AA102" s="50">
        <f>+SUM(Tabla_Auditorias[[#This Row],[AJUSTE
EGRESO
COSTO]:[AJUSTE
INGRESO
COSTO]])</f>
        <v>0</v>
      </c>
      <c r="AB102" s="36" t="str">
        <f t="shared" si="8"/>
        <v>BAJO</v>
      </c>
      <c r="AC102" s="37">
        <f t="shared" si="9"/>
        <v>0</v>
      </c>
      <c r="AD102" s="35">
        <v>0</v>
      </c>
      <c r="AE102" s="41" t="s">
        <v>49</v>
      </c>
      <c r="AF102" s="38" t="str">
        <f>IF(Tabla_Auditorias[[#This Row],[TOTAL
COSTO
NETO]]&lt;&gt;0,"Si","No")</f>
        <v>No</v>
      </c>
      <c r="AG102" s="39" t="s">
        <v>55</v>
      </c>
      <c r="AH102" s="40"/>
      <c r="AI102" s="51" t="str">
        <f t="shared" si="10"/>
        <v/>
      </c>
      <c r="AJ102" s="38" t="str">
        <f t="shared" si="11"/>
        <v>Pendiente</v>
      </c>
    </row>
    <row r="103" spans="1:36" s="31" customFormat="1" ht="25.5" customHeight="1" x14ac:dyDescent="0.2">
      <c r="A103" s="32">
        <v>99</v>
      </c>
      <c r="B103" s="33" t="s">
        <v>131</v>
      </c>
      <c r="C103" s="32" t="s">
        <v>51</v>
      </c>
      <c r="D103" s="32" t="s">
        <v>57</v>
      </c>
      <c r="E103" s="32" t="s">
        <v>45</v>
      </c>
      <c r="F103" s="32">
        <v>1703</v>
      </c>
      <c r="G103" s="33" t="s">
        <v>46</v>
      </c>
      <c r="H103" s="32" t="s">
        <v>47</v>
      </c>
      <c r="I103" s="32"/>
      <c r="J103" s="34">
        <v>45536</v>
      </c>
      <c r="K103" s="34">
        <v>45536</v>
      </c>
      <c r="L103" s="32" t="s">
        <v>48</v>
      </c>
      <c r="M103" s="48">
        <v>77673.882799999963</v>
      </c>
      <c r="N103" s="48">
        <v>0</v>
      </c>
      <c r="O103" s="48">
        <v>-259.68</v>
      </c>
      <c r="P103" s="48">
        <v>0</v>
      </c>
      <c r="Q103" s="48">
        <v>-1321.85</v>
      </c>
      <c r="R103" s="48">
        <v>0</v>
      </c>
      <c r="S103" s="48"/>
      <c r="T103" s="48">
        <f t="shared" si="6"/>
        <v>-1581.53</v>
      </c>
      <c r="U103" s="48">
        <f t="shared" si="7"/>
        <v>-1581.53</v>
      </c>
      <c r="V103" s="49">
        <f>+Tabla_Auditorias[[#This Row],[AJUSTE
EGRESO
COSTO]]+Tabla_Auditorias[[#This Row],[AJUSTE EGRESO
MAL ESTADO]]+Tabla_Auditorias[[#This Row],[AJUSTE
INGRESO
COSTO]]</f>
        <v>-1112.8575999999998</v>
      </c>
      <c r="W103" s="48">
        <v>-1129.3055999999999</v>
      </c>
      <c r="X103" s="48"/>
      <c r="Y103" s="48"/>
      <c r="Z103" s="48">
        <v>16.448</v>
      </c>
      <c r="AA103" s="50">
        <f>+SUM(Tabla_Auditorias[[#This Row],[AJUSTE
EGRESO
COSTO]:[AJUSTE
INGRESO
COSTO]])</f>
        <v>-1112.8575999999998</v>
      </c>
      <c r="AB103" s="36" t="str">
        <f t="shared" si="8"/>
        <v>ALTO</v>
      </c>
      <c r="AC103" s="37">
        <f t="shared" si="9"/>
        <v>37</v>
      </c>
      <c r="AD103" s="35">
        <v>0</v>
      </c>
      <c r="AE103" s="41" t="s">
        <v>49</v>
      </c>
      <c r="AF103" s="38" t="str">
        <f>IF(Tabla_Auditorias[[#This Row],[TOTAL
COSTO
NETO]]&lt;&gt;0,"Si","No")</f>
        <v>Si</v>
      </c>
      <c r="AG103" s="39" t="s">
        <v>161</v>
      </c>
      <c r="AH103" s="40"/>
      <c r="AI103" s="51">
        <f t="shared" si="10"/>
        <v>0</v>
      </c>
      <c r="AJ103" s="38" t="str">
        <f t="shared" si="11"/>
        <v>Pendiente</v>
      </c>
    </row>
    <row r="104" spans="1:36" s="31" customFormat="1" ht="25.5" customHeight="1" x14ac:dyDescent="0.2">
      <c r="A104" s="32">
        <v>100</v>
      </c>
      <c r="B104" s="33" t="s">
        <v>82</v>
      </c>
      <c r="C104" s="32" t="s">
        <v>43</v>
      </c>
      <c r="D104" s="32" t="s">
        <v>44</v>
      </c>
      <c r="E104" s="32" t="s">
        <v>45</v>
      </c>
      <c r="F104" s="32">
        <v>1320</v>
      </c>
      <c r="G104" s="33" t="s">
        <v>46</v>
      </c>
      <c r="H104" s="32" t="s">
        <v>47</v>
      </c>
      <c r="I104" s="32"/>
      <c r="J104" s="34">
        <v>45538</v>
      </c>
      <c r="K104" s="34">
        <v>45538</v>
      </c>
      <c r="L104" s="32" t="s">
        <v>48</v>
      </c>
      <c r="M104" s="48">
        <v>221588.7941</v>
      </c>
      <c r="N104" s="48">
        <v>403.65</v>
      </c>
      <c r="O104" s="48">
        <v>-1180.28</v>
      </c>
      <c r="P104" s="48">
        <v>-58.72</v>
      </c>
      <c r="Q104" s="48">
        <v>-307.8</v>
      </c>
      <c r="R104" s="48">
        <v>-545.66999999999996</v>
      </c>
      <c r="S104" s="48"/>
      <c r="T104" s="48">
        <f t="shared" si="6"/>
        <v>-1688.8200000000002</v>
      </c>
      <c r="U104" s="48">
        <f t="shared" si="7"/>
        <v>-1143.1500000000001</v>
      </c>
      <c r="V104" s="49">
        <f>+Tabla_Auditorias[[#This Row],[AJUSTE
EGRESO
COSTO]]+Tabla_Auditorias[[#This Row],[AJUSTE EGRESO
MAL ESTADO]]+Tabla_Auditorias[[#This Row],[AJUSTE
INGRESO
COSTO]]</f>
        <v>-1238.1535010714281</v>
      </c>
      <c r="W104" s="48">
        <v>-1769.4487010714281</v>
      </c>
      <c r="X104" s="48"/>
      <c r="Y104" s="48"/>
      <c r="Z104" s="48">
        <v>531.29520000000002</v>
      </c>
      <c r="AA104" s="50">
        <f>+SUM(Tabla_Auditorias[[#This Row],[AJUSTE
EGRESO
COSTO]:[AJUSTE
INGRESO
COSTO]])</f>
        <v>-1238.1535010714281</v>
      </c>
      <c r="AB104" s="36" t="str">
        <f t="shared" si="8"/>
        <v>ALTO</v>
      </c>
      <c r="AC104" s="37">
        <f t="shared" si="9"/>
        <v>37</v>
      </c>
      <c r="AD104" s="35">
        <v>0</v>
      </c>
      <c r="AE104" s="41" t="s">
        <v>49</v>
      </c>
      <c r="AF104" s="38" t="str">
        <f>IF(Tabla_Auditorias[[#This Row],[TOTAL
COSTO
NETO]]&lt;&gt;0,"Si","No")</f>
        <v>Si</v>
      </c>
      <c r="AG104" s="39"/>
      <c r="AH104" s="40"/>
      <c r="AI104" s="51">
        <f t="shared" si="10"/>
        <v>0</v>
      </c>
      <c r="AJ104" s="38" t="str">
        <f t="shared" si="11"/>
        <v>Pendiente</v>
      </c>
    </row>
    <row r="105" spans="1:36" s="31" customFormat="1" ht="25.5" customHeight="1" x14ac:dyDescent="0.2">
      <c r="A105" s="32">
        <v>101</v>
      </c>
      <c r="B105" s="33" t="s">
        <v>56</v>
      </c>
      <c r="C105" s="32" t="s">
        <v>51</v>
      </c>
      <c r="D105" s="32" t="s">
        <v>57</v>
      </c>
      <c r="E105" s="32" t="s">
        <v>58</v>
      </c>
      <c r="F105" s="32">
        <v>1727</v>
      </c>
      <c r="G105" s="33" t="s">
        <v>59</v>
      </c>
      <c r="H105" s="32" t="s">
        <v>47</v>
      </c>
      <c r="I105" s="32"/>
      <c r="J105" s="34">
        <v>45538</v>
      </c>
      <c r="K105" s="34">
        <v>45538</v>
      </c>
      <c r="L105" s="32" t="s">
        <v>48</v>
      </c>
      <c r="M105" s="48">
        <v>123469.2571</v>
      </c>
      <c r="N105" s="48">
        <v>2.7515000000000001</v>
      </c>
      <c r="O105" s="48">
        <v>-418.49489999999997</v>
      </c>
      <c r="P105" s="48">
        <v>-28.4649</v>
      </c>
      <c r="Q105" s="48">
        <v>-1273.5685000000001</v>
      </c>
      <c r="R105" s="48">
        <v>0</v>
      </c>
      <c r="S105" s="48"/>
      <c r="T105" s="48">
        <f t="shared" si="6"/>
        <v>-1717.7768000000001</v>
      </c>
      <c r="U105" s="48">
        <f t="shared" si="7"/>
        <v>-1717.7768000000001</v>
      </c>
      <c r="V105" s="49">
        <f>+Tabla_Auditorias[[#This Row],[AJUSTE
EGRESO
COSTO]]+Tabla_Auditorias[[#This Row],[AJUSTE EGRESO
MAL ESTADO]]+Tabla_Auditorias[[#This Row],[AJUSTE
INGRESO
COSTO]]</f>
        <v>-1179.3563280158728</v>
      </c>
      <c r="W105" s="48">
        <v>-1622.6794546825399</v>
      </c>
      <c r="X105" s="48"/>
      <c r="Y105" s="48"/>
      <c r="Z105" s="48">
        <v>443.32312666666701</v>
      </c>
      <c r="AA105" s="50">
        <f>+SUM(Tabla_Auditorias[[#This Row],[AJUSTE
EGRESO
COSTO]:[AJUSTE
INGRESO
COSTO]])</f>
        <v>-1179.3563280158728</v>
      </c>
      <c r="AB105" s="36" t="str">
        <f t="shared" si="8"/>
        <v>ALTO</v>
      </c>
      <c r="AC105" s="37">
        <f t="shared" si="9"/>
        <v>37</v>
      </c>
      <c r="AD105" s="35">
        <v>0</v>
      </c>
      <c r="AE105" s="41" t="s">
        <v>49</v>
      </c>
      <c r="AF105" s="38" t="str">
        <f>IF(Tabla_Auditorias[[#This Row],[TOTAL
COSTO
NETO]]&lt;&gt;0,"Si","No")</f>
        <v>Si</v>
      </c>
      <c r="AG105" s="39" t="s">
        <v>162</v>
      </c>
      <c r="AH105" s="40"/>
      <c r="AI105" s="51">
        <f t="shared" si="10"/>
        <v>0</v>
      </c>
      <c r="AJ105" s="38" t="str">
        <f t="shared" si="11"/>
        <v>Pendiente</v>
      </c>
    </row>
    <row r="106" spans="1:36" s="31" customFormat="1" ht="25.5" customHeight="1" x14ac:dyDescent="0.2">
      <c r="A106" s="32">
        <v>102</v>
      </c>
      <c r="B106" s="33" t="s">
        <v>101</v>
      </c>
      <c r="C106" s="32" t="s">
        <v>51</v>
      </c>
      <c r="D106" s="32" t="s">
        <v>64</v>
      </c>
      <c r="E106" s="32" t="s">
        <v>53</v>
      </c>
      <c r="F106" s="32">
        <v>1724</v>
      </c>
      <c r="G106" s="33" t="s">
        <v>54</v>
      </c>
      <c r="H106" s="32" t="s">
        <v>47</v>
      </c>
      <c r="I106" s="32"/>
      <c r="J106" s="34">
        <v>45538</v>
      </c>
      <c r="K106" s="34">
        <v>45538</v>
      </c>
      <c r="L106" s="32" t="s">
        <v>48</v>
      </c>
      <c r="M106" s="48">
        <v>327950.5</v>
      </c>
      <c r="N106" s="48">
        <v>0</v>
      </c>
      <c r="O106" s="48">
        <v>0</v>
      </c>
      <c r="P106" s="48">
        <v>0</v>
      </c>
      <c r="Q106" s="48">
        <v>0</v>
      </c>
      <c r="R106" s="48">
        <v>0</v>
      </c>
      <c r="S106" s="48"/>
      <c r="T106" s="48">
        <f t="shared" si="6"/>
        <v>0</v>
      </c>
      <c r="U106" s="48">
        <f t="shared" si="7"/>
        <v>0</v>
      </c>
      <c r="V106" s="49">
        <f>+Tabla_Auditorias[[#This Row],[AJUSTE
EGRESO
COSTO]]+Tabla_Auditorias[[#This Row],[AJUSTE EGRESO
MAL ESTADO]]+Tabla_Auditorias[[#This Row],[AJUSTE
INGRESO
COSTO]]</f>
        <v>0</v>
      </c>
      <c r="W106" s="48">
        <v>0</v>
      </c>
      <c r="X106" s="48"/>
      <c r="Y106" s="48"/>
      <c r="Z106" s="48">
        <v>0</v>
      </c>
      <c r="AA106" s="50">
        <f>+SUM(Tabla_Auditorias[[#This Row],[AJUSTE
EGRESO
COSTO]:[AJUSTE
INGRESO
COSTO]])</f>
        <v>0</v>
      </c>
      <c r="AB106" s="36" t="str">
        <f t="shared" si="8"/>
        <v>BAJO</v>
      </c>
      <c r="AC106" s="37">
        <f t="shared" si="9"/>
        <v>0</v>
      </c>
      <c r="AD106" s="35">
        <v>0</v>
      </c>
      <c r="AE106" s="41" t="s">
        <v>49</v>
      </c>
      <c r="AF106" s="38" t="str">
        <f>IF(Tabla_Auditorias[[#This Row],[TOTAL
COSTO
NETO]]&lt;&gt;0,"Si","No")</f>
        <v>No</v>
      </c>
      <c r="AG106" s="39" t="s">
        <v>55</v>
      </c>
      <c r="AH106" s="40"/>
      <c r="AI106" s="51" t="str">
        <f t="shared" si="10"/>
        <v/>
      </c>
      <c r="AJ106" s="38" t="str">
        <f t="shared" si="11"/>
        <v>Pendiente</v>
      </c>
    </row>
    <row r="107" spans="1:36" s="31" customFormat="1" ht="25.5" customHeight="1" x14ac:dyDescent="0.2">
      <c r="A107" s="32">
        <v>103</v>
      </c>
      <c r="B107" s="33" t="s">
        <v>107</v>
      </c>
      <c r="C107" s="32" t="s">
        <v>51</v>
      </c>
      <c r="D107" s="32" t="s">
        <v>57</v>
      </c>
      <c r="E107" s="32" t="s">
        <v>53</v>
      </c>
      <c r="F107" s="32">
        <v>1708</v>
      </c>
      <c r="G107" s="33" t="s">
        <v>54</v>
      </c>
      <c r="H107" s="32" t="s">
        <v>47</v>
      </c>
      <c r="I107" s="32"/>
      <c r="J107" s="34">
        <v>45538</v>
      </c>
      <c r="K107" s="34">
        <v>45538</v>
      </c>
      <c r="L107" s="32" t="s">
        <v>48</v>
      </c>
      <c r="M107" s="48">
        <v>78089.649999999994</v>
      </c>
      <c r="N107" s="48">
        <v>0</v>
      </c>
      <c r="O107" s="48">
        <v>0</v>
      </c>
      <c r="P107" s="48">
        <v>0</v>
      </c>
      <c r="Q107" s="48">
        <v>0</v>
      </c>
      <c r="R107" s="48">
        <v>0</v>
      </c>
      <c r="S107" s="48"/>
      <c r="T107" s="48">
        <f t="shared" si="6"/>
        <v>0</v>
      </c>
      <c r="U107" s="48">
        <f t="shared" si="7"/>
        <v>0</v>
      </c>
      <c r="V107" s="49">
        <f>+Tabla_Auditorias[[#This Row],[AJUSTE
EGRESO
COSTO]]+Tabla_Auditorias[[#This Row],[AJUSTE EGRESO
MAL ESTADO]]+Tabla_Auditorias[[#This Row],[AJUSTE
INGRESO
COSTO]]</f>
        <v>0</v>
      </c>
      <c r="W107" s="48">
        <v>0</v>
      </c>
      <c r="X107" s="48"/>
      <c r="Y107" s="48"/>
      <c r="Z107" s="48">
        <v>0</v>
      </c>
      <c r="AA107" s="50">
        <f>+SUM(Tabla_Auditorias[[#This Row],[AJUSTE
EGRESO
COSTO]:[AJUSTE
INGRESO
COSTO]])</f>
        <v>0</v>
      </c>
      <c r="AB107" s="36" t="str">
        <f t="shared" si="8"/>
        <v>BAJO</v>
      </c>
      <c r="AC107" s="37">
        <f t="shared" si="9"/>
        <v>0</v>
      </c>
      <c r="AD107" s="35">
        <v>0</v>
      </c>
      <c r="AE107" s="41" t="s">
        <v>49</v>
      </c>
      <c r="AF107" s="38" t="str">
        <f>IF(Tabla_Auditorias[[#This Row],[TOTAL
COSTO
NETO]]&lt;&gt;0,"Si","No")</f>
        <v>No</v>
      </c>
      <c r="AG107" s="39" t="s">
        <v>55</v>
      </c>
      <c r="AH107" s="40"/>
      <c r="AI107" s="51" t="str">
        <f t="shared" si="10"/>
        <v/>
      </c>
      <c r="AJ107" s="38" t="str">
        <f t="shared" si="11"/>
        <v>Pendiente</v>
      </c>
    </row>
    <row r="108" spans="1:36" s="31" customFormat="1" ht="25.5" customHeight="1" x14ac:dyDescent="0.2">
      <c r="A108" s="32">
        <v>104</v>
      </c>
      <c r="B108" s="33" t="s">
        <v>97</v>
      </c>
      <c r="C108" s="32" t="s">
        <v>51</v>
      </c>
      <c r="D108" s="32" t="s">
        <v>57</v>
      </c>
      <c r="E108" s="32" t="s">
        <v>53</v>
      </c>
      <c r="F108" s="32">
        <v>1701</v>
      </c>
      <c r="G108" s="33" t="s">
        <v>54</v>
      </c>
      <c r="H108" s="32" t="s">
        <v>47</v>
      </c>
      <c r="I108" s="32"/>
      <c r="J108" s="34">
        <v>45538</v>
      </c>
      <c r="K108" s="34">
        <v>45538</v>
      </c>
      <c r="L108" s="32" t="s">
        <v>48</v>
      </c>
      <c r="M108" s="48">
        <v>119220.1</v>
      </c>
      <c r="N108" s="48">
        <v>0</v>
      </c>
      <c r="O108" s="48">
        <v>0</v>
      </c>
      <c r="P108" s="48">
        <v>0</v>
      </c>
      <c r="Q108" s="48">
        <v>0</v>
      </c>
      <c r="R108" s="48">
        <v>-57.59</v>
      </c>
      <c r="S108" s="48"/>
      <c r="T108" s="48">
        <f t="shared" si="6"/>
        <v>-57.59</v>
      </c>
      <c r="U108" s="48">
        <f t="shared" si="7"/>
        <v>0</v>
      </c>
      <c r="V108" s="49">
        <f>+Tabla_Auditorias[[#This Row],[AJUSTE
EGRESO
COSTO]]+Tabla_Auditorias[[#This Row],[AJUSTE EGRESO
MAL ESTADO]]+Tabla_Auditorias[[#This Row],[AJUSTE
INGRESO
COSTO]]</f>
        <v>-38.96</v>
      </c>
      <c r="W108" s="48">
        <v>-38.96</v>
      </c>
      <c r="X108" s="48"/>
      <c r="Y108" s="48"/>
      <c r="Z108" s="48">
        <v>0</v>
      </c>
      <c r="AA108" s="50">
        <f>+SUM(Tabla_Auditorias[[#This Row],[AJUSTE
EGRESO
COSTO]:[AJUSTE
INGRESO
COSTO]])</f>
        <v>-38.96</v>
      </c>
      <c r="AB108" s="36" t="str">
        <f t="shared" si="8"/>
        <v>BAJO</v>
      </c>
      <c r="AC108" s="37">
        <f t="shared" si="9"/>
        <v>5</v>
      </c>
      <c r="AD108" s="35">
        <v>0</v>
      </c>
      <c r="AE108" s="41" t="s">
        <v>49</v>
      </c>
      <c r="AF108" s="38" t="str">
        <f>IF(Tabla_Auditorias[[#This Row],[TOTAL
COSTO
NETO]]&lt;&gt;0,"Si","No")</f>
        <v>Si</v>
      </c>
      <c r="AG108" s="39" t="s">
        <v>163</v>
      </c>
      <c r="AH108" s="40"/>
      <c r="AI108" s="51">
        <f t="shared" si="10"/>
        <v>0</v>
      </c>
      <c r="AJ108" s="38" t="str">
        <f t="shared" si="11"/>
        <v>Pendiente</v>
      </c>
    </row>
    <row r="109" spans="1:36" s="31" customFormat="1" ht="25.5" customHeight="1" x14ac:dyDescent="0.2">
      <c r="A109" s="32">
        <v>105</v>
      </c>
      <c r="B109" s="33" t="s">
        <v>99</v>
      </c>
      <c r="C109" s="32" t="s">
        <v>43</v>
      </c>
      <c r="D109" s="32" t="s">
        <v>44</v>
      </c>
      <c r="E109" s="32" t="s">
        <v>58</v>
      </c>
      <c r="F109" s="32">
        <v>1341</v>
      </c>
      <c r="G109" s="33" t="s">
        <v>59</v>
      </c>
      <c r="H109" s="32" t="s">
        <v>47</v>
      </c>
      <c r="I109" s="32"/>
      <c r="J109" s="34">
        <v>45544</v>
      </c>
      <c r="K109" s="34">
        <v>45544</v>
      </c>
      <c r="L109" s="32" t="s">
        <v>48</v>
      </c>
      <c r="M109" s="48">
        <v>188078.08439999999</v>
      </c>
      <c r="N109" s="48">
        <v>0</v>
      </c>
      <c r="O109" s="48">
        <v>-1432.0998500000001</v>
      </c>
      <c r="P109" s="48">
        <v>121.89</v>
      </c>
      <c r="Q109" s="48">
        <v>-164.4</v>
      </c>
      <c r="R109" s="48">
        <v>0</v>
      </c>
      <c r="S109" s="48"/>
      <c r="T109" s="48">
        <f t="shared" si="6"/>
        <v>-1474.6098500000001</v>
      </c>
      <c r="U109" s="48">
        <f t="shared" si="7"/>
        <v>-1474.6098500000001</v>
      </c>
      <c r="V109" s="49">
        <f>+Tabla_Auditorias[[#This Row],[AJUSTE
EGRESO
COSTO]]+Tabla_Auditorias[[#This Row],[AJUSTE EGRESO
MAL ESTADO]]+Tabla_Auditorias[[#This Row],[AJUSTE
INGRESO
COSTO]]</f>
        <v>-976.56632521453002</v>
      </c>
      <c r="W109" s="48">
        <v>-3222.9429047599801</v>
      </c>
      <c r="X109" s="48"/>
      <c r="Y109" s="48"/>
      <c r="Z109" s="48">
        <v>2246.3765795454501</v>
      </c>
      <c r="AA109" s="50">
        <f>+SUM(Tabla_Auditorias[[#This Row],[AJUSTE
EGRESO
COSTO]:[AJUSTE
INGRESO
COSTO]])</f>
        <v>-976.56632521453002</v>
      </c>
      <c r="AB109" s="36" t="str">
        <f t="shared" si="8"/>
        <v>ALTO</v>
      </c>
      <c r="AC109" s="37">
        <f t="shared" si="9"/>
        <v>37</v>
      </c>
      <c r="AD109" s="35">
        <v>0</v>
      </c>
      <c r="AE109" s="41" t="s">
        <v>49</v>
      </c>
      <c r="AF109" s="38" t="str">
        <f>IF(Tabla_Auditorias[[#This Row],[TOTAL
COSTO
NETO]]&lt;&gt;0,"Si","No")</f>
        <v>Si</v>
      </c>
      <c r="AG109" s="39" t="s">
        <v>164</v>
      </c>
      <c r="AH109" s="40"/>
      <c r="AI109" s="51">
        <f t="shared" si="10"/>
        <v>0</v>
      </c>
      <c r="AJ109" s="38" t="str">
        <f t="shared" si="11"/>
        <v>Pendiente</v>
      </c>
    </row>
    <row r="110" spans="1:36" s="31" customFormat="1" ht="25.5" customHeight="1" x14ac:dyDescent="0.2">
      <c r="A110" s="32">
        <v>106</v>
      </c>
      <c r="B110" s="33" t="s">
        <v>61</v>
      </c>
      <c r="C110" s="32" t="s">
        <v>43</v>
      </c>
      <c r="D110" s="32" t="s">
        <v>44</v>
      </c>
      <c r="E110" s="32" t="s">
        <v>53</v>
      </c>
      <c r="F110" s="32">
        <v>1484</v>
      </c>
      <c r="G110" s="33" t="s">
        <v>54</v>
      </c>
      <c r="H110" s="32" t="s">
        <v>47</v>
      </c>
      <c r="I110" s="32"/>
      <c r="J110" s="34">
        <v>45548</v>
      </c>
      <c r="K110" s="34">
        <v>45548</v>
      </c>
      <c r="L110" s="32" t="s">
        <v>48</v>
      </c>
      <c r="M110" s="48">
        <v>198083.6</v>
      </c>
      <c r="N110" s="48">
        <v>0</v>
      </c>
      <c r="O110" s="48">
        <v>-22.87</v>
      </c>
      <c r="P110" s="48">
        <v>0</v>
      </c>
      <c r="Q110" s="48">
        <v>-18.48</v>
      </c>
      <c r="R110" s="48">
        <v>0</v>
      </c>
      <c r="S110" s="48"/>
      <c r="T110" s="48">
        <f t="shared" si="6"/>
        <v>-41.35</v>
      </c>
      <c r="U110" s="48">
        <f t="shared" si="7"/>
        <v>-41.35</v>
      </c>
      <c r="V110" s="49">
        <f>+Tabla_Auditorias[[#This Row],[AJUSTE
EGRESO
COSTO]]+Tabla_Auditorias[[#This Row],[AJUSTE EGRESO
MAL ESTADO]]+Tabla_Auditorias[[#This Row],[AJUSTE
INGRESO
COSTO]]</f>
        <v>-24.22</v>
      </c>
      <c r="W110" s="48">
        <v>-24.22</v>
      </c>
      <c r="X110" s="48"/>
      <c r="Y110" s="48"/>
      <c r="Z110" s="48">
        <v>0</v>
      </c>
      <c r="AA110" s="50">
        <f>+SUM(Tabla_Auditorias[[#This Row],[AJUSTE
EGRESO
COSTO]:[AJUSTE
INGRESO
COSTO]])</f>
        <v>-24.22</v>
      </c>
      <c r="AB110" s="36" t="str">
        <f t="shared" si="8"/>
        <v>MEDIO</v>
      </c>
      <c r="AC110" s="37">
        <f t="shared" si="9"/>
        <v>25</v>
      </c>
      <c r="AD110" s="35">
        <v>0</v>
      </c>
      <c r="AE110" s="41" t="s">
        <v>49</v>
      </c>
      <c r="AF110" s="38" t="str">
        <f>IF(Tabla_Auditorias[[#This Row],[TOTAL
COSTO
NETO]]&lt;&gt;0,"Si","No")</f>
        <v>Si</v>
      </c>
      <c r="AG110" s="39" t="s">
        <v>165</v>
      </c>
      <c r="AH110" s="40"/>
      <c r="AI110" s="51">
        <f t="shared" si="10"/>
        <v>0</v>
      </c>
      <c r="AJ110" s="38" t="str">
        <f t="shared" si="11"/>
        <v>Pendiente</v>
      </c>
    </row>
    <row r="111" spans="1:36" s="31" customFormat="1" ht="25.5" customHeight="1" x14ac:dyDescent="0.2">
      <c r="A111" s="32">
        <v>107</v>
      </c>
      <c r="B111" s="33" t="s">
        <v>118</v>
      </c>
      <c r="C111" s="32" t="s">
        <v>43</v>
      </c>
      <c r="D111" s="32" t="s">
        <v>44</v>
      </c>
      <c r="E111" s="32" t="s">
        <v>53</v>
      </c>
      <c r="F111" s="32">
        <v>1478</v>
      </c>
      <c r="G111" s="33" t="s">
        <v>54</v>
      </c>
      <c r="H111" s="32" t="s">
        <v>47</v>
      </c>
      <c r="I111" s="32"/>
      <c r="J111" s="34">
        <v>45558</v>
      </c>
      <c r="K111" s="34">
        <v>45558</v>
      </c>
      <c r="L111" s="32" t="s">
        <v>48</v>
      </c>
      <c r="M111" s="48">
        <v>117839.67999999999</v>
      </c>
      <c r="N111" s="48">
        <v>0</v>
      </c>
      <c r="O111" s="48">
        <v>-1034.26</v>
      </c>
      <c r="P111" s="48">
        <v>0</v>
      </c>
      <c r="Q111" s="48">
        <v>-638.53</v>
      </c>
      <c r="R111" s="48">
        <v>-468.77</v>
      </c>
      <c r="S111" s="48"/>
      <c r="T111" s="48">
        <f t="shared" si="6"/>
        <v>-2141.56</v>
      </c>
      <c r="U111" s="48">
        <f t="shared" si="7"/>
        <v>-1672.79</v>
      </c>
      <c r="V111" s="49">
        <f>+Tabla_Auditorias[[#This Row],[AJUSTE
EGRESO
COSTO]]+Tabla_Auditorias[[#This Row],[AJUSTE EGRESO
MAL ESTADO]]+Tabla_Auditorias[[#This Row],[AJUSTE
INGRESO
COSTO]]</f>
        <v>-1255.77</v>
      </c>
      <c r="W111" s="48">
        <v>-1255.77</v>
      </c>
      <c r="X111" s="48"/>
      <c r="Y111" s="48"/>
      <c r="Z111" s="48">
        <v>0</v>
      </c>
      <c r="AA111" s="50">
        <f>+SUM(Tabla_Auditorias[[#This Row],[AJUSTE
EGRESO
COSTO]:[AJUSTE
INGRESO
COSTO]])</f>
        <v>-1255.77</v>
      </c>
      <c r="AB111" s="36" t="str">
        <f t="shared" si="8"/>
        <v>ALTO</v>
      </c>
      <c r="AC111" s="37">
        <f t="shared" si="9"/>
        <v>37</v>
      </c>
      <c r="AD111" s="35">
        <v>0</v>
      </c>
      <c r="AE111" s="41" t="s">
        <v>49</v>
      </c>
      <c r="AF111" s="38" t="str">
        <f>IF(Tabla_Auditorias[[#This Row],[TOTAL
COSTO
NETO]]&lt;&gt;0,"Si","No")</f>
        <v>Si</v>
      </c>
      <c r="AG111" s="39" t="s">
        <v>166</v>
      </c>
      <c r="AH111" s="40"/>
      <c r="AI111" s="51">
        <f t="shared" si="10"/>
        <v>0</v>
      </c>
      <c r="AJ111" s="38" t="str">
        <f t="shared" si="11"/>
        <v>Pendiente</v>
      </c>
    </row>
    <row r="112" spans="1:36" s="31" customFormat="1" ht="25.5" customHeight="1" x14ac:dyDescent="0.2">
      <c r="A112" s="32">
        <v>108</v>
      </c>
      <c r="B112" s="33" t="s">
        <v>91</v>
      </c>
      <c r="C112" s="32" t="s">
        <v>43</v>
      </c>
      <c r="D112" s="32" t="s">
        <v>44</v>
      </c>
      <c r="E112" s="32" t="s">
        <v>53</v>
      </c>
      <c r="F112" s="32">
        <v>1489</v>
      </c>
      <c r="G112" s="33" t="s">
        <v>54</v>
      </c>
      <c r="H112" s="32" t="s">
        <v>47</v>
      </c>
      <c r="I112" s="32"/>
      <c r="J112" s="34">
        <v>45559</v>
      </c>
      <c r="K112" s="34">
        <v>45559</v>
      </c>
      <c r="L112" s="32" t="s">
        <v>48</v>
      </c>
      <c r="M112" s="48">
        <v>140138.34</v>
      </c>
      <c r="N112" s="48">
        <v>0</v>
      </c>
      <c r="O112" s="48">
        <v>0</v>
      </c>
      <c r="P112" s="48">
        <v>0</v>
      </c>
      <c r="Q112" s="48">
        <v>-99.070000000000007</v>
      </c>
      <c r="R112" s="48">
        <v>0</v>
      </c>
      <c r="S112" s="48"/>
      <c r="T112" s="48">
        <f t="shared" si="6"/>
        <v>-99.070000000000007</v>
      </c>
      <c r="U112" s="48">
        <f t="shared" si="7"/>
        <v>-99.070000000000007</v>
      </c>
      <c r="V112" s="49">
        <f>+Tabla_Auditorias[[#This Row],[AJUSTE
EGRESO
COSTO]]+Tabla_Auditorias[[#This Row],[AJUSTE EGRESO
MAL ESTADO]]+Tabla_Auditorias[[#This Row],[AJUSTE
INGRESO
COSTO]]</f>
        <v>-44.75</v>
      </c>
      <c r="W112" s="48">
        <v>-44.75</v>
      </c>
      <c r="X112" s="48"/>
      <c r="Y112" s="48"/>
      <c r="Z112" s="48">
        <v>0</v>
      </c>
      <c r="AA112" s="50">
        <f>+SUM(Tabla_Auditorias[[#This Row],[AJUSTE
EGRESO
COSTO]:[AJUSTE
INGRESO
COSTO]])</f>
        <v>-44.75</v>
      </c>
      <c r="AB112" s="36" t="str">
        <f t="shared" si="8"/>
        <v>MEDIO</v>
      </c>
      <c r="AC112" s="37">
        <f t="shared" si="9"/>
        <v>15</v>
      </c>
      <c r="AD112" s="35">
        <v>0</v>
      </c>
      <c r="AE112" s="41" t="s">
        <v>49</v>
      </c>
      <c r="AF112" s="38" t="str">
        <f>IF(Tabla_Auditorias[[#This Row],[TOTAL
COSTO
NETO]]&lt;&gt;0,"Si","No")</f>
        <v>Si</v>
      </c>
      <c r="AG112" s="39" t="s">
        <v>167</v>
      </c>
      <c r="AH112" s="40"/>
      <c r="AI112" s="51">
        <f t="shared" si="10"/>
        <v>0</v>
      </c>
      <c r="AJ112" s="38" t="str">
        <f t="shared" si="11"/>
        <v>Pendiente</v>
      </c>
    </row>
    <row r="113" spans="1:36" s="31" customFormat="1" ht="25.5" customHeight="1" x14ac:dyDescent="0.2">
      <c r="A113" s="32">
        <v>109</v>
      </c>
      <c r="B113" s="33" t="s">
        <v>131</v>
      </c>
      <c r="C113" s="32" t="s">
        <v>51</v>
      </c>
      <c r="D113" s="32" t="s">
        <v>57</v>
      </c>
      <c r="E113" s="32" t="s">
        <v>45</v>
      </c>
      <c r="F113" s="32">
        <v>1703</v>
      </c>
      <c r="G113" s="33" t="s">
        <v>46</v>
      </c>
      <c r="H113" s="32" t="s">
        <v>47</v>
      </c>
      <c r="I113" s="32"/>
      <c r="J113" s="34">
        <v>45561</v>
      </c>
      <c r="K113" s="34">
        <v>45561</v>
      </c>
      <c r="L113" s="32" t="s">
        <v>48</v>
      </c>
      <c r="M113" s="48">
        <v>77676.774599999932</v>
      </c>
      <c r="N113" s="48">
        <v>17.190000000000001</v>
      </c>
      <c r="O113" s="48">
        <v>-15.69</v>
      </c>
      <c r="P113" s="48">
        <v>0</v>
      </c>
      <c r="Q113" s="48">
        <v>0</v>
      </c>
      <c r="R113" s="48">
        <v>0</v>
      </c>
      <c r="S113" s="48"/>
      <c r="T113" s="48">
        <f t="shared" si="6"/>
        <v>1.5000000000000018</v>
      </c>
      <c r="U113" s="48">
        <f t="shared" si="7"/>
        <v>1.5000000000000018</v>
      </c>
      <c r="V113" s="49">
        <f>+Tabla_Auditorias[[#This Row],[AJUSTE
EGRESO
COSTO]]+Tabla_Auditorias[[#This Row],[AJUSTE EGRESO
MAL ESTADO]]+Tabla_Auditorias[[#This Row],[AJUSTE
INGRESO
COSTO]]</f>
        <v>-0.48282551020408171</v>
      </c>
      <c r="W113" s="48">
        <v>-9.1127255102040809</v>
      </c>
      <c r="X113" s="48"/>
      <c r="Y113" s="48"/>
      <c r="Z113" s="48">
        <v>8.6298999999999992</v>
      </c>
      <c r="AA113" s="50">
        <f>+SUM(Tabla_Auditorias[[#This Row],[AJUSTE
EGRESO
COSTO]:[AJUSTE
INGRESO
COSTO]])</f>
        <v>-0.48282551020408171</v>
      </c>
      <c r="AB113" s="36" t="str">
        <f t="shared" si="8"/>
        <v>MEDIO</v>
      </c>
      <c r="AC113" s="37">
        <f t="shared" si="9"/>
        <v>20</v>
      </c>
      <c r="AD113" s="35">
        <v>0</v>
      </c>
      <c r="AE113" s="41" t="s">
        <v>49</v>
      </c>
      <c r="AF113" s="38" t="str">
        <f>IF(Tabla_Auditorias[[#This Row],[TOTAL
COSTO
NETO]]&lt;&gt;0,"Si","No")</f>
        <v>Si</v>
      </c>
      <c r="AG113" s="39"/>
      <c r="AH113" s="40"/>
      <c r="AI113" s="51">
        <f t="shared" si="10"/>
        <v>0</v>
      </c>
      <c r="AJ113" s="38" t="str">
        <f t="shared" si="11"/>
        <v>Pendiente</v>
      </c>
    </row>
    <row r="114" spans="1:36" s="31" customFormat="1" ht="25.5" customHeight="1" x14ac:dyDescent="0.2">
      <c r="A114" s="32">
        <v>110</v>
      </c>
      <c r="B114" s="33" t="s">
        <v>71</v>
      </c>
      <c r="C114" s="32" t="s">
        <v>43</v>
      </c>
      <c r="D114" s="32" t="s">
        <v>44</v>
      </c>
      <c r="E114" s="32" t="s">
        <v>45</v>
      </c>
      <c r="F114" s="32">
        <v>1317</v>
      </c>
      <c r="G114" s="33" t="s">
        <v>46</v>
      </c>
      <c r="H114" s="32" t="s">
        <v>47</v>
      </c>
      <c r="I114" s="32"/>
      <c r="J114" s="34">
        <v>45566</v>
      </c>
      <c r="K114" s="34">
        <v>45566</v>
      </c>
      <c r="L114" s="32" t="s">
        <v>48</v>
      </c>
      <c r="M114" s="48">
        <v>271312.17920000001</v>
      </c>
      <c r="N114" s="48">
        <v>395.73</v>
      </c>
      <c r="O114" s="48">
        <v>-448.95</v>
      </c>
      <c r="P114" s="48">
        <v>44.45</v>
      </c>
      <c r="Q114" s="48">
        <v>0</v>
      </c>
      <c r="R114" s="48">
        <v>-93.63</v>
      </c>
      <c r="S114" s="48"/>
      <c r="T114" s="48">
        <f t="shared" si="6"/>
        <v>-102.39999999999996</v>
      </c>
      <c r="U114" s="48">
        <f t="shared" si="7"/>
        <v>-8.7699999999999676</v>
      </c>
      <c r="V114" s="49">
        <f>+Tabla_Auditorias[[#This Row],[AJUSTE
EGRESO
COSTO]]+Tabla_Auditorias[[#This Row],[AJUSTE EGRESO
MAL ESTADO]]+Tabla_Auditorias[[#This Row],[AJUSTE
INGRESO
COSTO]]</f>
        <v>-30.757142225064854</v>
      </c>
      <c r="W114" s="48">
        <v>-2310.2014822250649</v>
      </c>
      <c r="X114" s="48"/>
      <c r="Y114" s="48"/>
      <c r="Z114" s="48">
        <v>2279.44434</v>
      </c>
      <c r="AA114" s="50">
        <f>+SUM(Tabla_Auditorias[[#This Row],[AJUSTE
EGRESO
COSTO]:[AJUSTE
INGRESO
COSTO]])</f>
        <v>-30.757142225064854</v>
      </c>
      <c r="AB114" s="36" t="str">
        <f t="shared" si="8"/>
        <v>MEDIO</v>
      </c>
      <c r="AC114" s="37">
        <f t="shared" si="9"/>
        <v>25</v>
      </c>
      <c r="AD114" s="35">
        <v>0</v>
      </c>
      <c r="AE114" s="41" t="s">
        <v>49</v>
      </c>
      <c r="AF114" s="38" t="str">
        <f>IF(Tabla_Auditorias[[#This Row],[TOTAL
COSTO
NETO]]&lt;&gt;0,"Si","No")</f>
        <v>Si</v>
      </c>
      <c r="AG114" s="39"/>
      <c r="AH114" s="40"/>
      <c r="AI114" s="51">
        <f t="shared" si="10"/>
        <v>0</v>
      </c>
      <c r="AJ114" s="38" t="str">
        <f t="shared" si="11"/>
        <v>Pendiente</v>
      </c>
    </row>
    <row r="115" spans="1:36" s="31" customFormat="1" ht="25.5" customHeight="1" x14ac:dyDescent="0.2">
      <c r="A115" s="32">
        <v>111</v>
      </c>
      <c r="B115" s="33" t="s">
        <v>76</v>
      </c>
      <c r="C115" s="32" t="s">
        <v>51</v>
      </c>
      <c r="D115" s="32" t="s">
        <v>52</v>
      </c>
      <c r="E115" s="32" t="s">
        <v>45</v>
      </c>
      <c r="F115" s="32">
        <v>1733</v>
      </c>
      <c r="G115" s="33" t="s">
        <v>46</v>
      </c>
      <c r="H115" s="32" t="s">
        <v>47</v>
      </c>
      <c r="I115" s="32"/>
      <c r="J115" s="34">
        <v>45569</v>
      </c>
      <c r="K115" s="34">
        <v>45569</v>
      </c>
      <c r="L115" s="32" t="s">
        <v>48</v>
      </c>
      <c r="M115" s="48">
        <v>56884.225400000003</v>
      </c>
      <c r="N115" s="48">
        <v>32.93</v>
      </c>
      <c r="O115" s="48">
        <v>-10.71</v>
      </c>
      <c r="P115" s="48">
        <v>0</v>
      </c>
      <c r="Q115" s="48">
        <v>0</v>
      </c>
      <c r="R115" s="48">
        <v>0</v>
      </c>
      <c r="S115" s="48"/>
      <c r="T115" s="48">
        <f t="shared" si="6"/>
        <v>22.22</v>
      </c>
      <c r="U115" s="48">
        <f t="shared" si="7"/>
        <v>22.22</v>
      </c>
      <c r="V115" s="49">
        <f>+Tabla_Auditorias[[#This Row],[AJUSTE
EGRESO
COSTO]]+Tabla_Auditorias[[#This Row],[AJUSTE EGRESO
MAL ESTADO]]+Tabla_Auditorias[[#This Row],[AJUSTE
INGRESO
COSTO]]</f>
        <v>-34.284100000000002</v>
      </c>
      <c r="W115" s="48">
        <v>-34.284100000000002</v>
      </c>
      <c r="X115" s="48"/>
      <c r="Y115" s="48"/>
      <c r="Z115" s="48">
        <v>0</v>
      </c>
      <c r="AA115" s="50">
        <f>+SUM(Tabla_Auditorias[[#This Row],[AJUSTE
EGRESO
COSTO]:[AJUSTE
INGRESO
COSTO]])</f>
        <v>-34.284100000000002</v>
      </c>
      <c r="AB115" s="36" t="str">
        <f t="shared" si="8"/>
        <v>MEDIO</v>
      </c>
      <c r="AC115" s="37">
        <f t="shared" si="9"/>
        <v>20</v>
      </c>
      <c r="AD115" s="35">
        <v>0</v>
      </c>
      <c r="AE115" s="41" t="s">
        <v>49</v>
      </c>
      <c r="AF115" s="38" t="str">
        <f>IF(Tabla_Auditorias[[#This Row],[TOTAL
COSTO
NETO]]&lt;&gt;0,"Si","No")</f>
        <v>Si</v>
      </c>
      <c r="AG115" s="39"/>
      <c r="AH115" s="40"/>
      <c r="AI115" s="51">
        <f t="shared" si="10"/>
        <v>0</v>
      </c>
      <c r="AJ115" s="38" t="str">
        <f t="shared" si="11"/>
        <v>Pendiente</v>
      </c>
    </row>
    <row r="116" spans="1:36" s="31" customFormat="1" ht="25.5" customHeight="1" x14ac:dyDescent="0.2">
      <c r="A116" s="32">
        <v>112</v>
      </c>
      <c r="B116" s="33" t="s">
        <v>129</v>
      </c>
      <c r="C116" s="32" t="s">
        <v>51</v>
      </c>
      <c r="D116" s="32" t="s">
        <v>57</v>
      </c>
      <c r="E116" s="32" t="s">
        <v>45</v>
      </c>
      <c r="F116" s="32">
        <v>1712</v>
      </c>
      <c r="G116" s="33" t="s">
        <v>46</v>
      </c>
      <c r="H116" s="32" t="s">
        <v>47</v>
      </c>
      <c r="I116" s="32"/>
      <c r="J116" s="34">
        <v>45572</v>
      </c>
      <c r="K116" s="34">
        <v>45572</v>
      </c>
      <c r="L116" s="32" t="s">
        <v>48</v>
      </c>
      <c r="M116" s="48">
        <v>103654.93309999999</v>
      </c>
      <c r="N116" s="48">
        <v>0</v>
      </c>
      <c r="O116" s="48">
        <v>0</v>
      </c>
      <c r="P116" s="48">
        <v>0</v>
      </c>
      <c r="Q116" s="48">
        <v>-534.28</v>
      </c>
      <c r="R116" s="48">
        <v>0</v>
      </c>
      <c r="S116" s="48"/>
      <c r="T116" s="48">
        <f t="shared" si="6"/>
        <v>-534.28</v>
      </c>
      <c r="U116" s="48">
        <f t="shared" si="7"/>
        <v>-534.28</v>
      </c>
      <c r="V116" s="49">
        <f>+Tabla_Auditorias[[#This Row],[AJUSTE
EGRESO
COSTO]]+Tabla_Auditorias[[#This Row],[AJUSTE EGRESO
MAL ESTADO]]+Tabla_Auditorias[[#This Row],[AJUSTE
INGRESO
COSTO]]</f>
        <v>-386.46434999999997</v>
      </c>
      <c r="W116" s="48">
        <v>-502.66654999999997</v>
      </c>
      <c r="X116" s="48"/>
      <c r="Y116" s="48"/>
      <c r="Z116" s="48">
        <v>116.2022</v>
      </c>
      <c r="AA116" s="50">
        <f>+SUM(Tabla_Auditorias[[#This Row],[AJUSTE
EGRESO
COSTO]:[AJUSTE
INGRESO
COSTO]])</f>
        <v>-386.46434999999997</v>
      </c>
      <c r="AB116" s="36" t="str">
        <f t="shared" si="8"/>
        <v>MEDIO</v>
      </c>
      <c r="AC116" s="37">
        <f t="shared" si="9"/>
        <v>27</v>
      </c>
      <c r="AD116" s="35">
        <v>0</v>
      </c>
      <c r="AE116" s="41" t="s">
        <v>49</v>
      </c>
      <c r="AF116" s="38" t="str">
        <f>IF(Tabla_Auditorias[[#This Row],[TOTAL
COSTO
NETO]]&lt;&gt;0,"Si","No")</f>
        <v>Si</v>
      </c>
      <c r="AG116" s="39"/>
      <c r="AH116" s="40"/>
      <c r="AI116" s="51">
        <f t="shared" si="10"/>
        <v>0</v>
      </c>
      <c r="AJ116" s="38" t="str">
        <f t="shared" si="11"/>
        <v>Pendiente</v>
      </c>
    </row>
    <row r="117" spans="1:36" s="31" customFormat="1" ht="25.5" customHeight="1" x14ac:dyDescent="0.2">
      <c r="A117" s="32">
        <v>113</v>
      </c>
      <c r="B117" s="33" t="s">
        <v>105</v>
      </c>
      <c r="C117" s="32" t="s">
        <v>51</v>
      </c>
      <c r="D117" s="32" t="s">
        <v>57</v>
      </c>
      <c r="E117" s="32" t="s">
        <v>53</v>
      </c>
      <c r="F117" s="32">
        <v>1710</v>
      </c>
      <c r="G117" s="33" t="s">
        <v>54</v>
      </c>
      <c r="H117" s="32" t="s">
        <v>47</v>
      </c>
      <c r="I117" s="32"/>
      <c r="J117" s="34">
        <v>45572</v>
      </c>
      <c r="K117" s="34">
        <v>45572</v>
      </c>
      <c r="L117" s="32" t="s">
        <v>48</v>
      </c>
      <c r="M117" s="48">
        <v>114762.37</v>
      </c>
      <c r="N117" s="48">
        <v>0</v>
      </c>
      <c r="O117" s="48">
        <v>0</v>
      </c>
      <c r="P117" s="48">
        <v>0</v>
      </c>
      <c r="Q117" s="48">
        <v>0</v>
      </c>
      <c r="R117" s="48">
        <v>-55.12</v>
      </c>
      <c r="S117" s="48"/>
      <c r="T117" s="48">
        <f t="shared" si="6"/>
        <v>-55.12</v>
      </c>
      <c r="U117" s="48">
        <f t="shared" si="7"/>
        <v>0</v>
      </c>
      <c r="V117" s="49">
        <f>+Tabla_Auditorias[[#This Row],[AJUSTE
EGRESO
COSTO]]+Tabla_Auditorias[[#This Row],[AJUSTE EGRESO
MAL ESTADO]]+Tabla_Auditorias[[#This Row],[AJUSTE
INGRESO
COSTO]]</f>
        <v>-34.35</v>
      </c>
      <c r="W117" s="48">
        <v>-34.35</v>
      </c>
      <c r="X117" s="48"/>
      <c r="Y117" s="48"/>
      <c r="Z117" s="48">
        <v>0</v>
      </c>
      <c r="AA117" s="50">
        <f>+SUM(Tabla_Auditorias[[#This Row],[AJUSTE
EGRESO
COSTO]:[AJUSTE
INGRESO
COSTO]])</f>
        <v>-34.35</v>
      </c>
      <c r="AB117" s="36" t="str">
        <f t="shared" si="8"/>
        <v>BAJO</v>
      </c>
      <c r="AC117" s="37">
        <f t="shared" si="9"/>
        <v>5</v>
      </c>
      <c r="AD117" s="35">
        <v>0</v>
      </c>
      <c r="AE117" s="41" t="s">
        <v>49</v>
      </c>
      <c r="AF117" s="38" t="str">
        <f>IF(Tabla_Auditorias[[#This Row],[TOTAL
COSTO
NETO]]&lt;&gt;0,"Si","No")</f>
        <v>Si</v>
      </c>
      <c r="AG117" s="39" t="s">
        <v>168</v>
      </c>
      <c r="AH117" s="40"/>
      <c r="AI117" s="51">
        <f t="shared" si="10"/>
        <v>0</v>
      </c>
      <c r="AJ117" s="38" t="str">
        <f t="shared" si="11"/>
        <v>Pendiente</v>
      </c>
    </row>
    <row r="118" spans="1:36" s="31" customFormat="1" ht="25.5" customHeight="1" x14ac:dyDescent="0.2">
      <c r="A118" s="32">
        <v>114</v>
      </c>
      <c r="B118" s="33" t="s">
        <v>102</v>
      </c>
      <c r="C118" s="32" t="s">
        <v>51</v>
      </c>
      <c r="D118" s="32" t="s">
        <v>57</v>
      </c>
      <c r="E118" s="32" t="s">
        <v>53</v>
      </c>
      <c r="F118" s="32">
        <v>1709</v>
      </c>
      <c r="G118" s="33" t="s">
        <v>54</v>
      </c>
      <c r="H118" s="32" t="s">
        <v>47</v>
      </c>
      <c r="I118" s="32"/>
      <c r="J118" s="34">
        <v>45572</v>
      </c>
      <c r="K118" s="34">
        <v>45572</v>
      </c>
      <c r="L118" s="32" t="s">
        <v>48</v>
      </c>
      <c r="M118" s="48">
        <v>76281.78</v>
      </c>
      <c r="N118" s="48">
        <v>0</v>
      </c>
      <c r="O118" s="48">
        <v>0</v>
      </c>
      <c r="P118" s="48">
        <v>0</v>
      </c>
      <c r="Q118" s="48">
        <v>0</v>
      </c>
      <c r="R118" s="48">
        <v>0</v>
      </c>
      <c r="S118" s="48"/>
      <c r="T118" s="48">
        <f t="shared" si="6"/>
        <v>0</v>
      </c>
      <c r="U118" s="48">
        <f t="shared" si="7"/>
        <v>0</v>
      </c>
      <c r="V118" s="49">
        <f>+Tabla_Auditorias[[#This Row],[AJUSTE
EGRESO
COSTO]]+Tabla_Auditorias[[#This Row],[AJUSTE EGRESO
MAL ESTADO]]+Tabla_Auditorias[[#This Row],[AJUSTE
INGRESO
COSTO]]</f>
        <v>0</v>
      </c>
      <c r="W118" s="48">
        <v>0</v>
      </c>
      <c r="X118" s="48"/>
      <c r="Y118" s="48"/>
      <c r="Z118" s="48">
        <v>0</v>
      </c>
      <c r="AA118" s="50">
        <f>+SUM(Tabla_Auditorias[[#This Row],[AJUSTE
EGRESO
COSTO]:[AJUSTE
INGRESO
COSTO]])</f>
        <v>0</v>
      </c>
      <c r="AB118" s="36" t="str">
        <f t="shared" si="8"/>
        <v>BAJO</v>
      </c>
      <c r="AC118" s="37">
        <f t="shared" si="9"/>
        <v>0</v>
      </c>
      <c r="AD118" s="35">
        <v>0</v>
      </c>
      <c r="AE118" s="41" t="s">
        <v>49</v>
      </c>
      <c r="AF118" s="38" t="str">
        <f>IF(Tabla_Auditorias[[#This Row],[TOTAL
COSTO
NETO]]&lt;&gt;0,"Si","No")</f>
        <v>No</v>
      </c>
      <c r="AG118" s="39" t="s">
        <v>55</v>
      </c>
      <c r="AH118" s="40"/>
      <c r="AI118" s="51" t="str">
        <f t="shared" si="10"/>
        <v/>
      </c>
      <c r="AJ118" s="38" t="str">
        <f t="shared" si="11"/>
        <v>Pendiente</v>
      </c>
    </row>
    <row r="119" spans="1:36" s="31" customFormat="1" ht="25.5" customHeight="1" x14ac:dyDescent="0.2">
      <c r="A119" s="32">
        <v>115</v>
      </c>
      <c r="B119" s="33" t="s">
        <v>103</v>
      </c>
      <c r="C119" s="32" t="s">
        <v>43</v>
      </c>
      <c r="D119" s="32" t="s">
        <v>44</v>
      </c>
      <c r="E119" s="32" t="s">
        <v>53</v>
      </c>
      <c r="F119" s="32">
        <v>1474</v>
      </c>
      <c r="G119" s="33" t="s">
        <v>54</v>
      </c>
      <c r="H119" s="32" t="s">
        <v>47</v>
      </c>
      <c r="I119" s="32"/>
      <c r="J119" s="34">
        <v>45572</v>
      </c>
      <c r="K119" s="34">
        <v>45572</v>
      </c>
      <c r="L119" s="32" t="s">
        <v>48</v>
      </c>
      <c r="M119" s="48">
        <v>119458.62</v>
      </c>
      <c r="N119" s="48">
        <v>0</v>
      </c>
      <c r="O119" s="48">
        <v>-25.73</v>
      </c>
      <c r="P119" s="48">
        <v>0</v>
      </c>
      <c r="Q119" s="48">
        <v>0</v>
      </c>
      <c r="R119" s="48">
        <v>0</v>
      </c>
      <c r="S119" s="48"/>
      <c r="T119" s="48">
        <f t="shared" si="6"/>
        <v>-25.73</v>
      </c>
      <c r="U119" s="48">
        <f t="shared" si="7"/>
        <v>-25.73</v>
      </c>
      <c r="V119" s="49">
        <f>+Tabla_Auditorias[[#This Row],[AJUSTE
EGRESO
COSTO]]+Tabla_Auditorias[[#This Row],[AJUSTE EGRESO
MAL ESTADO]]+Tabla_Auditorias[[#This Row],[AJUSTE
INGRESO
COSTO]]</f>
        <v>-17.22</v>
      </c>
      <c r="W119" s="48">
        <v>-17.22</v>
      </c>
      <c r="X119" s="48"/>
      <c r="Y119" s="48"/>
      <c r="Z119" s="48">
        <v>0</v>
      </c>
      <c r="AA119" s="50">
        <f>+SUM(Tabla_Auditorias[[#This Row],[AJUSTE
EGRESO
COSTO]:[AJUSTE
INGRESO
COSTO]])</f>
        <v>-17.22</v>
      </c>
      <c r="AB119" s="36" t="str">
        <f t="shared" si="8"/>
        <v>MEDIO</v>
      </c>
      <c r="AC119" s="37">
        <f t="shared" si="9"/>
        <v>20</v>
      </c>
      <c r="AD119" s="35">
        <v>0</v>
      </c>
      <c r="AE119" s="41" t="s">
        <v>49</v>
      </c>
      <c r="AF119" s="38" t="str">
        <f>IF(Tabla_Auditorias[[#This Row],[TOTAL
COSTO
NETO]]&lt;&gt;0,"Si","No")</f>
        <v>Si</v>
      </c>
      <c r="AG119" s="39" t="s">
        <v>169</v>
      </c>
      <c r="AH119" s="40"/>
      <c r="AI119" s="51">
        <f t="shared" si="10"/>
        <v>0</v>
      </c>
      <c r="AJ119" s="38" t="str">
        <f t="shared" si="11"/>
        <v>Pendiente</v>
      </c>
    </row>
    <row r="120" spans="1:36" s="31" customFormat="1" ht="25.5" customHeight="1" x14ac:dyDescent="0.2">
      <c r="A120" s="32">
        <v>116</v>
      </c>
      <c r="B120" s="33" t="s">
        <v>93</v>
      </c>
      <c r="C120" s="32" t="s">
        <v>51</v>
      </c>
      <c r="D120" s="32" t="s">
        <v>64</v>
      </c>
      <c r="E120" s="32" t="s">
        <v>45</v>
      </c>
      <c r="F120" s="32">
        <v>1723</v>
      </c>
      <c r="G120" s="33" t="s">
        <v>46</v>
      </c>
      <c r="H120" s="32" t="s">
        <v>47</v>
      </c>
      <c r="I120" s="32"/>
      <c r="J120" s="34">
        <v>45574</v>
      </c>
      <c r="K120" s="34">
        <v>45574</v>
      </c>
      <c r="L120" s="32" t="s">
        <v>48</v>
      </c>
      <c r="M120" s="48">
        <v>405433.2791999997</v>
      </c>
      <c r="N120" s="48">
        <v>0</v>
      </c>
      <c r="O120" s="48">
        <v>0</v>
      </c>
      <c r="P120" s="48">
        <v>0</v>
      </c>
      <c r="Q120" s="48">
        <v>0</v>
      </c>
      <c r="R120" s="48">
        <v>0</v>
      </c>
      <c r="S120" s="48"/>
      <c r="T120" s="48">
        <f t="shared" si="6"/>
        <v>0</v>
      </c>
      <c r="U120" s="48">
        <f t="shared" si="7"/>
        <v>0</v>
      </c>
      <c r="V120" s="49">
        <f>+Tabla_Auditorias[[#This Row],[AJUSTE
EGRESO
COSTO]]+Tabla_Auditorias[[#This Row],[AJUSTE EGRESO
MAL ESTADO]]+Tabla_Auditorias[[#This Row],[AJUSTE
INGRESO
COSTO]]</f>
        <v>0</v>
      </c>
      <c r="W120" s="48">
        <v>0</v>
      </c>
      <c r="X120" s="48"/>
      <c r="Y120" s="48"/>
      <c r="Z120" s="48">
        <v>0</v>
      </c>
      <c r="AA120" s="50">
        <f>+SUM(Tabla_Auditorias[[#This Row],[AJUSTE
EGRESO
COSTO]:[AJUSTE
INGRESO
COSTO]])</f>
        <v>0</v>
      </c>
      <c r="AB120" s="36" t="str">
        <f t="shared" si="8"/>
        <v>BAJO</v>
      </c>
      <c r="AC120" s="37">
        <f t="shared" si="9"/>
        <v>0</v>
      </c>
      <c r="AD120" s="35">
        <v>0</v>
      </c>
      <c r="AE120" s="41" t="s">
        <v>49</v>
      </c>
      <c r="AF120" s="38" t="str">
        <f>IF(Tabla_Auditorias[[#This Row],[TOTAL
COSTO
NETO]]&lt;&gt;0,"Si","No")</f>
        <v>No</v>
      </c>
      <c r="AG120" s="39"/>
      <c r="AH120" s="40"/>
      <c r="AI120" s="51" t="str">
        <f t="shared" si="10"/>
        <v/>
      </c>
      <c r="AJ120" s="38" t="str">
        <f t="shared" si="11"/>
        <v>Pendiente</v>
      </c>
    </row>
    <row r="121" spans="1:36" s="31" customFormat="1" ht="25.5" customHeight="1" x14ac:dyDescent="0.2">
      <c r="A121" s="32">
        <v>117</v>
      </c>
      <c r="B121" s="33" t="s">
        <v>101</v>
      </c>
      <c r="C121" s="32" t="s">
        <v>51</v>
      </c>
      <c r="D121" s="32" t="s">
        <v>64</v>
      </c>
      <c r="E121" s="32" t="s">
        <v>53</v>
      </c>
      <c r="F121" s="32">
        <v>1724</v>
      </c>
      <c r="G121" s="33" t="s">
        <v>54</v>
      </c>
      <c r="H121" s="32" t="s">
        <v>47</v>
      </c>
      <c r="I121" s="32"/>
      <c r="J121" s="34">
        <v>45575</v>
      </c>
      <c r="K121" s="34">
        <v>45575</v>
      </c>
      <c r="L121" s="32" t="s">
        <v>48</v>
      </c>
      <c r="M121" s="48">
        <v>124872.45</v>
      </c>
      <c r="N121" s="48">
        <v>0</v>
      </c>
      <c r="O121" s="48">
        <v>0</v>
      </c>
      <c r="P121" s="48">
        <v>0</v>
      </c>
      <c r="Q121" s="48">
        <v>0</v>
      </c>
      <c r="R121" s="48">
        <v>0</v>
      </c>
      <c r="S121" s="48"/>
      <c r="T121" s="48">
        <f t="shared" si="6"/>
        <v>0</v>
      </c>
      <c r="U121" s="48">
        <f t="shared" si="7"/>
        <v>0</v>
      </c>
      <c r="V121" s="49">
        <f>+Tabla_Auditorias[[#This Row],[AJUSTE
EGRESO
COSTO]]+Tabla_Auditorias[[#This Row],[AJUSTE EGRESO
MAL ESTADO]]+Tabla_Auditorias[[#This Row],[AJUSTE
INGRESO
COSTO]]</f>
        <v>0</v>
      </c>
      <c r="W121" s="48">
        <v>0</v>
      </c>
      <c r="X121" s="48"/>
      <c r="Y121" s="48"/>
      <c r="Z121" s="48">
        <v>0</v>
      </c>
      <c r="AA121" s="50">
        <f>+SUM(Tabla_Auditorias[[#This Row],[AJUSTE
EGRESO
COSTO]:[AJUSTE
INGRESO
COSTO]])</f>
        <v>0</v>
      </c>
      <c r="AB121" s="36" t="str">
        <f t="shared" si="8"/>
        <v>BAJO</v>
      </c>
      <c r="AC121" s="37">
        <f t="shared" si="9"/>
        <v>0</v>
      </c>
      <c r="AD121" s="35">
        <v>0</v>
      </c>
      <c r="AE121" s="41" t="s">
        <v>49</v>
      </c>
      <c r="AF121" s="38" t="str">
        <f>IF(Tabla_Auditorias[[#This Row],[TOTAL
COSTO
NETO]]&lt;&gt;0,"Si","No")</f>
        <v>No</v>
      </c>
      <c r="AG121" s="39" t="s">
        <v>55</v>
      </c>
      <c r="AH121" s="40"/>
      <c r="AI121" s="51" t="str">
        <f t="shared" si="10"/>
        <v/>
      </c>
      <c r="AJ121" s="38" t="str">
        <f t="shared" si="11"/>
        <v>Pendiente</v>
      </c>
    </row>
    <row r="122" spans="1:36" s="31" customFormat="1" ht="25.5" customHeight="1" x14ac:dyDescent="0.2">
      <c r="A122" s="32">
        <v>118</v>
      </c>
      <c r="B122" s="33" t="s">
        <v>125</v>
      </c>
      <c r="C122" s="32" t="s">
        <v>43</v>
      </c>
      <c r="D122" s="32" t="s">
        <v>44</v>
      </c>
      <c r="E122" s="32" t="s">
        <v>53</v>
      </c>
      <c r="F122" s="32">
        <v>1516</v>
      </c>
      <c r="G122" s="33" t="s">
        <v>54</v>
      </c>
      <c r="H122" s="32" t="s">
        <v>47</v>
      </c>
      <c r="I122" s="32"/>
      <c r="J122" s="34">
        <v>45575</v>
      </c>
      <c r="K122" s="34">
        <v>45575</v>
      </c>
      <c r="L122" s="32" t="s">
        <v>48</v>
      </c>
      <c r="M122" s="48">
        <v>126652.99</v>
      </c>
      <c r="N122" s="48">
        <v>240.5</v>
      </c>
      <c r="O122" s="48">
        <v>-1173.75</v>
      </c>
      <c r="P122" s="48">
        <v>0</v>
      </c>
      <c r="Q122" s="48">
        <v>-328.16</v>
      </c>
      <c r="R122" s="48">
        <v>-68.790000000000006</v>
      </c>
      <c r="S122" s="48"/>
      <c r="T122" s="48">
        <f t="shared" si="6"/>
        <v>-1330.2</v>
      </c>
      <c r="U122" s="48">
        <f t="shared" si="7"/>
        <v>-1261.4100000000001</v>
      </c>
      <c r="V122" s="49">
        <f>+Tabla_Auditorias[[#This Row],[AJUSTE
EGRESO
COSTO]]+Tabla_Auditorias[[#This Row],[AJUSTE EGRESO
MAL ESTADO]]+Tabla_Auditorias[[#This Row],[AJUSTE
INGRESO
COSTO]]</f>
        <v>-788.91000000000008</v>
      </c>
      <c r="W122" s="48">
        <v>-982.09</v>
      </c>
      <c r="X122" s="48"/>
      <c r="Y122" s="48"/>
      <c r="Z122" s="48">
        <v>193.18</v>
      </c>
      <c r="AA122" s="50">
        <f>+SUM(Tabla_Auditorias[[#This Row],[AJUSTE
EGRESO
COSTO]:[AJUSTE
INGRESO
COSTO]])</f>
        <v>-788.91000000000008</v>
      </c>
      <c r="AB122" s="36" t="str">
        <f t="shared" si="8"/>
        <v>ALTO</v>
      </c>
      <c r="AC122" s="37">
        <f t="shared" si="9"/>
        <v>37</v>
      </c>
      <c r="AD122" s="35">
        <v>0</v>
      </c>
      <c r="AE122" s="41" t="s">
        <v>49</v>
      </c>
      <c r="AF122" s="38" t="str">
        <f>IF(Tabla_Auditorias[[#This Row],[TOTAL
COSTO
NETO]]&lt;&gt;0,"Si","No")</f>
        <v>Si</v>
      </c>
      <c r="AG122" s="39" t="s">
        <v>170</v>
      </c>
      <c r="AH122" s="40"/>
      <c r="AI122" s="51">
        <f t="shared" si="10"/>
        <v>0</v>
      </c>
      <c r="AJ122" s="38" t="str">
        <f t="shared" si="11"/>
        <v>Pendiente</v>
      </c>
    </row>
    <row r="123" spans="1:36" s="31" customFormat="1" ht="25.5" customHeight="1" x14ac:dyDescent="0.2">
      <c r="A123" s="32">
        <v>119</v>
      </c>
      <c r="B123" s="33" t="s">
        <v>94</v>
      </c>
      <c r="C123" s="32" t="s">
        <v>43</v>
      </c>
      <c r="D123" s="32" t="s">
        <v>44</v>
      </c>
      <c r="E123" s="32" t="s">
        <v>53</v>
      </c>
      <c r="F123" s="32">
        <v>1473</v>
      </c>
      <c r="G123" s="33" t="s">
        <v>54</v>
      </c>
      <c r="H123" s="32" t="s">
        <v>47</v>
      </c>
      <c r="I123" s="32"/>
      <c r="J123" s="34">
        <v>45575</v>
      </c>
      <c r="K123" s="34">
        <v>45575</v>
      </c>
      <c r="L123" s="32" t="s">
        <v>48</v>
      </c>
      <c r="M123" s="48">
        <v>209601.23</v>
      </c>
      <c r="N123" s="48">
        <v>0</v>
      </c>
      <c r="O123" s="48">
        <v>-177.32</v>
      </c>
      <c r="P123" s="48">
        <v>0</v>
      </c>
      <c r="Q123" s="48">
        <v>0</v>
      </c>
      <c r="R123" s="48">
        <v>0</v>
      </c>
      <c r="S123" s="48"/>
      <c r="T123" s="48">
        <f t="shared" si="6"/>
        <v>-177.32</v>
      </c>
      <c r="U123" s="48">
        <f t="shared" si="7"/>
        <v>-177.32</v>
      </c>
      <c r="V123" s="49">
        <f>+Tabla_Auditorias[[#This Row],[AJUSTE
EGRESO
COSTO]]+Tabla_Auditorias[[#This Row],[AJUSTE EGRESO
MAL ESTADO]]+Tabla_Auditorias[[#This Row],[AJUSTE
INGRESO
COSTO]]</f>
        <v>-131.94</v>
      </c>
      <c r="W123" s="48">
        <v>-131.94</v>
      </c>
      <c r="X123" s="48"/>
      <c r="Y123" s="48"/>
      <c r="Z123" s="48">
        <v>0</v>
      </c>
      <c r="AA123" s="50">
        <f>+SUM(Tabla_Auditorias[[#This Row],[AJUSTE
EGRESO
COSTO]:[AJUSTE
INGRESO
COSTO]])</f>
        <v>-131.94</v>
      </c>
      <c r="AB123" s="36" t="str">
        <f t="shared" si="8"/>
        <v>MEDIO</v>
      </c>
      <c r="AC123" s="37">
        <f t="shared" si="9"/>
        <v>20</v>
      </c>
      <c r="AD123" s="35">
        <v>0</v>
      </c>
      <c r="AE123" s="41" t="s">
        <v>49</v>
      </c>
      <c r="AF123" s="38" t="str">
        <f>IF(Tabla_Auditorias[[#This Row],[TOTAL
COSTO
NETO]]&lt;&gt;0,"Si","No")</f>
        <v>Si</v>
      </c>
      <c r="AG123" s="39" t="s">
        <v>171</v>
      </c>
      <c r="AH123" s="40"/>
      <c r="AI123" s="51">
        <f t="shared" si="10"/>
        <v>0</v>
      </c>
      <c r="AJ123" s="38" t="str">
        <f t="shared" si="11"/>
        <v>Pendiente</v>
      </c>
    </row>
    <row r="124" spans="1:36" s="31" customFormat="1" ht="25.5" customHeight="1" x14ac:dyDescent="0.2">
      <c r="A124" s="32">
        <v>120</v>
      </c>
      <c r="B124" s="33" t="s">
        <v>69</v>
      </c>
      <c r="C124" s="32" t="s">
        <v>51</v>
      </c>
      <c r="D124" s="32" t="s">
        <v>57</v>
      </c>
      <c r="E124" s="32" t="s">
        <v>53</v>
      </c>
      <c r="F124" s="32">
        <v>1705</v>
      </c>
      <c r="G124" s="33" t="s">
        <v>54</v>
      </c>
      <c r="H124" s="32" t="s">
        <v>47</v>
      </c>
      <c r="I124" s="32"/>
      <c r="J124" s="34">
        <v>45575</v>
      </c>
      <c r="K124" s="34">
        <v>45575</v>
      </c>
      <c r="L124" s="32" t="s">
        <v>48</v>
      </c>
      <c r="M124" s="48">
        <v>108410.06</v>
      </c>
      <c r="N124" s="48">
        <v>0</v>
      </c>
      <c r="O124" s="48">
        <v>-53.65</v>
      </c>
      <c r="P124" s="48">
        <v>-1062.9100000000001</v>
      </c>
      <c r="Q124" s="48">
        <v>0</v>
      </c>
      <c r="R124" s="48">
        <v>0</v>
      </c>
      <c r="S124" s="48"/>
      <c r="T124" s="48">
        <f t="shared" si="6"/>
        <v>-1116.5600000000002</v>
      </c>
      <c r="U124" s="48">
        <f t="shared" si="7"/>
        <v>-1116.5600000000002</v>
      </c>
      <c r="V124" s="49">
        <f>+Tabla_Auditorias[[#This Row],[AJUSTE
EGRESO
COSTO]]+Tabla_Auditorias[[#This Row],[AJUSTE EGRESO
MAL ESTADO]]+Tabla_Auditorias[[#This Row],[AJUSTE
INGRESO
COSTO]]</f>
        <v>-82.47999999999999</v>
      </c>
      <c r="W124" s="48">
        <v>-334.75</v>
      </c>
      <c r="X124" s="48"/>
      <c r="Y124" s="48"/>
      <c r="Z124" s="48">
        <v>252.27</v>
      </c>
      <c r="AA124" s="50">
        <f>+SUM(Tabla_Auditorias[[#This Row],[AJUSTE
EGRESO
COSTO]:[AJUSTE
INGRESO
COSTO]])</f>
        <v>-82.47999999999999</v>
      </c>
      <c r="AB124" s="36" t="str">
        <f t="shared" si="8"/>
        <v>MEDIO</v>
      </c>
      <c r="AC124" s="37">
        <f t="shared" si="9"/>
        <v>32</v>
      </c>
      <c r="AD124" s="35">
        <v>0</v>
      </c>
      <c r="AE124" s="41" t="s">
        <v>49</v>
      </c>
      <c r="AF124" s="38" t="str">
        <f>IF(Tabla_Auditorias[[#This Row],[TOTAL
COSTO
NETO]]&lt;&gt;0,"Si","No")</f>
        <v>Si</v>
      </c>
      <c r="AG124" s="39" t="s">
        <v>172</v>
      </c>
      <c r="AH124" s="40"/>
      <c r="AI124" s="51">
        <f t="shared" si="10"/>
        <v>0</v>
      </c>
      <c r="AJ124" s="38" t="str">
        <f t="shared" si="11"/>
        <v>Pendiente</v>
      </c>
    </row>
    <row r="125" spans="1:36" s="31" customFormat="1" ht="25.5" customHeight="1" x14ac:dyDescent="0.2">
      <c r="A125" s="32">
        <v>121</v>
      </c>
      <c r="B125" s="33" t="s">
        <v>85</v>
      </c>
      <c r="C125" s="32" t="s">
        <v>43</v>
      </c>
      <c r="D125" s="32" t="s">
        <v>44</v>
      </c>
      <c r="E125" s="32" t="s">
        <v>53</v>
      </c>
      <c r="F125" s="32">
        <v>1481</v>
      </c>
      <c r="G125" s="33" t="s">
        <v>54</v>
      </c>
      <c r="H125" s="32" t="s">
        <v>47</v>
      </c>
      <c r="I125" s="32"/>
      <c r="J125" s="34">
        <v>45583</v>
      </c>
      <c r="K125" s="34">
        <v>45583</v>
      </c>
      <c r="L125" s="32" t="s">
        <v>48</v>
      </c>
      <c r="M125" s="48">
        <v>81879.98</v>
      </c>
      <c r="N125" s="48">
        <v>78.56</v>
      </c>
      <c r="O125" s="48">
        <v>-103.59</v>
      </c>
      <c r="P125" s="48">
        <v>-2.9999999999994031E-2</v>
      </c>
      <c r="Q125" s="48">
        <v>0</v>
      </c>
      <c r="R125" s="48">
        <v>-40.58</v>
      </c>
      <c r="S125" s="48"/>
      <c r="T125" s="48">
        <f t="shared" si="6"/>
        <v>-65.639999999999986</v>
      </c>
      <c r="U125" s="48">
        <f t="shared" si="7"/>
        <v>-25.059999999999995</v>
      </c>
      <c r="V125" s="49">
        <f>+Tabla_Auditorias[[#This Row],[AJUSTE
EGRESO
COSTO]]+Tabla_Auditorias[[#This Row],[AJUSTE EGRESO
MAL ESTADO]]+Tabla_Auditorias[[#This Row],[AJUSTE
INGRESO
COSTO]]</f>
        <v>-39.690000000000012</v>
      </c>
      <c r="W125" s="48">
        <v>-118.92</v>
      </c>
      <c r="X125" s="48"/>
      <c r="Y125" s="48"/>
      <c r="Z125" s="48">
        <v>79.22999999999999</v>
      </c>
      <c r="AA125" s="50">
        <f>+SUM(Tabla_Auditorias[[#This Row],[AJUSTE
EGRESO
COSTO]:[AJUSTE
INGRESO
COSTO]])</f>
        <v>-39.690000000000012</v>
      </c>
      <c r="AB125" s="36" t="str">
        <f t="shared" si="8"/>
        <v>MEDIO</v>
      </c>
      <c r="AC125" s="37">
        <f t="shared" si="9"/>
        <v>25</v>
      </c>
      <c r="AD125" s="35">
        <v>0</v>
      </c>
      <c r="AE125" s="41" t="s">
        <v>49</v>
      </c>
      <c r="AF125" s="38" t="str">
        <f>IF(Tabla_Auditorias[[#This Row],[TOTAL
COSTO
NETO]]&lt;&gt;0,"Si","No")</f>
        <v>Si</v>
      </c>
      <c r="AG125" s="39" t="s">
        <v>173</v>
      </c>
      <c r="AH125" s="40"/>
      <c r="AI125" s="51">
        <f t="shared" si="10"/>
        <v>0</v>
      </c>
      <c r="AJ125" s="38" t="str">
        <f t="shared" si="11"/>
        <v>Pendiente</v>
      </c>
    </row>
    <row r="126" spans="1:36" s="31" customFormat="1" ht="25.5" customHeight="1" x14ac:dyDescent="0.2">
      <c r="A126" s="32">
        <v>122</v>
      </c>
      <c r="B126" s="33" t="s">
        <v>50</v>
      </c>
      <c r="C126" s="32" t="s">
        <v>51</v>
      </c>
      <c r="D126" s="32" t="s">
        <v>52</v>
      </c>
      <c r="E126" s="32" t="s">
        <v>53</v>
      </c>
      <c r="F126" s="32">
        <v>1732</v>
      </c>
      <c r="G126" s="33" t="s">
        <v>54</v>
      </c>
      <c r="H126" s="32" t="s">
        <v>47</v>
      </c>
      <c r="I126" s="32"/>
      <c r="J126" s="34">
        <v>45587</v>
      </c>
      <c r="K126" s="34">
        <v>45587</v>
      </c>
      <c r="L126" s="32" t="s">
        <v>48</v>
      </c>
      <c r="M126" s="48">
        <v>55213.19</v>
      </c>
      <c r="N126" s="48">
        <v>0</v>
      </c>
      <c r="O126" s="48">
        <v>0</v>
      </c>
      <c r="P126" s="48">
        <v>0</v>
      </c>
      <c r="Q126" s="48">
        <v>0</v>
      </c>
      <c r="R126" s="48">
        <v>0</v>
      </c>
      <c r="S126" s="48"/>
      <c r="T126" s="48">
        <f t="shared" si="6"/>
        <v>0</v>
      </c>
      <c r="U126" s="48">
        <f t="shared" si="7"/>
        <v>0</v>
      </c>
      <c r="V126" s="49">
        <f>+Tabla_Auditorias[[#This Row],[AJUSTE
EGRESO
COSTO]]+Tabla_Auditorias[[#This Row],[AJUSTE EGRESO
MAL ESTADO]]+Tabla_Auditorias[[#This Row],[AJUSTE
INGRESO
COSTO]]</f>
        <v>0</v>
      </c>
      <c r="W126" s="48">
        <v>0</v>
      </c>
      <c r="X126" s="48"/>
      <c r="Y126" s="48"/>
      <c r="Z126" s="48">
        <v>0</v>
      </c>
      <c r="AA126" s="50">
        <f>+SUM(Tabla_Auditorias[[#This Row],[AJUSTE
EGRESO
COSTO]:[AJUSTE
INGRESO
COSTO]])</f>
        <v>0</v>
      </c>
      <c r="AB126" s="36" t="str">
        <f t="shared" si="8"/>
        <v>BAJO</v>
      </c>
      <c r="AC126" s="37">
        <f t="shared" si="9"/>
        <v>0</v>
      </c>
      <c r="AD126" s="35">
        <v>0</v>
      </c>
      <c r="AE126" s="41" t="s">
        <v>49</v>
      </c>
      <c r="AF126" s="38" t="str">
        <f>IF(Tabla_Auditorias[[#This Row],[TOTAL
COSTO
NETO]]&lt;&gt;0,"Si","No")</f>
        <v>No</v>
      </c>
      <c r="AG126" s="39" t="s">
        <v>55</v>
      </c>
      <c r="AH126" s="40"/>
      <c r="AI126" s="51" t="str">
        <f t="shared" si="10"/>
        <v/>
      </c>
      <c r="AJ126" s="38" t="str">
        <f t="shared" si="11"/>
        <v>Pendiente</v>
      </c>
    </row>
    <row r="127" spans="1:36" s="31" customFormat="1" ht="25.5" customHeight="1" x14ac:dyDescent="0.2">
      <c r="A127" s="32">
        <v>123</v>
      </c>
      <c r="B127" s="33" t="s">
        <v>118</v>
      </c>
      <c r="C127" s="32" t="s">
        <v>43</v>
      </c>
      <c r="D127" s="32" t="s">
        <v>44</v>
      </c>
      <c r="E127" s="32" t="s">
        <v>53</v>
      </c>
      <c r="F127" s="32">
        <v>1478</v>
      </c>
      <c r="G127" s="33" t="s">
        <v>54</v>
      </c>
      <c r="H127" s="32" t="s">
        <v>47</v>
      </c>
      <c r="I127" s="32"/>
      <c r="J127" s="34">
        <v>45587</v>
      </c>
      <c r="K127" s="34">
        <v>45587</v>
      </c>
      <c r="L127" s="32" t="s">
        <v>48</v>
      </c>
      <c r="M127" s="48">
        <v>117288.26</v>
      </c>
      <c r="N127" s="48">
        <v>25.65</v>
      </c>
      <c r="O127" s="48">
        <v>-2383.81</v>
      </c>
      <c r="P127" s="48">
        <v>0</v>
      </c>
      <c r="Q127" s="48">
        <v>0</v>
      </c>
      <c r="R127" s="48">
        <v>0</v>
      </c>
      <c r="S127" s="48"/>
      <c r="T127" s="48">
        <f t="shared" si="6"/>
        <v>-2358.16</v>
      </c>
      <c r="U127" s="48">
        <f t="shared" si="7"/>
        <v>-2358.16</v>
      </c>
      <c r="V127" s="49">
        <f>+Tabla_Auditorias[[#This Row],[AJUSTE
EGRESO
COSTO]]+Tabla_Auditorias[[#This Row],[AJUSTE EGRESO
MAL ESTADO]]+Tabla_Auditorias[[#This Row],[AJUSTE
INGRESO
COSTO]]</f>
        <v>-1149.03</v>
      </c>
      <c r="W127" s="48">
        <v>-1161.23</v>
      </c>
      <c r="X127" s="48"/>
      <c r="Y127" s="48"/>
      <c r="Z127" s="48">
        <v>12.2</v>
      </c>
      <c r="AA127" s="50">
        <f>+SUM(Tabla_Auditorias[[#This Row],[AJUSTE
EGRESO
COSTO]:[AJUSTE
INGRESO
COSTO]])</f>
        <v>-1149.03</v>
      </c>
      <c r="AB127" s="36" t="str">
        <f t="shared" si="8"/>
        <v>ALTO</v>
      </c>
      <c r="AC127" s="37">
        <f t="shared" si="9"/>
        <v>55</v>
      </c>
      <c r="AD127" s="35">
        <v>0</v>
      </c>
      <c r="AE127" s="41" t="s">
        <v>49</v>
      </c>
      <c r="AF127" s="38" t="str">
        <f>IF(Tabla_Auditorias[[#This Row],[TOTAL
COSTO
NETO]]&lt;&gt;0,"Si","No")</f>
        <v>Si</v>
      </c>
      <c r="AG127" s="39" t="s">
        <v>174</v>
      </c>
      <c r="AH127" s="40"/>
      <c r="AI127" s="51">
        <f t="shared" si="10"/>
        <v>0</v>
      </c>
      <c r="AJ127" s="38" t="str">
        <f t="shared" si="11"/>
        <v>Pendiente</v>
      </c>
    </row>
    <row r="128" spans="1:36" s="31" customFormat="1" ht="25.5" customHeight="1" x14ac:dyDescent="0.2">
      <c r="A128" s="32">
        <v>124</v>
      </c>
      <c r="B128" s="33" t="s">
        <v>76</v>
      </c>
      <c r="C128" s="32" t="s">
        <v>51</v>
      </c>
      <c r="D128" s="32" t="s">
        <v>52</v>
      </c>
      <c r="E128" s="32" t="s">
        <v>45</v>
      </c>
      <c r="F128" s="32">
        <v>1733</v>
      </c>
      <c r="G128" s="33" t="s">
        <v>46</v>
      </c>
      <c r="H128" s="32" t="s">
        <v>47</v>
      </c>
      <c r="I128" s="32"/>
      <c r="J128" s="34">
        <v>45590</v>
      </c>
      <c r="K128" s="34">
        <v>45590</v>
      </c>
      <c r="L128" s="32" t="s">
        <v>48</v>
      </c>
      <c r="M128" s="48">
        <v>53384.548599999987</v>
      </c>
      <c r="N128" s="48">
        <v>0</v>
      </c>
      <c r="O128" s="48">
        <v>0</v>
      </c>
      <c r="P128" s="48">
        <v>0</v>
      </c>
      <c r="Q128" s="48">
        <v>0</v>
      </c>
      <c r="R128" s="48">
        <v>0</v>
      </c>
      <c r="S128" s="48"/>
      <c r="T128" s="48">
        <f t="shared" si="6"/>
        <v>0</v>
      </c>
      <c r="U128" s="48">
        <f t="shared" si="7"/>
        <v>0</v>
      </c>
      <c r="V128" s="49">
        <f>+Tabla_Auditorias[[#This Row],[AJUSTE
EGRESO
COSTO]]+Tabla_Auditorias[[#This Row],[AJUSTE EGRESO
MAL ESTADO]]+Tabla_Auditorias[[#This Row],[AJUSTE
INGRESO
COSTO]]</f>
        <v>0</v>
      </c>
      <c r="W128" s="48">
        <v>0</v>
      </c>
      <c r="X128" s="48"/>
      <c r="Y128" s="48"/>
      <c r="Z128" s="48">
        <v>0</v>
      </c>
      <c r="AA128" s="50">
        <f>+SUM(Tabla_Auditorias[[#This Row],[AJUSTE
EGRESO
COSTO]:[AJUSTE
INGRESO
COSTO]])</f>
        <v>0</v>
      </c>
      <c r="AB128" s="36" t="str">
        <f t="shared" si="8"/>
        <v>BAJO</v>
      </c>
      <c r="AC128" s="37">
        <f t="shared" si="9"/>
        <v>0</v>
      </c>
      <c r="AD128" s="35">
        <v>0</v>
      </c>
      <c r="AE128" s="41" t="s">
        <v>49</v>
      </c>
      <c r="AF128" s="38" t="str">
        <f>IF(Tabla_Auditorias[[#This Row],[TOTAL
COSTO
NETO]]&lt;&gt;0,"Si","No")</f>
        <v>No</v>
      </c>
      <c r="AG128" s="39"/>
      <c r="AH128" s="40"/>
      <c r="AI128" s="51" t="str">
        <f t="shared" si="10"/>
        <v/>
      </c>
      <c r="AJ128" s="38" t="str">
        <f t="shared" si="11"/>
        <v>Pendiente</v>
      </c>
    </row>
    <row r="129" spans="1:36" s="31" customFormat="1" ht="25.5" customHeight="1" x14ac:dyDescent="0.2">
      <c r="A129" s="32">
        <v>125</v>
      </c>
      <c r="B129" s="33" t="s">
        <v>175</v>
      </c>
      <c r="C129" s="32" t="s">
        <v>51</v>
      </c>
      <c r="D129" s="32" t="s">
        <v>52</v>
      </c>
      <c r="E129" s="32" t="s">
        <v>58</v>
      </c>
      <c r="F129" s="32">
        <v>1738</v>
      </c>
      <c r="G129" s="33" t="s">
        <v>59</v>
      </c>
      <c r="H129" s="32" t="s">
        <v>47</v>
      </c>
      <c r="I129" s="32"/>
      <c r="J129" s="34">
        <v>45601</v>
      </c>
      <c r="K129" s="34">
        <v>45601</v>
      </c>
      <c r="L129" s="32" t="s">
        <v>48</v>
      </c>
      <c r="M129" s="48">
        <v>47124.888700000003</v>
      </c>
      <c r="N129" s="48">
        <v>0</v>
      </c>
      <c r="O129" s="48">
        <v>0</v>
      </c>
      <c r="P129" s="48">
        <v>-10.436</v>
      </c>
      <c r="Q129" s="48">
        <v>0</v>
      </c>
      <c r="R129" s="48">
        <v>0</v>
      </c>
      <c r="S129" s="48"/>
      <c r="T129" s="48">
        <f t="shared" si="6"/>
        <v>-10.436</v>
      </c>
      <c r="U129" s="48">
        <f t="shared" si="7"/>
        <v>-10.436</v>
      </c>
      <c r="V129" s="49">
        <f>+Tabla_Auditorias[[#This Row],[AJUSTE
EGRESO
COSTO]]+Tabla_Auditorias[[#This Row],[AJUSTE EGRESO
MAL ESTADO]]+Tabla_Auditorias[[#This Row],[AJUSTE
INGRESO
COSTO]]</f>
        <v>-3.5272000000000006</v>
      </c>
      <c r="W129" s="48">
        <v>-42.830199999999998</v>
      </c>
      <c r="X129" s="48"/>
      <c r="Y129" s="48"/>
      <c r="Z129" s="48">
        <v>39.302999999999997</v>
      </c>
      <c r="AA129" s="50">
        <f>+SUM(Tabla_Auditorias[[#This Row],[AJUSTE
EGRESO
COSTO]:[AJUSTE
INGRESO
COSTO]])</f>
        <v>-3.5272000000000006</v>
      </c>
      <c r="AB129" s="36" t="str">
        <f t="shared" si="8"/>
        <v>BAJO</v>
      </c>
      <c r="AC129" s="37">
        <f t="shared" si="9"/>
        <v>10</v>
      </c>
      <c r="AD129" s="35">
        <v>0</v>
      </c>
      <c r="AE129" s="41" t="s">
        <v>49</v>
      </c>
      <c r="AF129" s="38" t="str">
        <f>IF(Tabla_Auditorias[[#This Row],[TOTAL
COSTO
NETO]]&lt;&gt;0,"Si","No")</f>
        <v>Si</v>
      </c>
      <c r="AG129" s="39" t="s">
        <v>124</v>
      </c>
      <c r="AH129" s="40"/>
      <c r="AI129" s="51">
        <f t="shared" si="10"/>
        <v>0</v>
      </c>
      <c r="AJ129" s="38" t="str">
        <f t="shared" si="11"/>
        <v>Pendiente</v>
      </c>
    </row>
    <row r="130" spans="1:36" s="31" customFormat="1" ht="25.5" customHeight="1" x14ac:dyDescent="0.2">
      <c r="A130" s="32">
        <v>126</v>
      </c>
      <c r="B130" s="33" t="s">
        <v>139</v>
      </c>
      <c r="C130" s="32" t="s">
        <v>51</v>
      </c>
      <c r="D130" s="32" t="s">
        <v>52</v>
      </c>
      <c r="E130" s="32" t="s">
        <v>45</v>
      </c>
      <c r="F130" s="32">
        <v>1730</v>
      </c>
      <c r="G130" s="33" t="s">
        <v>46</v>
      </c>
      <c r="H130" s="32" t="s">
        <v>47</v>
      </c>
      <c r="I130" s="32"/>
      <c r="J130" s="34">
        <v>45602</v>
      </c>
      <c r="K130" s="34">
        <v>45602</v>
      </c>
      <c r="L130" s="32" t="s">
        <v>48</v>
      </c>
      <c r="M130" s="48">
        <v>61224.212899999999</v>
      </c>
      <c r="N130" s="48">
        <v>0</v>
      </c>
      <c r="O130" s="48">
        <v>-1.0499999999999989</v>
      </c>
      <c r="P130" s="48">
        <v>0</v>
      </c>
      <c r="Q130" s="48">
        <v>0</v>
      </c>
      <c r="R130" s="48">
        <v>0</v>
      </c>
      <c r="S130" s="48"/>
      <c r="T130" s="48">
        <f t="shared" si="6"/>
        <v>-1.0499999999999989</v>
      </c>
      <c r="U130" s="48">
        <f t="shared" si="7"/>
        <v>-1.0499999999999989</v>
      </c>
      <c r="V130" s="49">
        <f>+Tabla_Auditorias[[#This Row],[AJUSTE
EGRESO
COSTO]]+Tabla_Auditorias[[#This Row],[AJUSTE EGRESO
MAL ESTADO]]+Tabla_Auditorias[[#This Row],[AJUSTE
INGRESO
COSTO]]</f>
        <v>0</v>
      </c>
      <c r="W130" s="48">
        <v>0</v>
      </c>
      <c r="X130" s="48"/>
      <c r="Y130" s="48"/>
      <c r="Z130" s="48">
        <v>0</v>
      </c>
      <c r="AA130" s="50">
        <f>+SUM(Tabla_Auditorias[[#This Row],[AJUSTE
EGRESO
COSTO]:[AJUSTE
INGRESO
COSTO]])</f>
        <v>0</v>
      </c>
      <c r="AB130" s="36" t="str">
        <f t="shared" si="8"/>
        <v>MEDIO</v>
      </c>
      <c r="AC130" s="37">
        <f t="shared" si="9"/>
        <v>20</v>
      </c>
      <c r="AD130" s="35">
        <v>0</v>
      </c>
      <c r="AE130" s="41" t="s">
        <v>49</v>
      </c>
      <c r="AF130" s="38" t="str">
        <f>IF(Tabla_Auditorias[[#This Row],[TOTAL
COSTO
NETO]]&lt;&gt;0,"Si","No")</f>
        <v>No</v>
      </c>
      <c r="AG130" s="39"/>
      <c r="AH130" s="40"/>
      <c r="AI130" s="51" t="str">
        <f t="shared" si="10"/>
        <v/>
      </c>
      <c r="AJ130" s="38" t="str">
        <f t="shared" si="11"/>
        <v>Pendiente</v>
      </c>
    </row>
    <row r="131" spans="1:36" s="31" customFormat="1" ht="25.5" customHeight="1" x14ac:dyDescent="0.2">
      <c r="A131" s="32">
        <v>127</v>
      </c>
      <c r="B131" s="33" t="s">
        <v>82</v>
      </c>
      <c r="C131" s="32" t="s">
        <v>43</v>
      </c>
      <c r="D131" s="32" t="s">
        <v>44</v>
      </c>
      <c r="E131" s="32" t="s">
        <v>45</v>
      </c>
      <c r="F131" s="32">
        <v>1320</v>
      </c>
      <c r="G131" s="33" t="s">
        <v>46</v>
      </c>
      <c r="H131" s="32" t="s">
        <v>47</v>
      </c>
      <c r="I131" s="32"/>
      <c r="J131" s="34">
        <v>45608</v>
      </c>
      <c r="K131" s="34">
        <v>45608</v>
      </c>
      <c r="L131" s="32" t="s">
        <v>48</v>
      </c>
      <c r="M131" s="48">
        <v>205218.79709999991</v>
      </c>
      <c r="N131" s="48">
        <v>88.429999999999993</v>
      </c>
      <c r="O131" s="48">
        <v>-1688.28</v>
      </c>
      <c r="P131" s="48">
        <v>-4.1299999999999946</v>
      </c>
      <c r="Q131" s="48">
        <v>0</v>
      </c>
      <c r="R131" s="48">
        <v>0</v>
      </c>
      <c r="S131" s="48"/>
      <c r="T131" s="48">
        <f t="shared" si="6"/>
        <v>-1603.9799999999998</v>
      </c>
      <c r="U131" s="48">
        <f t="shared" si="7"/>
        <v>-1603.9799999999998</v>
      </c>
      <c r="V131" s="49">
        <f>+Tabla_Auditorias[[#This Row],[AJUSTE
EGRESO
COSTO]]+Tabla_Auditorias[[#This Row],[AJUSTE EGRESO
MAL ESTADO]]+Tabla_Auditorias[[#This Row],[AJUSTE
INGRESO
COSTO]]</f>
        <v>-997.8864833333331</v>
      </c>
      <c r="W131" s="48">
        <v>-1622.194483333333</v>
      </c>
      <c r="X131" s="48"/>
      <c r="Y131" s="48"/>
      <c r="Z131" s="48">
        <v>624.30799999999988</v>
      </c>
      <c r="AA131" s="50">
        <f>+SUM(Tabla_Auditorias[[#This Row],[AJUSTE
EGRESO
COSTO]:[AJUSTE
INGRESO
COSTO]])</f>
        <v>-997.8864833333331</v>
      </c>
      <c r="AB131" s="36" t="str">
        <f t="shared" si="8"/>
        <v>MEDIO</v>
      </c>
      <c r="AC131" s="37">
        <f t="shared" si="9"/>
        <v>32</v>
      </c>
      <c r="AD131" s="35">
        <v>0</v>
      </c>
      <c r="AE131" s="41" t="s">
        <v>49</v>
      </c>
      <c r="AF131" s="38" t="str">
        <f>IF(Tabla_Auditorias[[#This Row],[TOTAL
COSTO
NETO]]&lt;&gt;0,"Si","No")</f>
        <v>Si</v>
      </c>
      <c r="AG131" s="39"/>
      <c r="AH131" s="40"/>
      <c r="AI131" s="51">
        <f t="shared" si="10"/>
        <v>0</v>
      </c>
      <c r="AJ131" s="38" t="str">
        <f t="shared" si="11"/>
        <v>Pendiente</v>
      </c>
    </row>
    <row r="132" spans="1:36" s="31" customFormat="1" ht="25.5" customHeight="1" x14ac:dyDescent="0.2">
      <c r="A132" s="32">
        <v>128</v>
      </c>
      <c r="B132" s="33" t="s">
        <v>101</v>
      </c>
      <c r="C132" s="32" t="s">
        <v>51</v>
      </c>
      <c r="D132" s="32" t="s">
        <v>64</v>
      </c>
      <c r="E132" s="32" t="s">
        <v>53</v>
      </c>
      <c r="F132" s="32">
        <v>1724</v>
      </c>
      <c r="G132" s="33" t="s">
        <v>54</v>
      </c>
      <c r="H132" s="32" t="s">
        <v>47</v>
      </c>
      <c r="I132" s="32"/>
      <c r="J132" s="34">
        <v>45610</v>
      </c>
      <c r="K132" s="34">
        <v>45610</v>
      </c>
      <c r="L132" s="32" t="s">
        <v>48</v>
      </c>
      <c r="M132" s="48">
        <v>338482.01</v>
      </c>
      <c r="N132" s="48">
        <v>0</v>
      </c>
      <c r="O132" s="48">
        <v>0</v>
      </c>
      <c r="P132" s="48">
        <v>0</v>
      </c>
      <c r="Q132" s="48">
        <v>0</v>
      </c>
      <c r="R132" s="48">
        <v>0</v>
      </c>
      <c r="S132" s="48"/>
      <c r="T132" s="48">
        <f t="shared" si="6"/>
        <v>0</v>
      </c>
      <c r="U132" s="48">
        <f t="shared" si="7"/>
        <v>0</v>
      </c>
      <c r="V132" s="49">
        <f>+Tabla_Auditorias[[#This Row],[AJUSTE
EGRESO
COSTO]]+Tabla_Auditorias[[#This Row],[AJUSTE EGRESO
MAL ESTADO]]+Tabla_Auditorias[[#This Row],[AJUSTE
INGRESO
COSTO]]</f>
        <v>0</v>
      </c>
      <c r="W132" s="48">
        <v>0</v>
      </c>
      <c r="X132" s="48"/>
      <c r="Y132" s="48"/>
      <c r="Z132" s="48">
        <v>0</v>
      </c>
      <c r="AA132" s="50">
        <f>+SUM(Tabla_Auditorias[[#This Row],[AJUSTE
EGRESO
COSTO]:[AJUSTE
INGRESO
COSTO]])</f>
        <v>0</v>
      </c>
      <c r="AB132" s="36" t="str">
        <f t="shared" si="8"/>
        <v>BAJO</v>
      </c>
      <c r="AC132" s="37">
        <f t="shared" si="9"/>
        <v>0</v>
      </c>
      <c r="AD132" s="35">
        <v>0</v>
      </c>
      <c r="AE132" s="41" t="s">
        <v>49</v>
      </c>
      <c r="AF132" s="38" t="str">
        <f>IF(Tabla_Auditorias[[#This Row],[TOTAL
COSTO
NETO]]&lt;&gt;0,"Si","No")</f>
        <v>No</v>
      </c>
      <c r="AG132" s="39" t="s">
        <v>55</v>
      </c>
      <c r="AH132" s="40"/>
      <c r="AI132" s="51" t="str">
        <f t="shared" si="10"/>
        <v/>
      </c>
      <c r="AJ132" s="38" t="str">
        <f t="shared" si="11"/>
        <v>Pendiente</v>
      </c>
    </row>
    <row r="133" spans="1:36" s="31" customFormat="1" ht="25.5" customHeight="1" x14ac:dyDescent="0.2">
      <c r="A133" s="32">
        <v>129</v>
      </c>
      <c r="B133" s="33" t="s">
        <v>160</v>
      </c>
      <c r="C133" s="32" t="s">
        <v>51</v>
      </c>
      <c r="D133" s="32" t="s">
        <v>52</v>
      </c>
      <c r="E133" s="32" t="s">
        <v>53</v>
      </c>
      <c r="F133" s="32">
        <v>1743</v>
      </c>
      <c r="G133" s="33" t="s">
        <v>54</v>
      </c>
      <c r="H133" s="32" t="s">
        <v>47</v>
      </c>
      <c r="I133" s="32"/>
      <c r="J133" s="34">
        <v>45611</v>
      </c>
      <c r="K133" s="34">
        <v>45611</v>
      </c>
      <c r="L133" s="32" t="s">
        <v>48</v>
      </c>
      <c r="M133" s="48">
        <v>19095.939999999999</v>
      </c>
      <c r="N133" s="48">
        <v>0</v>
      </c>
      <c r="O133" s="48">
        <v>0</v>
      </c>
      <c r="P133" s="48">
        <v>1.590000000000003</v>
      </c>
      <c r="Q133" s="48">
        <v>0</v>
      </c>
      <c r="R133" s="48">
        <v>0</v>
      </c>
      <c r="S133" s="48"/>
      <c r="T133" s="48">
        <f t="shared" ref="T133:T196" si="12">N133+O133+P133+Q133+R133+S133</f>
        <v>1.590000000000003</v>
      </c>
      <c r="U133" s="48">
        <f t="shared" ref="U133:U196" si="13">N133+O133+P133+Q133+S133</f>
        <v>1.590000000000003</v>
      </c>
      <c r="V133" s="49">
        <f>+Tabla_Auditorias[[#This Row],[AJUSTE
EGRESO
COSTO]]+Tabla_Auditorias[[#This Row],[AJUSTE EGRESO
MAL ESTADO]]+Tabla_Auditorias[[#This Row],[AJUSTE
INGRESO
COSTO]]</f>
        <v>0.96999999999999886</v>
      </c>
      <c r="W133" s="48">
        <v>-25.11</v>
      </c>
      <c r="X133" s="48"/>
      <c r="Y133" s="48"/>
      <c r="Z133" s="48">
        <v>26.08</v>
      </c>
      <c r="AA133" s="50">
        <f>+SUM(Tabla_Auditorias[[#This Row],[AJUSTE
EGRESO
COSTO]:[AJUSTE
INGRESO
COSTO]])</f>
        <v>0.96999999999999886</v>
      </c>
      <c r="AB133" s="36" t="str">
        <f t="shared" ref="AB133:AB196" si="14">IFERROR(IF(AC133&lt;=10,"BAJO",IF(AC133&lt;=35,"MEDIO",IF(AC133&lt;=65,"ALTO","CRÍTICO"))),"BAJO")</f>
        <v>BAJO</v>
      </c>
      <c r="AC133" s="37">
        <f t="shared" ref="AC133:AC196" si="15">IFERROR(IF(M133=0,0,IF(ABS(O133)/M133=0,0,IF(ABS(O133)/M133&lt;=0.01,10,IF(ABS(O133)/M133&lt;=0.03,25,IF(ABS(O133)/M133&lt;=0.05,40,50)))))+IF(ABS(U133)=0,0,IF(ABS(U133)&lt;=200,10,IF(ABS(U133)&lt;=500,15,IF(ABS(U133)&lt;=2000,22,30))))+0+IF(OR(Q133&lt;0,R133&lt;0),5,0),0)</f>
        <v>10</v>
      </c>
      <c r="AD133" s="35">
        <v>0</v>
      </c>
      <c r="AE133" s="41" t="s">
        <v>49</v>
      </c>
      <c r="AF133" s="38" t="str">
        <f>IF(Tabla_Auditorias[[#This Row],[TOTAL
COSTO
NETO]]&lt;&gt;0,"Si","No")</f>
        <v>Si</v>
      </c>
      <c r="AG133" s="39" t="s">
        <v>176</v>
      </c>
      <c r="AH133" s="40"/>
      <c r="AI133" s="51" t="str">
        <f t="shared" ref="AI133:AI196" si="16">IFERROR(IF(V133&lt;0,ABS(AH133/V133),""),"")</f>
        <v/>
      </c>
      <c r="AJ133" s="38" t="str">
        <f t="shared" ref="AJ133:AJ196" si="17">IF(V133&gt;0,"No Aplica",IF(AND(V133&lt;0,AH133=0),"Pendiente",IF(AND(AH133&gt;0,AH133&gt;=ABS(V133)),"Cobrado Total",IF(AND(AH133&gt;0,AH133&lt;ABS(V133)),"Cobrado Parcial","Pendiente"))))</f>
        <v>No Aplica</v>
      </c>
    </row>
    <row r="134" spans="1:36" s="31" customFormat="1" ht="25.5" customHeight="1" x14ac:dyDescent="0.2">
      <c r="A134" s="32">
        <v>130</v>
      </c>
      <c r="B134" s="33" t="s">
        <v>96</v>
      </c>
      <c r="C134" s="32" t="s">
        <v>51</v>
      </c>
      <c r="D134" s="32" t="s">
        <v>57</v>
      </c>
      <c r="E134" s="32" t="s">
        <v>45</v>
      </c>
      <c r="F134" s="32">
        <v>1711</v>
      </c>
      <c r="G134" s="33" t="s">
        <v>46</v>
      </c>
      <c r="H134" s="32" t="s">
        <v>47</v>
      </c>
      <c r="I134" s="32"/>
      <c r="J134" s="34">
        <v>45616</v>
      </c>
      <c r="K134" s="34">
        <v>45616</v>
      </c>
      <c r="L134" s="32" t="s">
        <v>48</v>
      </c>
      <c r="M134" s="48">
        <v>49977.429999999993</v>
      </c>
      <c r="N134" s="48">
        <v>0</v>
      </c>
      <c r="O134" s="48">
        <v>-406.86</v>
      </c>
      <c r="P134" s="48">
        <v>11.94</v>
      </c>
      <c r="Q134" s="48">
        <v>0</v>
      </c>
      <c r="R134" s="48">
        <v>0</v>
      </c>
      <c r="S134" s="48"/>
      <c r="T134" s="48">
        <f t="shared" si="12"/>
        <v>-394.92</v>
      </c>
      <c r="U134" s="48">
        <f t="shared" si="13"/>
        <v>-394.92</v>
      </c>
      <c r="V134" s="49">
        <f>+Tabla_Auditorias[[#This Row],[AJUSTE
EGRESO
COSTO]]+Tabla_Auditorias[[#This Row],[AJUSTE EGRESO
MAL ESTADO]]+Tabla_Auditorias[[#This Row],[AJUSTE
INGRESO
COSTO]]</f>
        <v>-246.60884545454547</v>
      </c>
      <c r="W134" s="48">
        <v>-276.40844545454547</v>
      </c>
      <c r="X134" s="48"/>
      <c r="Y134" s="48"/>
      <c r="Z134" s="48">
        <v>29.799600000000002</v>
      </c>
      <c r="AA134" s="50">
        <f>+SUM(Tabla_Auditorias[[#This Row],[AJUSTE
EGRESO
COSTO]:[AJUSTE
INGRESO
COSTO]])</f>
        <v>-246.60884545454547</v>
      </c>
      <c r="AB134" s="36" t="str">
        <f t="shared" si="14"/>
        <v>MEDIO</v>
      </c>
      <c r="AC134" s="37">
        <f t="shared" si="15"/>
        <v>25</v>
      </c>
      <c r="AD134" s="35">
        <v>0</v>
      </c>
      <c r="AE134" s="41" t="s">
        <v>49</v>
      </c>
      <c r="AF134" s="38" t="str">
        <f>IF(Tabla_Auditorias[[#This Row],[TOTAL
COSTO
NETO]]&lt;&gt;0,"Si","No")</f>
        <v>Si</v>
      </c>
      <c r="AG134" s="39"/>
      <c r="AH134" s="40"/>
      <c r="AI134" s="51">
        <f t="shared" si="16"/>
        <v>0</v>
      </c>
      <c r="AJ134" s="38" t="str">
        <f t="shared" si="17"/>
        <v>Pendiente</v>
      </c>
    </row>
    <row r="135" spans="1:36" s="31" customFormat="1" ht="25.5" customHeight="1" x14ac:dyDescent="0.2">
      <c r="A135" s="32">
        <v>131</v>
      </c>
      <c r="B135" s="33" t="s">
        <v>80</v>
      </c>
      <c r="C135" s="32" t="s">
        <v>51</v>
      </c>
      <c r="D135" s="32" t="s">
        <v>52</v>
      </c>
      <c r="E135" s="32" t="s">
        <v>58</v>
      </c>
      <c r="F135" s="32">
        <v>1731</v>
      </c>
      <c r="G135" s="33" t="s">
        <v>59</v>
      </c>
      <c r="H135" s="32" t="s">
        <v>47</v>
      </c>
      <c r="I135" s="32"/>
      <c r="J135" s="34">
        <v>45628</v>
      </c>
      <c r="K135" s="34">
        <v>45628</v>
      </c>
      <c r="L135" s="32" t="s">
        <v>48</v>
      </c>
      <c r="M135" s="48">
        <v>84097.606400000004</v>
      </c>
      <c r="N135" s="48">
        <v>0</v>
      </c>
      <c r="O135" s="48">
        <v>-12.5298</v>
      </c>
      <c r="P135" s="48">
        <v>0</v>
      </c>
      <c r="Q135" s="48">
        <v>0</v>
      </c>
      <c r="R135" s="48">
        <v>0</v>
      </c>
      <c r="S135" s="48"/>
      <c r="T135" s="48">
        <f t="shared" si="12"/>
        <v>-12.5298</v>
      </c>
      <c r="U135" s="48">
        <f t="shared" si="13"/>
        <v>-12.5298</v>
      </c>
      <c r="V135" s="49">
        <f>+Tabla_Auditorias[[#This Row],[AJUSTE
EGRESO
COSTO]]+Tabla_Auditorias[[#This Row],[AJUSTE EGRESO
MAL ESTADO]]+Tabla_Auditorias[[#This Row],[AJUSTE
INGRESO
COSTO]]</f>
        <v>-6.1009000000000002</v>
      </c>
      <c r="W135" s="48">
        <v>-6.1009000000000002</v>
      </c>
      <c r="X135" s="48"/>
      <c r="Y135" s="48"/>
      <c r="Z135" s="48">
        <v>0</v>
      </c>
      <c r="AA135" s="50">
        <f>+SUM(Tabla_Auditorias[[#This Row],[AJUSTE
EGRESO
COSTO]:[AJUSTE
INGRESO
COSTO]])</f>
        <v>-6.1009000000000002</v>
      </c>
      <c r="AB135" s="36" t="str">
        <f t="shared" si="14"/>
        <v>MEDIO</v>
      </c>
      <c r="AC135" s="37">
        <f t="shared" si="15"/>
        <v>20</v>
      </c>
      <c r="AD135" s="35">
        <v>0</v>
      </c>
      <c r="AE135" s="41" t="s">
        <v>49</v>
      </c>
      <c r="AF135" s="38" t="str">
        <f>IF(Tabla_Auditorias[[#This Row],[TOTAL
COSTO
NETO]]&lt;&gt;0,"Si","No")</f>
        <v>Si</v>
      </c>
      <c r="AG135" s="39" t="s">
        <v>177</v>
      </c>
      <c r="AH135" s="40"/>
      <c r="AI135" s="51">
        <f t="shared" si="16"/>
        <v>0</v>
      </c>
      <c r="AJ135" s="38" t="str">
        <f t="shared" si="17"/>
        <v>Pendiente</v>
      </c>
    </row>
    <row r="136" spans="1:36" s="31" customFormat="1" ht="25.5" customHeight="1" x14ac:dyDescent="0.2">
      <c r="A136" s="32">
        <v>132</v>
      </c>
      <c r="B136" s="33" t="s">
        <v>102</v>
      </c>
      <c r="C136" s="32" t="s">
        <v>51</v>
      </c>
      <c r="D136" s="32" t="s">
        <v>57</v>
      </c>
      <c r="E136" s="32" t="s">
        <v>53</v>
      </c>
      <c r="F136" s="32">
        <v>1709</v>
      </c>
      <c r="G136" s="33" t="s">
        <v>54</v>
      </c>
      <c r="H136" s="32" t="s">
        <v>47</v>
      </c>
      <c r="I136" s="32"/>
      <c r="J136" s="34">
        <v>45632</v>
      </c>
      <c r="K136" s="34">
        <v>45632</v>
      </c>
      <c r="L136" s="32" t="s">
        <v>48</v>
      </c>
      <c r="M136" s="48">
        <v>81289.48</v>
      </c>
      <c r="N136" s="48">
        <v>0</v>
      </c>
      <c r="O136" s="48">
        <v>-277.67</v>
      </c>
      <c r="P136" s="48">
        <v>0</v>
      </c>
      <c r="Q136" s="48">
        <v>-1490.8</v>
      </c>
      <c r="R136" s="48">
        <v>0</v>
      </c>
      <c r="S136" s="48"/>
      <c r="T136" s="48">
        <f t="shared" si="12"/>
        <v>-1768.47</v>
      </c>
      <c r="U136" s="48">
        <f t="shared" si="13"/>
        <v>-1768.47</v>
      </c>
      <c r="V136" s="49">
        <f>+Tabla_Auditorias[[#This Row],[AJUSTE
EGRESO
COSTO]]+Tabla_Auditorias[[#This Row],[AJUSTE EGRESO
MAL ESTADO]]+Tabla_Auditorias[[#This Row],[AJUSTE
INGRESO
COSTO]]</f>
        <v>-1405.55</v>
      </c>
      <c r="W136" s="48">
        <v>-1405.55</v>
      </c>
      <c r="X136" s="48"/>
      <c r="Y136" s="48"/>
      <c r="Z136" s="48">
        <v>0</v>
      </c>
      <c r="AA136" s="50">
        <f>+SUM(Tabla_Auditorias[[#This Row],[AJUSTE
EGRESO
COSTO]:[AJUSTE
INGRESO
COSTO]])</f>
        <v>-1405.55</v>
      </c>
      <c r="AB136" s="36" t="str">
        <f t="shared" si="14"/>
        <v>ALTO</v>
      </c>
      <c r="AC136" s="37">
        <f t="shared" si="15"/>
        <v>37</v>
      </c>
      <c r="AD136" s="35">
        <v>0</v>
      </c>
      <c r="AE136" s="41" t="s">
        <v>49</v>
      </c>
      <c r="AF136" s="38" t="str">
        <f>IF(Tabla_Auditorias[[#This Row],[TOTAL
COSTO
NETO]]&lt;&gt;0,"Si","No")</f>
        <v>Si</v>
      </c>
      <c r="AG136" s="39" t="s">
        <v>178</v>
      </c>
      <c r="AH136" s="40"/>
      <c r="AI136" s="51">
        <f t="shared" si="16"/>
        <v>0</v>
      </c>
      <c r="AJ136" s="38" t="str">
        <f t="shared" si="17"/>
        <v>Pendiente</v>
      </c>
    </row>
    <row r="137" spans="1:36" s="31" customFormat="1" ht="25.5" customHeight="1" x14ac:dyDescent="0.2">
      <c r="A137" s="32">
        <v>133</v>
      </c>
      <c r="B137" s="33" t="s">
        <v>67</v>
      </c>
      <c r="C137" s="32" t="s">
        <v>43</v>
      </c>
      <c r="D137" s="32" t="s">
        <v>44</v>
      </c>
      <c r="E137" s="32" t="s">
        <v>58</v>
      </c>
      <c r="F137" s="32">
        <v>1475</v>
      </c>
      <c r="G137" s="33" t="s">
        <v>59</v>
      </c>
      <c r="H137" s="32" t="s">
        <v>47</v>
      </c>
      <c r="I137" s="32"/>
      <c r="J137" s="34">
        <v>45659</v>
      </c>
      <c r="K137" s="34">
        <v>45659</v>
      </c>
      <c r="L137" s="32" t="s">
        <v>48</v>
      </c>
      <c r="M137" s="48">
        <v>162071.64259999999</v>
      </c>
      <c r="N137" s="48">
        <v>68.02</v>
      </c>
      <c r="O137" s="48">
        <v>-1037.2</v>
      </c>
      <c r="P137" s="48">
        <v>2.4860000000000899</v>
      </c>
      <c r="Q137" s="48">
        <v>-48.84</v>
      </c>
      <c r="R137" s="48">
        <v>0</v>
      </c>
      <c r="S137" s="48"/>
      <c r="T137" s="48">
        <f t="shared" si="12"/>
        <v>-1015.534</v>
      </c>
      <c r="U137" s="48">
        <f t="shared" si="13"/>
        <v>-1015.534</v>
      </c>
      <c r="V137" s="49">
        <f>+Tabla_Auditorias[[#This Row],[AJUSTE
EGRESO
COSTO]]+Tabla_Auditorias[[#This Row],[AJUSTE EGRESO
MAL ESTADO]]+Tabla_Auditorias[[#This Row],[AJUSTE
INGRESO
COSTO]]</f>
        <v>-1001.5267500000002</v>
      </c>
      <c r="W137" s="48">
        <v>-2940.4229500000001</v>
      </c>
      <c r="X137" s="48"/>
      <c r="Y137" s="48"/>
      <c r="Z137" s="48">
        <v>1938.8961999999999</v>
      </c>
      <c r="AA137" s="50">
        <f>+SUM(Tabla_Auditorias[[#This Row],[AJUSTE
EGRESO
COSTO]:[AJUSTE
INGRESO
COSTO]])</f>
        <v>-1001.5267500000002</v>
      </c>
      <c r="AB137" s="36" t="str">
        <f t="shared" si="14"/>
        <v>ALTO</v>
      </c>
      <c r="AC137" s="37">
        <f t="shared" si="15"/>
        <v>37</v>
      </c>
      <c r="AD137" s="35">
        <v>0</v>
      </c>
      <c r="AE137" s="41" t="s">
        <v>49</v>
      </c>
      <c r="AF137" s="38" t="str">
        <f>IF(Tabla_Auditorias[[#This Row],[TOTAL
COSTO
NETO]]&lt;&gt;0,"Si","No")</f>
        <v>Si</v>
      </c>
      <c r="AG137" s="39" t="s">
        <v>179</v>
      </c>
      <c r="AH137" s="40"/>
      <c r="AI137" s="51">
        <f t="shared" si="16"/>
        <v>0</v>
      </c>
      <c r="AJ137" s="38" t="str">
        <f t="shared" si="17"/>
        <v>Pendiente</v>
      </c>
    </row>
    <row r="138" spans="1:36" s="31" customFormat="1" ht="25.5" customHeight="1" x14ac:dyDescent="0.2">
      <c r="A138" s="32">
        <v>134</v>
      </c>
      <c r="B138" s="33" t="s">
        <v>125</v>
      </c>
      <c r="C138" s="32" t="s">
        <v>43</v>
      </c>
      <c r="D138" s="32" t="s">
        <v>44</v>
      </c>
      <c r="E138" s="32" t="s">
        <v>53</v>
      </c>
      <c r="F138" s="32">
        <v>1516</v>
      </c>
      <c r="G138" s="33" t="s">
        <v>54</v>
      </c>
      <c r="H138" s="32" t="s">
        <v>47</v>
      </c>
      <c r="I138" s="32"/>
      <c r="J138" s="34">
        <v>45663</v>
      </c>
      <c r="K138" s="34">
        <v>45663</v>
      </c>
      <c r="L138" s="32" t="s">
        <v>48</v>
      </c>
      <c r="M138" s="48">
        <v>109890.16</v>
      </c>
      <c r="N138" s="48">
        <v>208.83</v>
      </c>
      <c r="O138" s="48">
        <v>-1716</v>
      </c>
      <c r="P138" s="48">
        <v>0</v>
      </c>
      <c r="Q138" s="48">
        <v>-537.01</v>
      </c>
      <c r="R138" s="48">
        <v>-442.85</v>
      </c>
      <c r="S138" s="48"/>
      <c r="T138" s="48">
        <f t="shared" si="12"/>
        <v>-2487.0300000000002</v>
      </c>
      <c r="U138" s="48">
        <f t="shared" si="13"/>
        <v>-2044.18</v>
      </c>
      <c r="V138" s="49">
        <f>+Tabla_Auditorias[[#This Row],[AJUSTE
EGRESO
COSTO]]+Tabla_Auditorias[[#This Row],[AJUSTE EGRESO
MAL ESTADO]]+Tabla_Auditorias[[#This Row],[AJUSTE
INGRESO
COSTO]]</f>
        <v>-1777.94</v>
      </c>
      <c r="W138" s="48">
        <v>-1935.94</v>
      </c>
      <c r="X138" s="48"/>
      <c r="Y138" s="48"/>
      <c r="Z138" s="48">
        <v>158</v>
      </c>
      <c r="AA138" s="50">
        <f>+SUM(Tabla_Auditorias[[#This Row],[AJUSTE
EGRESO
COSTO]:[AJUSTE
INGRESO
COSTO]])</f>
        <v>-1777.94</v>
      </c>
      <c r="AB138" s="36" t="str">
        <f t="shared" si="14"/>
        <v>ALTO</v>
      </c>
      <c r="AC138" s="37">
        <f t="shared" si="15"/>
        <v>60</v>
      </c>
      <c r="AD138" s="35">
        <v>0</v>
      </c>
      <c r="AE138" s="41" t="s">
        <v>49</v>
      </c>
      <c r="AF138" s="38" t="str">
        <f>IF(Tabla_Auditorias[[#This Row],[TOTAL
COSTO
NETO]]&lt;&gt;0,"Si","No")</f>
        <v>Si</v>
      </c>
      <c r="AG138" s="39" t="s">
        <v>180</v>
      </c>
      <c r="AH138" s="40"/>
      <c r="AI138" s="51">
        <f t="shared" si="16"/>
        <v>0</v>
      </c>
      <c r="AJ138" s="38" t="str">
        <f t="shared" si="17"/>
        <v>Pendiente</v>
      </c>
    </row>
    <row r="139" spans="1:36" s="31" customFormat="1" ht="25.5" customHeight="1" x14ac:dyDescent="0.2">
      <c r="A139" s="32">
        <v>135</v>
      </c>
      <c r="B139" s="33" t="s">
        <v>72</v>
      </c>
      <c r="C139" s="32" t="s">
        <v>43</v>
      </c>
      <c r="D139" s="32" t="s">
        <v>44</v>
      </c>
      <c r="E139" s="32" t="s">
        <v>58</v>
      </c>
      <c r="F139" s="32">
        <v>1485</v>
      </c>
      <c r="G139" s="33" t="s">
        <v>59</v>
      </c>
      <c r="H139" s="32" t="s">
        <v>47</v>
      </c>
      <c r="I139" s="32"/>
      <c r="J139" s="34">
        <v>45664</v>
      </c>
      <c r="K139" s="34">
        <v>45664</v>
      </c>
      <c r="L139" s="32" t="s">
        <v>48</v>
      </c>
      <c r="M139" s="48">
        <v>122446.6865</v>
      </c>
      <c r="N139" s="48">
        <v>80.8</v>
      </c>
      <c r="O139" s="48">
        <v>-498.38</v>
      </c>
      <c r="P139" s="48">
        <v>8.1099999999999905</v>
      </c>
      <c r="Q139" s="48">
        <v>-18.059999999999999</v>
      </c>
      <c r="R139" s="48">
        <v>0</v>
      </c>
      <c r="S139" s="48"/>
      <c r="T139" s="48">
        <f t="shared" si="12"/>
        <v>-427.53</v>
      </c>
      <c r="U139" s="48">
        <f t="shared" si="13"/>
        <v>-427.53</v>
      </c>
      <c r="V139" s="49">
        <f>+Tabla_Auditorias[[#This Row],[AJUSTE
EGRESO
COSTO]]+Tabla_Auditorias[[#This Row],[AJUSTE EGRESO
MAL ESTADO]]+Tabla_Auditorias[[#This Row],[AJUSTE
INGRESO
COSTO]]</f>
        <v>-224.52659999999997</v>
      </c>
      <c r="W139" s="48">
        <v>-650.54859999999996</v>
      </c>
      <c r="X139" s="48"/>
      <c r="Y139" s="48"/>
      <c r="Z139" s="48">
        <v>426.02199999999999</v>
      </c>
      <c r="AA139" s="50">
        <f>+SUM(Tabla_Auditorias[[#This Row],[AJUSTE
EGRESO
COSTO]:[AJUSTE
INGRESO
COSTO]])</f>
        <v>-224.52659999999997</v>
      </c>
      <c r="AB139" s="36" t="str">
        <f t="shared" si="14"/>
        <v>MEDIO</v>
      </c>
      <c r="AC139" s="37">
        <f t="shared" si="15"/>
        <v>30</v>
      </c>
      <c r="AD139" s="35">
        <v>0</v>
      </c>
      <c r="AE139" s="41" t="s">
        <v>49</v>
      </c>
      <c r="AF139" s="38" t="str">
        <f>IF(Tabla_Auditorias[[#This Row],[TOTAL
COSTO
NETO]]&lt;&gt;0,"Si","No")</f>
        <v>Si</v>
      </c>
      <c r="AG139" s="39" t="s">
        <v>181</v>
      </c>
      <c r="AH139" s="40"/>
      <c r="AI139" s="51">
        <f t="shared" si="16"/>
        <v>0</v>
      </c>
      <c r="AJ139" s="38" t="str">
        <f t="shared" si="17"/>
        <v>Pendiente</v>
      </c>
    </row>
    <row r="140" spans="1:36" s="31" customFormat="1" ht="52.5" customHeight="1" x14ac:dyDescent="0.2">
      <c r="A140" s="32">
        <v>136</v>
      </c>
      <c r="B140" s="33" t="s">
        <v>42</v>
      </c>
      <c r="C140" s="32" t="s">
        <v>43</v>
      </c>
      <c r="D140" s="32" t="s">
        <v>44</v>
      </c>
      <c r="E140" s="32" t="s">
        <v>45</v>
      </c>
      <c r="F140" s="32">
        <v>1477</v>
      </c>
      <c r="G140" s="33" t="s">
        <v>46</v>
      </c>
      <c r="H140" s="32" t="s">
        <v>47</v>
      </c>
      <c r="I140" s="32"/>
      <c r="J140" s="34">
        <v>45665</v>
      </c>
      <c r="K140" s="34">
        <v>45665</v>
      </c>
      <c r="L140" s="32" t="s">
        <v>48</v>
      </c>
      <c r="M140" s="48">
        <v>168877.62</v>
      </c>
      <c r="N140" s="48">
        <v>189.57</v>
      </c>
      <c r="O140" s="48">
        <v>-158.53</v>
      </c>
      <c r="P140" s="48">
        <v>-25.43</v>
      </c>
      <c r="Q140" s="48">
        <v>0</v>
      </c>
      <c r="R140" s="48">
        <v>0</v>
      </c>
      <c r="S140" s="48"/>
      <c r="T140" s="48">
        <f t="shared" si="12"/>
        <v>5.6099999999999923</v>
      </c>
      <c r="U140" s="48">
        <f t="shared" si="13"/>
        <v>5.6099999999999923</v>
      </c>
      <c r="V140" s="49">
        <f>+Tabla_Auditorias[[#This Row],[AJUSTE
EGRESO
COSTO]]+Tabla_Auditorias[[#This Row],[AJUSTE EGRESO
MAL ESTADO]]+Tabla_Auditorias[[#This Row],[AJUSTE
INGRESO
COSTO]]</f>
        <v>34.447199999999953</v>
      </c>
      <c r="W140" s="48">
        <v>-485.9289</v>
      </c>
      <c r="X140" s="48"/>
      <c r="Y140" s="48"/>
      <c r="Z140" s="48">
        <v>520.37609999999995</v>
      </c>
      <c r="AA140" s="50">
        <f>+SUM(Tabla_Auditorias[[#This Row],[AJUSTE
EGRESO
COSTO]:[AJUSTE
INGRESO
COSTO]])</f>
        <v>34.447199999999953</v>
      </c>
      <c r="AB140" s="36" t="str">
        <f t="shared" si="14"/>
        <v>MEDIO</v>
      </c>
      <c r="AC140" s="37">
        <f t="shared" si="15"/>
        <v>20</v>
      </c>
      <c r="AD140" s="35">
        <v>0</v>
      </c>
      <c r="AE140" s="41" t="s">
        <v>49</v>
      </c>
      <c r="AF140" s="38" t="str">
        <f>IF(Tabla_Auditorias[[#This Row],[TOTAL
COSTO
NETO]]&lt;&gt;0,"Si","No")</f>
        <v>Si</v>
      </c>
      <c r="AG140" s="39" t="s">
        <v>182</v>
      </c>
      <c r="AH140" s="40"/>
      <c r="AI140" s="51" t="str">
        <f t="shared" si="16"/>
        <v/>
      </c>
      <c r="AJ140" s="38" t="str">
        <f t="shared" si="17"/>
        <v>No Aplica</v>
      </c>
    </row>
    <row r="141" spans="1:36" s="31" customFormat="1" ht="25.5" customHeight="1" x14ac:dyDescent="0.2">
      <c r="A141" s="32">
        <v>137</v>
      </c>
      <c r="B141" s="33" t="s">
        <v>160</v>
      </c>
      <c r="C141" s="32" t="s">
        <v>51</v>
      </c>
      <c r="D141" s="32" t="s">
        <v>52</v>
      </c>
      <c r="E141" s="32" t="s">
        <v>53</v>
      </c>
      <c r="F141" s="32">
        <v>1739</v>
      </c>
      <c r="G141" s="33" t="s">
        <v>54</v>
      </c>
      <c r="H141" s="32" t="s">
        <v>47</v>
      </c>
      <c r="I141" s="32"/>
      <c r="J141" s="34">
        <v>45666</v>
      </c>
      <c r="K141" s="34">
        <v>45666</v>
      </c>
      <c r="L141" s="32" t="s">
        <v>48</v>
      </c>
      <c r="M141" s="48">
        <v>19791.650000000001</v>
      </c>
      <c r="N141" s="48">
        <v>0</v>
      </c>
      <c r="O141" s="48">
        <v>0</v>
      </c>
      <c r="P141" s="48">
        <v>0</v>
      </c>
      <c r="Q141" s="48">
        <v>0</v>
      </c>
      <c r="R141" s="48">
        <v>0</v>
      </c>
      <c r="S141" s="48"/>
      <c r="T141" s="48">
        <f t="shared" si="12"/>
        <v>0</v>
      </c>
      <c r="U141" s="48">
        <f t="shared" si="13"/>
        <v>0</v>
      </c>
      <c r="V141" s="49">
        <f>+Tabla_Auditorias[[#This Row],[AJUSTE
EGRESO
COSTO]]+Tabla_Auditorias[[#This Row],[AJUSTE EGRESO
MAL ESTADO]]+Tabla_Auditorias[[#This Row],[AJUSTE
INGRESO
COSTO]]</f>
        <v>0</v>
      </c>
      <c r="W141" s="48">
        <v>0</v>
      </c>
      <c r="X141" s="48"/>
      <c r="Y141" s="48"/>
      <c r="Z141" s="48">
        <v>0</v>
      </c>
      <c r="AA141" s="50">
        <f>+SUM(Tabla_Auditorias[[#This Row],[AJUSTE
EGRESO
COSTO]:[AJUSTE
INGRESO
COSTO]])</f>
        <v>0</v>
      </c>
      <c r="AB141" s="36" t="str">
        <f t="shared" si="14"/>
        <v>BAJO</v>
      </c>
      <c r="AC141" s="37">
        <f t="shared" si="15"/>
        <v>0</v>
      </c>
      <c r="AD141" s="35">
        <v>0</v>
      </c>
      <c r="AE141" s="41" t="s">
        <v>49</v>
      </c>
      <c r="AF141" s="38" t="str">
        <f>IF(Tabla_Auditorias[[#This Row],[TOTAL
COSTO
NETO]]&lt;&gt;0,"Si","No")</f>
        <v>No</v>
      </c>
      <c r="AG141" s="39" t="s">
        <v>183</v>
      </c>
      <c r="AH141" s="40"/>
      <c r="AI141" s="51" t="str">
        <f t="shared" si="16"/>
        <v/>
      </c>
      <c r="AJ141" s="38" t="str">
        <f t="shared" si="17"/>
        <v>Pendiente</v>
      </c>
    </row>
    <row r="142" spans="1:36" s="31" customFormat="1" ht="25.5" customHeight="1" x14ac:dyDescent="0.2">
      <c r="A142" s="32">
        <v>138</v>
      </c>
      <c r="B142" s="33" t="s">
        <v>69</v>
      </c>
      <c r="C142" s="32" t="s">
        <v>51</v>
      </c>
      <c r="D142" s="32" t="s">
        <v>57</v>
      </c>
      <c r="E142" s="32" t="s">
        <v>53</v>
      </c>
      <c r="F142" s="32">
        <v>1705</v>
      </c>
      <c r="G142" s="33" t="s">
        <v>54</v>
      </c>
      <c r="H142" s="32" t="s">
        <v>47</v>
      </c>
      <c r="I142" s="32"/>
      <c r="J142" s="34">
        <v>45667</v>
      </c>
      <c r="K142" s="34">
        <v>45667</v>
      </c>
      <c r="L142" s="32" t="s">
        <v>48</v>
      </c>
      <c r="M142" s="48">
        <v>120598.82</v>
      </c>
      <c r="N142" s="48">
        <v>0</v>
      </c>
      <c r="O142" s="48">
        <v>-198.88</v>
      </c>
      <c r="P142" s="48">
        <v>0.65000000000009095</v>
      </c>
      <c r="Q142" s="48">
        <v>0</v>
      </c>
      <c r="R142" s="48">
        <v>0</v>
      </c>
      <c r="S142" s="48"/>
      <c r="T142" s="48">
        <f t="shared" si="12"/>
        <v>-198.2299999999999</v>
      </c>
      <c r="U142" s="48">
        <f t="shared" si="13"/>
        <v>-198.2299999999999</v>
      </c>
      <c r="V142" s="49">
        <f>+Tabla_Auditorias[[#This Row],[AJUSTE
EGRESO
COSTO]]+Tabla_Auditorias[[#This Row],[AJUSTE EGRESO
MAL ESTADO]]+Tabla_Auditorias[[#This Row],[AJUSTE
INGRESO
COSTO]]</f>
        <v>-113.93999999999994</v>
      </c>
      <c r="W142" s="48">
        <v>-996.67</v>
      </c>
      <c r="X142" s="48"/>
      <c r="Y142" s="48"/>
      <c r="Z142" s="48">
        <v>882.73</v>
      </c>
      <c r="AA142" s="50">
        <f>+SUM(Tabla_Auditorias[[#This Row],[AJUSTE
EGRESO
COSTO]:[AJUSTE
INGRESO
COSTO]])</f>
        <v>-113.93999999999994</v>
      </c>
      <c r="AB142" s="36" t="str">
        <f t="shared" si="14"/>
        <v>MEDIO</v>
      </c>
      <c r="AC142" s="37">
        <f t="shared" si="15"/>
        <v>20</v>
      </c>
      <c r="AD142" s="35">
        <v>0</v>
      </c>
      <c r="AE142" s="41" t="s">
        <v>49</v>
      </c>
      <c r="AF142" s="38" t="str">
        <f>IF(Tabla_Auditorias[[#This Row],[TOTAL
COSTO
NETO]]&lt;&gt;0,"Si","No")</f>
        <v>Si</v>
      </c>
      <c r="AG142" s="39" t="s">
        <v>184</v>
      </c>
      <c r="AH142" s="40"/>
      <c r="AI142" s="51">
        <f t="shared" si="16"/>
        <v>0</v>
      </c>
      <c r="AJ142" s="38" t="str">
        <f t="shared" si="17"/>
        <v>Pendiente</v>
      </c>
    </row>
    <row r="143" spans="1:36" s="31" customFormat="1" ht="25.5" customHeight="1" x14ac:dyDescent="0.2">
      <c r="A143" s="32">
        <v>139</v>
      </c>
      <c r="B143" s="33" t="s">
        <v>94</v>
      </c>
      <c r="C143" s="32" t="s">
        <v>43</v>
      </c>
      <c r="D143" s="32" t="s">
        <v>44</v>
      </c>
      <c r="E143" s="32" t="s">
        <v>53</v>
      </c>
      <c r="F143" s="32">
        <v>1502</v>
      </c>
      <c r="G143" s="33" t="s">
        <v>54</v>
      </c>
      <c r="H143" s="32" t="s">
        <v>47</v>
      </c>
      <c r="I143" s="32"/>
      <c r="J143" s="34">
        <v>45670</v>
      </c>
      <c r="K143" s="34">
        <v>45670</v>
      </c>
      <c r="L143" s="32" t="s">
        <v>48</v>
      </c>
      <c r="M143" s="48">
        <v>186131.26</v>
      </c>
      <c r="N143" s="48">
        <v>0</v>
      </c>
      <c r="O143" s="48">
        <v>-76.64</v>
      </c>
      <c r="P143" s="48">
        <v>0</v>
      </c>
      <c r="Q143" s="48">
        <v>0</v>
      </c>
      <c r="R143" s="48">
        <v>-132</v>
      </c>
      <c r="S143" s="48"/>
      <c r="T143" s="48">
        <f t="shared" si="12"/>
        <v>-208.64</v>
      </c>
      <c r="U143" s="48">
        <f t="shared" si="13"/>
        <v>-76.64</v>
      </c>
      <c r="V143" s="49">
        <f>+Tabla_Auditorias[[#This Row],[AJUSTE
EGRESO
COSTO]]+Tabla_Auditorias[[#This Row],[AJUSTE EGRESO
MAL ESTADO]]+Tabla_Auditorias[[#This Row],[AJUSTE
INGRESO
COSTO]]</f>
        <v>-120.41</v>
      </c>
      <c r="W143" s="48">
        <v>-120.41</v>
      </c>
      <c r="X143" s="48"/>
      <c r="Y143" s="48"/>
      <c r="Z143" s="48">
        <v>0</v>
      </c>
      <c r="AA143" s="50">
        <f>+SUM(Tabla_Auditorias[[#This Row],[AJUSTE
EGRESO
COSTO]:[AJUSTE
INGRESO
COSTO]])</f>
        <v>-120.41</v>
      </c>
      <c r="AB143" s="36" t="str">
        <f t="shared" si="14"/>
        <v>MEDIO</v>
      </c>
      <c r="AC143" s="37">
        <f t="shared" si="15"/>
        <v>25</v>
      </c>
      <c r="AD143" s="35">
        <v>0</v>
      </c>
      <c r="AE143" s="41" t="s">
        <v>49</v>
      </c>
      <c r="AF143" s="38" t="str">
        <f>IF(Tabla_Auditorias[[#This Row],[TOTAL
COSTO
NETO]]&lt;&gt;0,"Si","No")</f>
        <v>Si</v>
      </c>
      <c r="AG143" s="39" t="s">
        <v>185</v>
      </c>
      <c r="AH143" s="40"/>
      <c r="AI143" s="51">
        <f t="shared" si="16"/>
        <v>0</v>
      </c>
      <c r="AJ143" s="38" t="str">
        <f t="shared" si="17"/>
        <v>Pendiente</v>
      </c>
    </row>
    <row r="144" spans="1:36" s="31" customFormat="1" ht="25.5" customHeight="1" x14ac:dyDescent="0.2">
      <c r="A144" s="32">
        <v>140</v>
      </c>
      <c r="B144" s="33" t="s">
        <v>63</v>
      </c>
      <c r="C144" s="32" t="s">
        <v>51</v>
      </c>
      <c r="D144" s="32" t="s">
        <v>64</v>
      </c>
      <c r="E144" s="32" t="s">
        <v>53</v>
      </c>
      <c r="F144" s="32">
        <v>1729</v>
      </c>
      <c r="G144" s="33" t="s">
        <v>54</v>
      </c>
      <c r="H144" s="32" t="s">
        <v>47</v>
      </c>
      <c r="I144" s="32"/>
      <c r="J144" s="34">
        <v>45670</v>
      </c>
      <c r="K144" s="34">
        <v>45670</v>
      </c>
      <c r="L144" s="32" t="s">
        <v>48</v>
      </c>
      <c r="M144" s="48">
        <v>217724.43</v>
      </c>
      <c r="N144" s="48">
        <v>0</v>
      </c>
      <c r="O144" s="48">
        <v>0</v>
      </c>
      <c r="P144" s="48">
        <v>0</v>
      </c>
      <c r="Q144" s="48">
        <v>0</v>
      </c>
      <c r="R144" s="48">
        <v>0</v>
      </c>
      <c r="S144" s="48"/>
      <c r="T144" s="48">
        <f t="shared" si="12"/>
        <v>0</v>
      </c>
      <c r="U144" s="48">
        <f t="shared" si="13"/>
        <v>0</v>
      </c>
      <c r="V144" s="49">
        <f>+Tabla_Auditorias[[#This Row],[AJUSTE
EGRESO
COSTO]]+Tabla_Auditorias[[#This Row],[AJUSTE EGRESO
MAL ESTADO]]+Tabla_Auditorias[[#This Row],[AJUSTE
INGRESO
COSTO]]</f>
        <v>0</v>
      </c>
      <c r="W144" s="48">
        <v>-28.12</v>
      </c>
      <c r="X144" s="48"/>
      <c r="Y144" s="48"/>
      <c r="Z144" s="48">
        <v>28.12</v>
      </c>
      <c r="AA144" s="50">
        <f>+SUM(Tabla_Auditorias[[#This Row],[AJUSTE
EGRESO
COSTO]:[AJUSTE
INGRESO
COSTO]])</f>
        <v>0</v>
      </c>
      <c r="AB144" s="36" t="str">
        <f t="shared" si="14"/>
        <v>BAJO</v>
      </c>
      <c r="AC144" s="37">
        <f t="shared" si="15"/>
        <v>0</v>
      </c>
      <c r="AD144" s="35">
        <v>0</v>
      </c>
      <c r="AE144" s="41" t="s">
        <v>49</v>
      </c>
      <c r="AF144" s="38" t="str">
        <f>IF(Tabla_Auditorias[[#This Row],[TOTAL
COSTO
NETO]]&lt;&gt;0,"Si","No")</f>
        <v>No</v>
      </c>
      <c r="AG144" s="39" t="s">
        <v>176</v>
      </c>
      <c r="AH144" s="40"/>
      <c r="AI144" s="51" t="str">
        <f t="shared" si="16"/>
        <v/>
      </c>
      <c r="AJ144" s="38" t="str">
        <f t="shared" si="17"/>
        <v>Pendiente</v>
      </c>
    </row>
    <row r="145" spans="1:36" s="31" customFormat="1" ht="25.5" customHeight="1" x14ac:dyDescent="0.2">
      <c r="A145" s="32">
        <v>141</v>
      </c>
      <c r="B145" s="33" t="s">
        <v>154</v>
      </c>
      <c r="C145" s="32" t="s">
        <v>51</v>
      </c>
      <c r="D145" s="32" t="s">
        <v>57</v>
      </c>
      <c r="E145" s="32" t="s">
        <v>58</v>
      </c>
      <c r="F145" s="32">
        <v>1740</v>
      </c>
      <c r="G145" s="33" t="s">
        <v>59</v>
      </c>
      <c r="H145" s="32" t="s">
        <v>47</v>
      </c>
      <c r="I145" s="32"/>
      <c r="J145" s="34">
        <v>45671</v>
      </c>
      <c r="K145" s="34">
        <v>45671</v>
      </c>
      <c r="L145" s="32" t="s">
        <v>48</v>
      </c>
      <c r="M145" s="48">
        <v>64913.970500000003</v>
      </c>
      <c r="N145" s="48">
        <v>12.840400000000001</v>
      </c>
      <c r="O145" s="48">
        <v>-650.78210000000001</v>
      </c>
      <c r="P145" s="48">
        <v>-31.4544</v>
      </c>
      <c r="Q145" s="48">
        <v>-930.43730000000005</v>
      </c>
      <c r="R145" s="48">
        <v>0</v>
      </c>
      <c r="S145" s="48"/>
      <c r="T145" s="48">
        <f t="shared" si="12"/>
        <v>-1599.8334</v>
      </c>
      <c r="U145" s="48">
        <f t="shared" si="13"/>
        <v>-1599.8334</v>
      </c>
      <c r="V145" s="49">
        <f>+Tabla_Auditorias[[#This Row],[AJUSTE
EGRESO
COSTO]]+Tabla_Auditorias[[#This Row],[AJUSTE EGRESO
MAL ESTADO]]+Tabla_Auditorias[[#This Row],[AJUSTE
INGRESO
COSTO]]</f>
        <v>-1242.45866313131</v>
      </c>
      <c r="W145" s="48">
        <v>-1397.9898631313099</v>
      </c>
      <c r="X145" s="48"/>
      <c r="Y145" s="48"/>
      <c r="Z145" s="48">
        <v>155.53120000000001</v>
      </c>
      <c r="AA145" s="50">
        <f>+SUM(Tabla_Auditorias[[#This Row],[AJUSTE
EGRESO
COSTO]:[AJUSTE
INGRESO
COSTO]])</f>
        <v>-1242.45866313131</v>
      </c>
      <c r="AB145" s="36" t="str">
        <f t="shared" si="14"/>
        <v>ALTO</v>
      </c>
      <c r="AC145" s="37">
        <f t="shared" si="15"/>
        <v>52</v>
      </c>
      <c r="AD145" s="35">
        <v>0</v>
      </c>
      <c r="AE145" s="41" t="s">
        <v>49</v>
      </c>
      <c r="AF145" s="38" t="str">
        <f>IF(Tabla_Auditorias[[#This Row],[TOTAL
COSTO
NETO]]&lt;&gt;0,"Si","No")</f>
        <v>Si</v>
      </c>
      <c r="AG145" s="39" t="s">
        <v>186</v>
      </c>
      <c r="AH145" s="40"/>
      <c r="AI145" s="51">
        <f t="shared" si="16"/>
        <v>0</v>
      </c>
      <c r="AJ145" s="38" t="str">
        <f t="shared" si="17"/>
        <v>Pendiente</v>
      </c>
    </row>
    <row r="146" spans="1:36" s="31" customFormat="1" ht="52.5" customHeight="1" x14ac:dyDescent="0.2">
      <c r="A146" s="32">
        <v>142</v>
      </c>
      <c r="B146" s="33" t="s">
        <v>71</v>
      </c>
      <c r="C146" s="32" t="s">
        <v>43</v>
      </c>
      <c r="D146" s="32" t="s">
        <v>44</v>
      </c>
      <c r="E146" s="32" t="s">
        <v>45</v>
      </c>
      <c r="F146" s="32">
        <v>1483</v>
      </c>
      <c r="G146" s="33" t="s">
        <v>46</v>
      </c>
      <c r="H146" s="32" t="s">
        <v>47</v>
      </c>
      <c r="I146" s="32"/>
      <c r="J146" s="34">
        <v>45673</v>
      </c>
      <c r="K146" s="34">
        <v>45673</v>
      </c>
      <c r="L146" s="32" t="s">
        <v>48</v>
      </c>
      <c r="M146" s="48">
        <v>217725.47</v>
      </c>
      <c r="N146" s="48">
        <v>332.79</v>
      </c>
      <c r="O146" s="48">
        <v>-419</v>
      </c>
      <c r="P146" s="48">
        <v>-4.0199999999999996</v>
      </c>
      <c r="Q146" s="48">
        <v>0</v>
      </c>
      <c r="R146" s="48">
        <v>0</v>
      </c>
      <c r="S146" s="48"/>
      <c r="T146" s="48">
        <f t="shared" si="12"/>
        <v>-90.229999999999976</v>
      </c>
      <c r="U146" s="48">
        <f t="shared" si="13"/>
        <v>-90.229999999999976</v>
      </c>
      <c r="V146" s="49">
        <f>+Tabla_Auditorias[[#This Row],[AJUSTE
EGRESO
COSTO]]+Tabla_Auditorias[[#This Row],[AJUSTE EGRESO
MAL ESTADO]]+Tabla_Auditorias[[#This Row],[AJUSTE
INGRESO
COSTO]]</f>
        <v>-72.195899999999938</v>
      </c>
      <c r="W146" s="48">
        <v>-544.56899999999996</v>
      </c>
      <c r="X146" s="48"/>
      <c r="Y146" s="48"/>
      <c r="Z146" s="48">
        <v>472.37310000000002</v>
      </c>
      <c r="AA146" s="50">
        <f>+SUM(Tabla_Auditorias[[#This Row],[AJUSTE
EGRESO
COSTO]:[AJUSTE
INGRESO
COSTO]])</f>
        <v>-72.195899999999938</v>
      </c>
      <c r="AB146" s="36" t="str">
        <f t="shared" si="14"/>
        <v>MEDIO</v>
      </c>
      <c r="AC146" s="37">
        <f t="shared" si="15"/>
        <v>20</v>
      </c>
      <c r="AD146" s="35">
        <v>0</v>
      </c>
      <c r="AE146" s="41" t="s">
        <v>49</v>
      </c>
      <c r="AF146" s="38" t="str">
        <f>IF(Tabla_Auditorias[[#This Row],[TOTAL
COSTO
NETO]]&lt;&gt;0,"Si","No")</f>
        <v>Si</v>
      </c>
      <c r="AG146" s="39" t="s">
        <v>187</v>
      </c>
      <c r="AH146" s="40"/>
      <c r="AI146" s="51">
        <f t="shared" si="16"/>
        <v>0</v>
      </c>
      <c r="AJ146" s="38" t="str">
        <f t="shared" si="17"/>
        <v>Pendiente</v>
      </c>
    </row>
    <row r="147" spans="1:36" s="31" customFormat="1" ht="25.5" customHeight="1" x14ac:dyDescent="0.2">
      <c r="A147" s="32">
        <v>143</v>
      </c>
      <c r="B147" s="33" t="s">
        <v>188</v>
      </c>
      <c r="C147" s="32" t="s">
        <v>51</v>
      </c>
      <c r="D147" s="32" t="s">
        <v>57</v>
      </c>
      <c r="E147" s="32" t="s">
        <v>58</v>
      </c>
      <c r="F147" s="32">
        <v>1742</v>
      </c>
      <c r="G147" s="33" t="s">
        <v>59</v>
      </c>
      <c r="H147" s="32" t="s">
        <v>47</v>
      </c>
      <c r="I147" s="32"/>
      <c r="J147" s="34">
        <v>45673</v>
      </c>
      <c r="K147" s="34">
        <v>45673</v>
      </c>
      <c r="L147" s="32" t="s">
        <v>48</v>
      </c>
      <c r="M147" s="48">
        <v>109205.4329</v>
      </c>
      <c r="N147" s="48">
        <v>141.7038</v>
      </c>
      <c r="O147" s="48">
        <v>-1747.9341999999999</v>
      </c>
      <c r="P147" s="48">
        <v>35.657200000000003</v>
      </c>
      <c r="Q147" s="48">
        <v>0</v>
      </c>
      <c r="R147" s="48">
        <v>0</v>
      </c>
      <c r="S147" s="48"/>
      <c r="T147" s="48">
        <f t="shared" si="12"/>
        <v>-1570.5731999999998</v>
      </c>
      <c r="U147" s="48">
        <f t="shared" si="13"/>
        <v>-1570.5731999999998</v>
      </c>
      <c r="V147" s="49">
        <f>+Tabla_Auditorias[[#This Row],[AJUSTE
EGRESO
COSTO]]+Tabla_Auditorias[[#This Row],[AJUSTE EGRESO
MAL ESTADO]]+Tabla_Auditorias[[#This Row],[AJUSTE
INGRESO
COSTO]]</f>
        <v>-977.90372051998008</v>
      </c>
      <c r="W147" s="48">
        <v>-1798.9087309961701</v>
      </c>
      <c r="X147" s="48"/>
      <c r="Y147" s="48"/>
      <c r="Z147" s="48">
        <v>821.00501047619002</v>
      </c>
      <c r="AA147" s="50">
        <f>+SUM(Tabla_Auditorias[[#This Row],[AJUSTE
EGRESO
COSTO]:[AJUSTE
INGRESO
COSTO]])</f>
        <v>-977.90372051998008</v>
      </c>
      <c r="AB147" s="36" t="str">
        <f t="shared" si="14"/>
        <v>ALTO</v>
      </c>
      <c r="AC147" s="37">
        <f t="shared" si="15"/>
        <v>47</v>
      </c>
      <c r="AD147" s="35">
        <v>0</v>
      </c>
      <c r="AE147" s="41" t="s">
        <v>49</v>
      </c>
      <c r="AF147" s="38" t="str">
        <f>IF(Tabla_Auditorias[[#This Row],[TOTAL
COSTO
NETO]]&lt;&gt;0,"Si","No")</f>
        <v>Si</v>
      </c>
      <c r="AG147" s="39" t="s">
        <v>189</v>
      </c>
      <c r="AH147" s="40"/>
      <c r="AI147" s="51">
        <f t="shared" si="16"/>
        <v>0</v>
      </c>
      <c r="AJ147" s="38" t="str">
        <f t="shared" si="17"/>
        <v>Pendiente</v>
      </c>
    </row>
    <row r="148" spans="1:36" s="31" customFormat="1" ht="31.5" customHeight="1" x14ac:dyDescent="0.2">
      <c r="A148" s="32">
        <v>144</v>
      </c>
      <c r="B148" s="33" t="s">
        <v>76</v>
      </c>
      <c r="C148" s="32" t="s">
        <v>51</v>
      </c>
      <c r="D148" s="32" t="s">
        <v>52</v>
      </c>
      <c r="E148" s="32" t="s">
        <v>45</v>
      </c>
      <c r="F148" s="32">
        <v>1733</v>
      </c>
      <c r="G148" s="33" t="s">
        <v>46</v>
      </c>
      <c r="H148" s="32" t="s">
        <v>47</v>
      </c>
      <c r="I148" s="32"/>
      <c r="J148" s="34">
        <v>45674</v>
      </c>
      <c r="K148" s="34">
        <v>45674</v>
      </c>
      <c r="L148" s="32" t="s">
        <v>48</v>
      </c>
      <c r="M148" s="48">
        <v>53636.65</v>
      </c>
      <c r="N148" s="48">
        <v>0</v>
      </c>
      <c r="O148" s="48">
        <v>-77.72</v>
      </c>
      <c r="P148" s="48">
        <v>0</v>
      </c>
      <c r="Q148" s="48">
        <v>0</v>
      </c>
      <c r="R148" s="48">
        <v>0</v>
      </c>
      <c r="S148" s="48"/>
      <c r="T148" s="48">
        <f t="shared" si="12"/>
        <v>-77.72</v>
      </c>
      <c r="U148" s="48">
        <f t="shared" si="13"/>
        <v>-77.72</v>
      </c>
      <c r="V148" s="49">
        <f>+Tabla_Auditorias[[#This Row],[AJUSTE
EGRESO
COSTO]]+Tabla_Auditorias[[#This Row],[AJUSTE EGRESO
MAL ESTADO]]+Tabla_Auditorias[[#This Row],[AJUSTE
INGRESO
COSTO]]</f>
        <v>-52.04</v>
      </c>
      <c r="W148" s="48">
        <v>-52.04</v>
      </c>
      <c r="X148" s="48"/>
      <c r="Y148" s="48"/>
      <c r="Z148" s="48">
        <v>0</v>
      </c>
      <c r="AA148" s="50">
        <f>+SUM(Tabla_Auditorias[[#This Row],[AJUSTE
EGRESO
COSTO]:[AJUSTE
INGRESO
COSTO]])</f>
        <v>-52.04</v>
      </c>
      <c r="AB148" s="36" t="str">
        <f t="shared" si="14"/>
        <v>MEDIO</v>
      </c>
      <c r="AC148" s="37">
        <f t="shared" si="15"/>
        <v>20</v>
      </c>
      <c r="AD148" s="35">
        <v>0</v>
      </c>
      <c r="AE148" s="41" t="s">
        <v>49</v>
      </c>
      <c r="AF148" s="38" t="str">
        <f>IF(Tabla_Auditorias[[#This Row],[TOTAL
COSTO
NETO]]&lt;&gt;0,"Si","No")</f>
        <v>Si</v>
      </c>
      <c r="AG148" s="39" t="s">
        <v>190</v>
      </c>
      <c r="AH148" s="40"/>
      <c r="AI148" s="51">
        <f t="shared" si="16"/>
        <v>0</v>
      </c>
      <c r="AJ148" s="38" t="str">
        <f t="shared" si="17"/>
        <v>Pendiente</v>
      </c>
    </row>
    <row r="149" spans="1:36" s="31" customFormat="1" ht="25.5" customHeight="1" x14ac:dyDescent="0.2">
      <c r="A149" s="32">
        <v>145</v>
      </c>
      <c r="B149" s="33" t="s">
        <v>109</v>
      </c>
      <c r="C149" s="32" t="s">
        <v>43</v>
      </c>
      <c r="D149" s="32" t="s">
        <v>44</v>
      </c>
      <c r="E149" s="32" t="s">
        <v>58</v>
      </c>
      <c r="F149" s="32">
        <v>1476</v>
      </c>
      <c r="G149" s="33" t="s">
        <v>59</v>
      </c>
      <c r="H149" s="32" t="s">
        <v>47</v>
      </c>
      <c r="I149" s="32"/>
      <c r="J149" s="34">
        <v>45677</v>
      </c>
      <c r="K149" s="34">
        <v>45677</v>
      </c>
      <c r="L149" s="32" t="s">
        <v>48</v>
      </c>
      <c r="M149" s="48">
        <v>213163.54670000001</v>
      </c>
      <c r="N149" s="48">
        <v>34.65</v>
      </c>
      <c r="O149" s="48">
        <v>-236.51339999999999</v>
      </c>
      <c r="P149" s="48">
        <v>-4.4885999999999999</v>
      </c>
      <c r="Q149" s="48">
        <v>0</v>
      </c>
      <c r="R149" s="48">
        <v>0</v>
      </c>
      <c r="S149" s="48"/>
      <c r="T149" s="48">
        <f t="shared" si="12"/>
        <v>-206.35199999999998</v>
      </c>
      <c r="U149" s="48">
        <f t="shared" si="13"/>
        <v>-206.35199999999998</v>
      </c>
      <c r="V149" s="49">
        <f>+Tabla_Auditorias[[#This Row],[AJUSTE
EGRESO
COSTO]]+Tabla_Auditorias[[#This Row],[AJUSTE EGRESO
MAL ESTADO]]+Tabla_Auditorias[[#This Row],[AJUSTE
INGRESO
COSTO]]</f>
        <v>-152.51862500000004</v>
      </c>
      <c r="W149" s="48">
        <v>-260.11992500000002</v>
      </c>
      <c r="X149" s="48"/>
      <c r="Y149" s="48"/>
      <c r="Z149" s="48">
        <v>107.60129999999999</v>
      </c>
      <c r="AA149" s="50">
        <f>+SUM(Tabla_Auditorias[[#This Row],[AJUSTE
EGRESO
COSTO]:[AJUSTE
INGRESO
COSTO]])</f>
        <v>-152.51862500000004</v>
      </c>
      <c r="AB149" s="36" t="str">
        <f t="shared" si="14"/>
        <v>MEDIO</v>
      </c>
      <c r="AC149" s="37">
        <f t="shared" si="15"/>
        <v>25</v>
      </c>
      <c r="AD149" s="35">
        <v>0</v>
      </c>
      <c r="AE149" s="41" t="s">
        <v>49</v>
      </c>
      <c r="AF149" s="38" t="str">
        <f>IF(Tabla_Auditorias[[#This Row],[TOTAL
COSTO
NETO]]&lt;&gt;0,"Si","No")</f>
        <v>Si</v>
      </c>
      <c r="AG149" s="39" t="s">
        <v>191</v>
      </c>
      <c r="AH149" s="40"/>
      <c r="AI149" s="51">
        <f t="shared" si="16"/>
        <v>0</v>
      </c>
      <c r="AJ149" s="38" t="str">
        <f t="shared" si="17"/>
        <v>Pendiente</v>
      </c>
    </row>
    <row r="150" spans="1:36" s="31" customFormat="1" ht="25.5" customHeight="1" x14ac:dyDescent="0.2">
      <c r="A150" s="32">
        <v>146</v>
      </c>
      <c r="B150" s="33" t="s">
        <v>105</v>
      </c>
      <c r="C150" s="32" t="s">
        <v>51</v>
      </c>
      <c r="D150" s="32" t="s">
        <v>57</v>
      </c>
      <c r="E150" s="32" t="s">
        <v>53</v>
      </c>
      <c r="F150" s="32">
        <v>1710</v>
      </c>
      <c r="G150" s="33" t="s">
        <v>46</v>
      </c>
      <c r="H150" s="32" t="s">
        <v>47</v>
      </c>
      <c r="I150" s="32"/>
      <c r="J150" s="34">
        <v>45677</v>
      </c>
      <c r="K150" s="34">
        <v>45677</v>
      </c>
      <c r="L150" s="32" t="s">
        <v>48</v>
      </c>
      <c r="M150" s="48">
        <v>115874.47</v>
      </c>
      <c r="N150" s="48">
        <v>6.14</v>
      </c>
      <c r="O150" s="48">
        <v>-285.52999999999997</v>
      </c>
      <c r="P150" s="48">
        <v>28.59</v>
      </c>
      <c r="Q150" s="48">
        <v>-1225.69</v>
      </c>
      <c r="R150" s="48">
        <v>-46.56</v>
      </c>
      <c r="S150" s="48"/>
      <c r="T150" s="48">
        <f t="shared" si="12"/>
        <v>-1523.05</v>
      </c>
      <c r="U150" s="48">
        <f t="shared" si="13"/>
        <v>-1476.49</v>
      </c>
      <c r="V150" s="49">
        <f>+Tabla_Auditorias[[#This Row],[AJUSTE
EGRESO
COSTO]]+Tabla_Auditorias[[#This Row],[AJUSTE EGRESO
MAL ESTADO]]+Tabla_Auditorias[[#This Row],[AJUSTE
INGRESO
COSTO]]</f>
        <v>0</v>
      </c>
      <c r="W150" s="48"/>
      <c r="X150" s="48"/>
      <c r="Y150" s="48"/>
      <c r="Z150" s="48"/>
      <c r="AA150" s="50">
        <f>+SUM(Tabla_Auditorias[[#This Row],[AJUSTE
EGRESO
COSTO]:[AJUSTE
INGRESO
COSTO]])</f>
        <v>0</v>
      </c>
      <c r="AB150" s="36" t="str">
        <f t="shared" si="14"/>
        <v>ALTO</v>
      </c>
      <c r="AC150" s="37">
        <f t="shared" si="15"/>
        <v>37</v>
      </c>
      <c r="AD150" s="35">
        <v>0</v>
      </c>
      <c r="AE150" s="41" t="s">
        <v>49</v>
      </c>
      <c r="AF150" s="38" t="str">
        <f>IF(Tabla_Auditorias[[#This Row],[TOTAL
COSTO
NETO]]&lt;&gt;0,"Si","No")</f>
        <v>No</v>
      </c>
      <c r="AG150" s="39" t="s">
        <v>192</v>
      </c>
      <c r="AH150" s="40"/>
      <c r="AI150" s="51" t="str">
        <f t="shared" si="16"/>
        <v/>
      </c>
      <c r="AJ150" s="38" t="str">
        <f t="shared" si="17"/>
        <v>Pendiente</v>
      </c>
    </row>
    <row r="151" spans="1:36" s="31" customFormat="1" ht="52.5" customHeight="1" x14ac:dyDescent="0.2">
      <c r="A151" s="32">
        <v>147</v>
      </c>
      <c r="B151" s="33" t="s">
        <v>102</v>
      </c>
      <c r="C151" s="32" t="s">
        <v>51</v>
      </c>
      <c r="D151" s="32" t="s">
        <v>57</v>
      </c>
      <c r="E151" s="32" t="s">
        <v>53</v>
      </c>
      <c r="F151" s="32">
        <v>1709</v>
      </c>
      <c r="G151" s="33" t="s">
        <v>46</v>
      </c>
      <c r="H151" s="32" t="s">
        <v>47</v>
      </c>
      <c r="I151" s="32"/>
      <c r="J151" s="34">
        <v>45678</v>
      </c>
      <c r="K151" s="34">
        <v>45678</v>
      </c>
      <c r="L151" s="32" t="s">
        <v>48</v>
      </c>
      <c r="M151" s="48">
        <v>63294.12</v>
      </c>
      <c r="N151" s="48">
        <v>10.23</v>
      </c>
      <c r="O151" s="48">
        <v>-1970.52</v>
      </c>
      <c r="P151" s="48">
        <v>12.68</v>
      </c>
      <c r="Q151" s="48">
        <v>0</v>
      </c>
      <c r="R151" s="48">
        <v>0</v>
      </c>
      <c r="S151" s="48"/>
      <c r="T151" s="48">
        <f t="shared" si="12"/>
        <v>-1947.61</v>
      </c>
      <c r="U151" s="48">
        <f t="shared" si="13"/>
        <v>-1947.61</v>
      </c>
      <c r="V151" s="49">
        <f>+Tabla_Auditorias[[#This Row],[AJUSTE
EGRESO
COSTO]]+Tabla_Auditorias[[#This Row],[AJUSTE EGRESO
MAL ESTADO]]+Tabla_Auditorias[[#This Row],[AJUSTE
INGRESO
COSTO]]</f>
        <v>-936.1884</v>
      </c>
      <c r="W151" s="48">
        <v>-1107.9937</v>
      </c>
      <c r="X151" s="48"/>
      <c r="Y151" s="48"/>
      <c r="Z151" s="48">
        <v>171.80529999999999</v>
      </c>
      <c r="AA151" s="50">
        <f>+SUM(Tabla_Auditorias[[#This Row],[AJUSTE
EGRESO
COSTO]:[AJUSTE
INGRESO
COSTO]])</f>
        <v>-936.1884</v>
      </c>
      <c r="AB151" s="36" t="str">
        <f t="shared" si="14"/>
        <v>ALTO</v>
      </c>
      <c r="AC151" s="37">
        <f t="shared" si="15"/>
        <v>62</v>
      </c>
      <c r="AD151" s="35">
        <v>0</v>
      </c>
      <c r="AE151" s="41" t="s">
        <v>49</v>
      </c>
      <c r="AF151" s="38" t="str">
        <f>IF(Tabla_Auditorias[[#This Row],[TOTAL
COSTO
NETO]]&lt;&gt;0,"Si","No")</f>
        <v>Si</v>
      </c>
      <c r="AG151" s="39" t="s">
        <v>193</v>
      </c>
      <c r="AH151" s="40"/>
      <c r="AI151" s="51">
        <f t="shared" si="16"/>
        <v>0</v>
      </c>
      <c r="AJ151" s="38" t="str">
        <f t="shared" si="17"/>
        <v>Pendiente</v>
      </c>
    </row>
    <row r="152" spans="1:36" s="31" customFormat="1" ht="25.5" customHeight="1" x14ac:dyDescent="0.2">
      <c r="A152" s="32">
        <v>148</v>
      </c>
      <c r="B152" s="33" t="s">
        <v>102</v>
      </c>
      <c r="C152" s="32" t="s">
        <v>51</v>
      </c>
      <c r="D152" s="32" t="s">
        <v>57</v>
      </c>
      <c r="E152" s="32" t="s">
        <v>53</v>
      </c>
      <c r="F152" s="32">
        <v>1709</v>
      </c>
      <c r="G152" s="33" t="s">
        <v>54</v>
      </c>
      <c r="H152" s="32" t="s">
        <v>47</v>
      </c>
      <c r="I152" s="32"/>
      <c r="J152" s="34">
        <v>45678</v>
      </c>
      <c r="K152" s="34">
        <v>45678</v>
      </c>
      <c r="L152" s="32" t="s">
        <v>48</v>
      </c>
      <c r="M152" s="48">
        <v>107880.95</v>
      </c>
      <c r="N152" s="48">
        <v>43.78</v>
      </c>
      <c r="O152" s="48">
        <v>-108.08</v>
      </c>
      <c r="P152" s="48">
        <v>-37.229999999999997</v>
      </c>
      <c r="Q152" s="48">
        <v>0</v>
      </c>
      <c r="R152" s="48">
        <v>0</v>
      </c>
      <c r="S152" s="48"/>
      <c r="T152" s="48">
        <f t="shared" si="12"/>
        <v>-101.53</v>
      </c>
      <c r="U152" s="48">
        <f t="shared" si="13"/>
        <v>-101.53</v>
      </c>
      <c r="V152" s="49">
        <f>+Tabla_Auditorias[[#This Row],[AJUSTE
EGRESO
COSTO]]+Tabla_Auditorias[[#This Row],[AJUSTE EGRESO
MAL ESTADO]]+Tabla_Auditorias[[#This Row],[AJUSTE
INGRESO
COSTO]]</f>
        <v>-38.45999999999998</v>
      </c>
      <c r="W152" s="48">
        <v>-445.5</v>
      </c>
      <c r="X152" s="48"/>
      <c r="Y152" s="48"/>
      <c r="Z152" s="48">
        <v>407.04</v>
      </c>
      <c r="AA152" s="50">
        <f>+SUM(Tabla_Auditorias[[#This Row],[AJUSTE
EGRESO
COSTO]:[AJUSTE
INGRESO
COSTO]])</f>
        <v>-38.45999999999998</v>
      </c>
      <c r="AB152" s="36" t="str">
        <f t="shared" si="14"/>
        <v>MEDIO</v>
      </c>
      <c r="AC152" s="37">
        <f t="shared" si="15"/>
        <v>20</v>
      </c>
      <c r="AD152" s="35">
        <v>0</v>
      </c>
      <c r="AE152" s="41" t="s">
        <v>49</v>
      </c>
      <c r="AF152" s="38" t="str">
        <f>IF(Tabla_Auditorias[[#This Row],[TOTAL
COSTO
NETO]]&lt;&gt;0,"Si","No")</f>
        <v>Si</v>
      </c>
      <c r="AG152" s="39" t="s">
        <v>194</v>
      </c>
      <c r="AH152" s="40"/>
      <c r="AI152" s="51">
        <f t="shared" si="16"/>
        <v>0</v>
      </c>
      <c r="AJ152" s="38" t="str">
        <f t="shared" si="17"/>
        <v>Pendiente</v>
      </c>
    </row>
    <row r="153" spans="1:36" s="31" customFormat="1" ht="25.5" customHeight="1" x14ac:dyDescent="0.2">
      <c r="A153" s="32">
        <v>149</v>
      </c>
      <c r="B153" s="33" t="s">
        <v>103</v>
      </c>
      <c r="C153" s="32" t="s">
        <v>43</v>
      </c>
      <c r="D153" s="32" t="s">
        <v>44</v>
      </c>
      <c r="E153" s="32" t="s">
        <v>53</v>
      </c>
      <c r="F153" s="32">
        <v>1474</v>
      </c>
      <c r="G153" s="33" t="s">
        <v>46</v>
      </c>
      <c r="H153" s="32" t="s">
        <v>47</v>
      </c>
      <c r="I153" s="32"/>
      <c r="J153" s="34">
        <v>45678</v>
      </c>
      <c r="K153" s="34">
        <v>45678</v>
      </c>
      <c r="L153" s="32" t="s">
        <v>48</v>
      </c>
      <c r="M153" s="48">
        <v>107880.95</v>
      </c>
      <c r="N153" s="48">
        <v>43.78</v>
      </c>
      <c r="O153" s="48">
        <v>-108.08</v>
      </c>
      <c r="P153" s="48">
        <v>-37.229999999999997</v>
      </c>
      <c r="Q153" s="48">
        <v>0</v>
      </c>
      <c r="R153" s="48">
        <v>0</v>
      </c>
      <c r="S153" s="48"/>
      <c r="T153" s="48">
        <f t="shared" si="12"/>
        <v>-101.53</v>
      </c>
      <c r="U153" s="48">
        <f t="shared" si="13"/>
        <v>-101.53</v>
      </c>
      <c r="V153" s="49">
        <f>+Tabla_Auditorias[[#This Row],[AJUSTE
EGRESO
COSTO]]+Tabla_Auditorias[[#This Row],[AJUSTE EGRESO
MAL ESTADO]]+Tabla_Auditorias[[#This Row],[AJUSTE
INGRESO
COSTO]]</f>
        <v>-43.899999999999977</v>
      </c>
      <c r="W153" s="48">
        <v>-445.5</v>
      </c>
      <c r="X153" s="48"/>
      <c r="Y153" s="48"/>
      <c r="Z153" s="48">
        <v>401.6</v>
      </c>
      <c r="AA153" s="50">
        <f>+SUM(Tabla_Auditorias[[#This Row],[AJUSTE
EGRESO
COSTO]:[AJUSTE
INGRESO
COSTO]])</f>
        <v>-43.899999999999977</v>
      </c>
      <c r="AB153" s="36" t="str">
        <f t="shared" si="14"/>
        <v>MEDIO</v>
      </c>
      <c r="AC153" s="37">
        <f t="shared" si="15"/>
        <v>20</v>
      </c>
      <c r="AD153" s="35">
        <v>0</v>
      </c>
      <c r="AE153" s="41" t="s">
        <v>49</v>
      </c>
      <c r="AF153" s="38" t="str">
        <f>IF(Tabla_Auditorias[[#This Row],[TOTAL
COSTO
NETO]]&lt;&gt;0,"Si","No")</f>
        <v>Si</v>
      </c>
      <c r="AG153" s="39" t="s">
        <v>195</v>
      </c>
      <c r="AH153" s="40"/>
      <c r="AI153" s="51">
        <f t="shared" si="16"/>
        <v>0</v>
      </c>
      <c r="AJ153" s="38" t="str">
        <f t="shared" si="17"/>
        <v>Pendiente</v>
      </c>
    </row>
    <row r="154" spans="1:36" s="31" customFormat="1" ht="25.5" customHeight="1" x14ac:dyDescent="0.2">
      <c r="A154" s="32">
        <v>150</v>
      </c>
      <c r="B154" s="33" t="s">
        <v>101</v>
      </c>
      <c r="C154" s="32" t="s">
        <v>51</v>
      </c>
      <c r="D154" s="32" t="s">
        <v>64</v>
      </c>
      <c r="E154" s="32" t="s">
        <v>53</v>
      </c>
      <c r="F154" s="32">
        <v>1724</v>
      </c>
      <c r="G154" s="33" t="s">
        <v>54</v>
      </c>
      <c r="H154" s="32" t="s">
        <v>47</v>
      </c>
      <c r="I154" s="32"/>
      <c r="J154" s="34">
        <v>45679</v>
      </c>
      <c r="K154" s="34">
        <v>45679</v>
      </c>
      <c r="L154" s="32" t="s">
        <v>48</v>
      </c>
      <c r="M154" s="48">
        <v>317605.78000000003</v>
      </c>
      <c r="N154" s="48">
        <v>0</v>
      </c>
      <c r="O154" s="48">
        <v>0</v>
      </c>
      <c r="P154" s="48">
        <v>-76.45</v>
      </c>
      <c r="Q154" s="48">
        <v>0</v>
      </c>
      <c r="R154" s="48">
        <v>0</v>
      </c>
      <c r="S154" s="48"/>
      <c r="T154" s="48">
        <f t="shared" si="12"/>
        <v>-76.45</v>
      </c>
      <c r="U154" s="48">
        <f t="shared" si="13"/>
        <v>-76.45</v>
      </c>
      <c r="V154" s="49">
        <f>+Tabla_Auditorias[[#This Row],[AJUSTE
EGRESO
COSTO]]+Tabla_Auditorias[[#This Row],[AJUSTE EGRESO
MAL ESTADO]]+Tabla_Auditorias[[#This Row],[AJUSTE
INGRESO
COSTO]]</f>
        <v>-44.070000000000007</v>
      </c>
      <c r="W154" s="48">
        <v>-146.9</v>
      </c>
      <c r="X154" s="48"/>
      <c r="Y154" s="48"/>
      <c r="Z154" s="48">
        <v>102.83</v>
      </c>
      <c r="AA154" s="50">
        <f>+SUM(Tabla_Auditorias[[#This Row],[AJUSTE
EGRESO
COSTO]:[AJUSTE
INGRESO
COSTO]])</f>
        <v>-44.070000000000007</v>
      </c>
      <c r="AB154" s="36" t="str">
        <f t="shared" si="14"/>
        <v>BAJO</v>
      </c>
      <c r="AC154" s="37">
        <f t="shared" si="15"/>
        <v>10</v>
      </c>
      <c r="AD154" s="35">
        <v>0</v>
      </c>
      <c r="AE154" s="41" t="s">
        <v>49</v>
      </c>
      <c r="AF154" s="38" t="str">
        <f>IF(Tabla_Auditorias[[#This Row],[TOTAL
COSTO
NETO]]&lt;&gt;0,"Si","No")</f>
        <v>Si</v>
      </c>
      <c r="AG154" s="39" t="s">
        <v>196</v>
      </c>
      <c r="AH154" s="40"/>
      <c r="AI154" s="51">
        <f t="shared" si="16"/>
        <v>0</v>
      </c>
      <c r="AJ154" s="38" t="str">
        <f t="shared" si="17"/>
        <v>Pendiente</v>
      </c>
    </row>
    <row r="155" spans="1:36" s="31" customFormat="1" ht="25.5" customHeight="1" x14ac:dyDescent="0.2">
      <c r="A155" s="32">
        <v>151</v>
      </c>
      <c r="B155" s="33" t="s">
        <v>113</v>
      </c>
      <c r="C155" s="32" t="s">
        <v>51</v>
      </c>
      <c r="D155" s="32" t="s">
        <v>57</v>
      </c>
      <c r="E155" s="32" t="s">
        <v>58</v>
      </c>
      <c r="F155" s="32">
        <v>1728</v>
      </c>
      <c r="G155" s="33" t="s">
        <v>59</v>
      </c>
      <c r="H155" s="32" t="s">
        <v>47</v>
      </c>
      <c r="I155" s="32"/>
      <c r="J155" s="34">
        <v>45680</v>
      </c>
      <c r="K155" s="34">
        <v>45680</v>
      </c>
      <c r="L155" s="32" t="s">
        <v>48</v>
      </c>
      <c r="M155" s="48">
        <v>83051.997299999901</v>
      </c>
      <c r="N155" s="48">
        <v>0</v>
      </c>
      <c r="O155" s="48">
        <v>-2.9571000000000001</v>
      </c>
      <c r="P155" s="48">
        <v>-36.064500000000002</v>
      </c>
      <c r="Q155" s="48">
        <v>0</v>
      </c>
      <c r="R155" s="48">
        <v>0</v>
      </c>
      <c r="S155" s="48"/>
      <c r="T155" s="48">
        <f t="shared" si="12"/>
        <v>-39.021599999999999</v>
      </c>
      <c r="U155" s="48">
        <f t="shared" si="13"/>
        <v>-39.021599999999999</v>
      </c>
      <c r="V155" s="49">
        <f>+Tabla_Auditorias[[#This Row],[AJUSTE
EGRESO
COSTO]]+Tabla_Auditorias[[#This Row],[AJUSTE EGRESO
MAL ESTADO]]+Tabla_Auditorias[[#This Row],[AJUSTE
INGRESO
COSTO]]</f>
        <v>-27.661019999999994</v>
      </c>
      <c r="W155" s="48">
        <v>-150.20496</v>
      </c>
      <c r="X155" s="48"/>
      <c r="Y155" s="48"/>
      <c r="Z155" s="48">
        <v>122.54394000000001</v>
      </c>
      <c r="AA155" s="50">
        <f>+SUM(Tabla_Auditorias[[#This Row],[AJUSTE
EGRESO
COSTO]:[AJUSTE
INGRESO
COSTO]])</f>
        <v>-27.661019999999994</v>
      </c>
      <c r="AB155" s="36" t="str">
        <f t="shared" si="14"/>
        <v>MEDIO</v>
      </c>
      <c r="AC155" s="37">
        <f t="shared" si="15"/>
        <v>20</v>
      </c>
      <c r="AD155" s="35">
        <v>0</v>
      </c>
      <c r="AE155" s="41" t="s">
        <v>49</v>
      </c>
      <c r="AF155" s="38" t="str">
        <f>IF(Tabla_Auditorias[[#This Row],[TOTAL
COSTO
NETO]]&lt;&gt;0,"Si","No")</f>
        <v>Si</v>
      </c>
      <c r="AG155" s="39" t="s">
        <v>197</v>
      </c>
      <c r="AH155" s="40"/>
      <c r="AI155" s="51">
        <f t="shared" si="16"/>
        <v>0</v>
      </c>
      <c r="AJ155" s="38" t="str">
        <f t="shared" si="17"/>
        <v>Pendiente</v>
      </c>
    </row>
    <row r="156" spans="1:36" s="31" customFormat="1" ht="42" customHeight="1" x14ac:dyDescent="0.2">
      <c r="A156" s="32">
        <v>152</v>
      </c>
      <c r="B156" s="33" t="s">
        <v>125</v>
      </c>
      <c r="C156" s="32" t="s">
        <v>43</v>
      </c>
      <c r="D156" s="32" t="s">
        <v>44</v>
      </c>
      <c r="E156" s="32" t="s">
        <v>53</v>
      </c>
      <c r="F156" s="32">
        <v>1516</v>
      </c>
      <c r="G156" s="33" t="s">
        <v>198</v>
      </c>
      <c r="H156" s="32" t="s">
        <v>47</v>
      </c>
      <c r="I156" s="32"/>
      <c r="J156" s="34">
        <v>45680</v>
      </c>
      <c r="K156" s="34">
        <v>45680</v>
      </c>
      <c r="L156" s="32" t="s">
        <v>48</v>
      </c>
      <c r="M156" s="48">
        <v>93682.39</v>
      </c>
      <c r="N156" s="48">
        <v>1814.99</v>
      </c>
      <c r="O156" s="48">
        <v>-1543.73</v>
      </c>
      <c r="P156" s="48">
        <v>58.07</v>
      </c>
      <c r="Q156" s="48">
        <v>-314.70999999999998</v>
      </c>
      <c r="R156" s="48">
        <v>0</v>
      </c>
      <c r="S156" s="48"/>
      <c r="T156" s="48">
        <f t="shared" si="12"/>
        <v>14.620000000000005</v>
      </c>
      <c r="U156" s="48">
        <f t="shared" si="13"/>
        <v>14.620000000000005</v>
      </c>
      <c r="V156" s="49">
        <f>+Tabla_Auditorias[[#This Row],[AJUSTE
EGRESO
COSTO]]+Tabla_Auditorias[[#This Row],[AJUSTE EGRESO
MAL ESTADO]]+Tabla_Auditorias[[#This Row],[AJUSTE
INGRESO
COSTO]]</f>
        <v>48.480000000000018</v>
      </c>
      <c r="W156" s="48">
        <v>-1276.5999999999999</v>
      </c>
      <c r="X156" s="48"/>
      <c r="Y156" s="48"/>
      <c r="Z156" s="48">
        <v>1325.08</v>
      </c>
      <c r="AA156" s="50">
        <f>+SUM(Tabla_Auditorias[[#This Row],[AJUSTE
EGRESO
COSTO]:[AJUSTE
INGRESO
COSTO]])</f>
        <v>48.480000000000018</v>
      </c>
      <c r="AB156" s="36" t="str">
        <f t="shared" si="14"/>
        <v>ALTO</v>
      </c>
      <c r="AC156" s="37">
        <f t="shared" si="15"/>
        <v>40</v>
      </c>
      <c r="AD156" s="35">
        <v>0</v>
      </c>
      <c r="AE156" s="41" t="s">
        <v>49</v>
      </c>
      <c r="AF156" s="38" t="str">
        <f>IF(Tabla_Auditorias[[#This Row],[TOTAL
COSTO
NETO]]&lt;&gt;0,"Si","No")</f>
        <v>Si</v>
      </c>
      <c r="AG156" s="39" t="s">
        <v>199</v>
      </c>
      <c r="AH156" s="40"/>
      <c r="AI156" s="51" t="str">
        <f t="shared" si="16"/>
        <v/>
      </c>
      <c r="AJ156" s="38" t="str">
        <f t="shared" si="17"/>
        <v>No Aplica</v>
      </c>
    </row>
    <row r="157" spans="1:36" s="31" customFormat="1" ht="25.5" customHeight="1" x14ac:dyDescent="0.2">
      <c r="A157" s="32">
        <v>153</v>
      </c>
      <c r="B157" s="33" t="s">
        <v>111</v>
      </c>
      <c r="C157" s="32" t="s">
        <v>51</v>
      </c>
      <c r="D157" s="32" t="s">
        <v>57</v>
      </c>
      <c r="E157" s="32" t="s">
        <v>58</v>
      </c>
      <c r="F157" s="32">
        <v>1702</v>
      </c>
      <c r="G157" s="33" t="s">
        <v>59</v>
      </c>
      <c r="H157" s="32" t="s">
        <v>47</v>
      </c>
      <c r="I157" s="32"/>
      <c r="J157" s="34">
        <v>45681</v>
      </c>
      <c r="K157" s="34">
        <v>45681</v>
      </c>
      <c r="L157" s="32" t="s">
        <v>48</v>
      </c>
      <c r="M157" s="48">
        <v>116588.1627</v>
      </c>
      <c r="N157" s="48">
        <v>19.212499999999999</v>
      </c>
      <c r="O157" s="48">
        <v>0</v>
      </c>
      <c r="P157" s="48">
        <v>-73.089500000000001</v>
      </c>
      <c r="Q157" s="48">
        <v>0</v>
      </c>
      <c r="R157" s="48">
        <v>0</v>
      </c>
      <c r="S157" s="48"/>
      <c r="T157" s="48">
        <f t="shared" si="12"/>
        <v>-53.877000000000002</v>
      </c>
      <c r="U157" s="48">
        <f t="shared" si="13"/>
        <v>-53.877000000000002</v>
      </c>
      <c r="V157" s="49">
        <f>+Tabla_Auditorias[[#This Row],[AJUSTE
EGRESO
COSTO]]+Tabla_Auditorias[[#This Row],[AJUSTE EGRESO
MAL ESTADO]]+Tabla_Auditorias[[#This Row],[AJUSTE
INGRESO
COSTO]]</f>
        <v>-183.04151511627902</v>
      </c>
      <c r="W157" s="48">
        <v>-629.88035000000002</v>
      </c>
      <c r="X157" s="48"/>
      <c r="Y157" s="48"/>
      <c r="Z157" s="48">
        <v>446.83883488372101</v>
      </c>
      <c r="AA157" s="50">
        <f>+SUM(Tabla_Auditorias[[#This Row],[AJUSTE
EGRESO
COSTO]:[AJUSTE
INGRESO
COSTO]])</f>
        <v>-183.04151511627902</v>
      </c>
      <c r="AB157" s="36" t="str">
        <f t="shared" si="14"/>
        <v>BAJO</v>
      </c>
      <c r="AC157" s="37">
        <f t="shared" si="15"/>
        <v>10</v>
      </c>
      <c r="AD157" s="35">
        <v>0</v>
      </c>
      <c r="AE157" s="41" t="s">
        <v>49</v>
      </c>
      <c r="AF157" s="38" t="str">
        <f>IF(Tabla_Auditorias[[#This Row],[TOTAL
COSTO
NETO]]&lt;&gt;0,"Si","No")</f>
        <v>Si</v>
      </c>
      <c r="AG157" s="39" t="s">
        <v>200</v>
      </c>
      <c r="AH157" s="40"/>
      <c r="AI157" s="51">
        <f t="shared" si="16"/>
        <v>0</v>
      </c>
      <c r="AJ157" s="38" t="str">
        <f t="shared" si="17"/>
        <v>Pendiente</v>
      </c>
    </row>
    <row r="158" spans="1:36" s="31" customFormat="1" ht="25.5" customHeight="1" x14ac:dyDescent="0.2">
      <c r="A158" s="32">
        <v>154</v>
      </c>
      <c r="B158" s="33" t="s">
        <v>107</v>
      </c>
      <c r="C158" s="32" t="s">
        <v>51</v>
      </c>
      <c r="D158" s="32" t="s">
        <v>57</v>
      </c>
      <c r="E158" s="32" t="s">
        <v>53</v>
      </c>
      <c r="F158" s="32">
        <v>1508</v>
      </c>
      <c r="G158" s="33" t="s">
        <v>54</v>
      </c>
      <c r="H158" s="32" t="s">
        <v>47</v>
      </c>
      <c r="I158" s="32"/>
      <c r="J158" s="34">
        <v>45681</v>
      </c>
      <c r="K158" s="34">
        <v>45681</v>
      </c>
      <c r="L158" s="32" t="s">
        <v>48</v>
      </c>
      <c r="M158" s="48">
        <v>85386.7</v>
      </c>
      <c r="N158" s="48">
        <v>0</v>
      </c>
      <c r="O158" s="48">
        <v>-4.76</v>
      </c>
      <c r="P158" s="48">
        <v>4.84</v>
      </c>
      <c r="Q158" s="48">
        <v>0</v>
      </c>
      <c r="R158" s="48">
        <v>0</v>
      </c>
      <c r="S158" s="48"/>
      <c r="T158" s="48">
        <f t="shared" si="12"/>
        <v>8.0000000000000071E-2</v>
      </c>
      <c r="U158" s="48">
        <f t="shared" si="13"/>
        <v>8.0000000000000071E-2</v>
      </c>
      <c r="V158" s="49">
        <f>+Tabla_Auditorias[[#This Row],[AJUSTE
EGRESO
COSTO]]+Tabla_Auditorias[[#This Row],[AJUSTE EGRESO
MAL ESTADO]]+Tabla_Auditorias[[#This Row],[AJUSTE
INGRESO
COSTO]]</f>
        <v>2.6100000000000012</v>
      </c>
      <c r="W158" s="48">
        <v>-12.78</v>
      </c>
      <c r="X158" s="48"/>
      <c r="Y158" s="48"/>
      <c r="Z158" s="48">
        <v>15.39</v>
      </c>
      <c r="AA158" s="50">
        <f>+SUM(Tabla_Auditorias[[#This Row],[AJUSTE
EGRESO
COSTO]:[AJUSTE
INGRESO
COSTO]])</f>
        <v>2.6100000000000012</v>
      </c>
      <c r="AB158" s="36" t="str">
        <f t="shared" si="14"/>
        <v>MEDIO</v>
      </c>
      <c r="AC158" s="37">
        <f t="shared" si="15"/>
        <v>20</v>
      </c>
      <c r="AD158" s="35">
        <v>0</v>
      </c>
      <c r="AE158" s="41" t="s">
        <v>49</v>
      </c>
      <c r="AF158" s="38" t="str">
        <f>IF(Tabla_Auditorias[[#This Row],[TOTAL
COSTO
NETO]]&lt;&gt;0,"Si","No")</f>
        <v>Si</v>
      </c>
      <c r="AG158" s="39" t="s">
        <v>201</v>
      </c>
      <c r="AH158" s="40"/>
      <c r="AI158" s="51" t="str">
        <f t="shared" si="16"/>
        <v/>
      </c>
      <c r="AJ158" s="38" t="str">
        <f t="shared" si="17"/>
        <v>No Aplica</v>
      </c>
    </row>
    <row r="159" spans="1:36" s="31" customFormat="1" ht="25.5" customHeight="1" x14ac:dyDescent="0.2">
      <c r="A159" s="32">
        <v>155</v>
      </c>
      <c r="B159" s="33" t="s">
        <v>115</v>
      </c>
      <c r="C159" s="32" t="s">
        <v>51</v>
      </c>
      <c r="D159" s="32" t="s">
        <v>57</v>
      </c>
      <c r="E159" s="32" t="s">
        <v>58</v>
      </c>
      <c r="F159" s="32">
        <v>1734</v>
      </c>
      <c r="G159" s="33" t="s">
        <v>59</v>
      </c>
      <c r="H159" s="32" t="s">
        <v>47</v>
      </c>
      <c r="I159" s="32"/>
      <c r="J159" s="34">
        <v>45684</v>
      </c>
      <c r="K159" s="34">
        <v>45684</v>
      </c>
      <c r="L159" s="32" t="s">
        <v>48</v>
      </c>
      <c r="M159" s="48">
        <v>65340.819600000003</v>
      </c>
      <c r="N159" s="48">
        <v>0</v>
      </c>
      <c r="O159" s="48">
        <v>0</v>
      </c>
      <c r="P159" s="48">
        <v>0</v>
      </c>
      <c r="Q159" s="48">
        <v>0</v>
      </c>
      <c r="R159" s="48">
        <v>0</v>
      </c>
      <c r="S159" s="48"/>
      <c r="T159" s="48">
        <f t="shared" si="12"/>
        <v>0</v>
      </c>
      <c r="U159" s="48">
        <f t="shared" si="13"/>
        <v>0</v>
      </c>
      <c r="V159" s="49">
        <f>+Tabla_Auditorias[[#This Row],[AJUSTE
EGRESO
COSTO]]+Tabla_Auditorias[[#This Row],[AJUSTE EGRESO
MAL ESTADO]]+Tabla_Auditorias[[#This Row],[AJUSTE
INGRESO
COSTO]]</f>
        <v>-268.75105000000002</v>
      </c>
      <c r="W159" s="48">
        <v>-268.75105000000002</v>
      </c>
      <c r="X159" s="48"/>
      <c r="Y159" s="48"/>
      <c r="Z159" s="48">
        <v>0</v>
      </c>
      <c r="AA159" s="50">
        <f>+SUM(Tabla_Auditorias[[#This Row],[AJUSTE
EGRESO
COSTO]:[AJUSTE
INGRESO
COSTO]])</f>
        <v>-268.75105000000002</v>
      </c>
      <c r="AB159" s="36" t="str">
        <f t="shared" si="14"/>
        <v>BAJO</v>
      </c>
      <c r="AC159" s="37">
        <f t="shared" si="15"/>
        <v>0</v>
      </c>
      <c r="AD159" s="35">
        <v>0</v>
      </c>
      <c r="AE159" s="41" t="s">
        <v>49</v>
      </c>
      <c r="AF159" s="38" t="str">
        <f>IF(Tabla_Auditorias[[#This Row],[TOTAL
COSTO
NETO]]&lt;&gt;0,"Si","No")</f>
        <v>Si</v>
      </c>
      <c r="AG159" s="39" t="s">
        <v>81</v>
      </c>
      <c r="AH159" s="40"/>
      <c r="AI159" s="51">
        <f t="shared" si="16"/>
        <v>0</v>
      </c>
      <c r="AJ159" s="38" t="str">
        <f t="shared" si="17"/>
        <v>Pendiente</v>
      </c>
    </row>
    <row r="160" spans="1:36" s="31" customFormat="1" ht="52.5" customHeight="1" x14ac:dyDescent="0.2">
      <c r="A160" s="32">
        <v>156</v>
      </c>
      <c r="B160" s="33" t="s">
        <v>93</v>
      </c>
      <c r="C160" s="32" t="s">
        <v>51</v>
      </c>
      <c r="D160" s="32" t="s">
        <v>64</v>
      </c>
      <c r="E160" s="32" t="s">
        <v>45</v>
      </c>
      <c r="F160" s="32">
        <v>1723</v>
      </c>
      <c r="G160" s="33" t="s">
        <v>46</v>
      </c>
      <c r="H160" s="32" t="s">
        <v>47</v>
      </c>
      <c r="I160" s="32"/>
      <c r="J160" s="34">
        <v>45688</v>
      </c>
      <c r="K160" s="34">
        <v>45688</v>
      </c>
      <c r="L160" s="32" t="s">
        <v>48</v>
      </c>
      <c r="M160" s="48">
        <v>420166.87</v>
      </c>
      <c r="N160" s="48">
        <v>0</v>
      </c>
      <c r="O160" s="48">
        <v>0</v>
      </c>
      <c r="P160" s="48">
        <v>0</v>
      </c>
      <c r="Q160" s="48">
        <v>0</v>
      </c>
      <c r="R160" s="48">
        <v>-43.04</v>
      </c>
      <c r="S160" s="48"/>
      <c r="T160" s="48">
        <f t="shared" si="12"/>
        <v>-43.04</v>
      </c>
      <c r="U160" s="48">
        <f t="shared" si="13"/>
        <v>0</v>
      </c>
      <c r="V160" s="49">
        <f>+Tabla_Auditorias[[#This Row],[AJUSTE
EGRESO
COSTO]]+Tabla_Auditorias[[#This Row],[AJUSTE EGRESO
MAL ESTADO]]+Tabla_Auditorias[[#This Row],[AJUSTE
INGRESO
COSTO]]</f>
        <v>-43.04</v>
      </c>
      <c r="W160" s="48">
        <v>-43.04</v>
      </c>
      <c r="X160" s="48"/>
      <c r="Y160" s="48"/>
      <c r="Z160" s="48">
        <v>0</v>
      </c>
      <c r="AA160" s="50">
        <f>+SUM(Tabla_Auditorias[[#This Row],[AJUSTE
EGRESO
COSTO]:[AJUSTE
INGRESO
COSTO]])</f>
        <v>-43.04</v>
      </c>
      <c r="AB160" s="36" t="str">
        <f t="shared" si="14"/>
        <v>BAJO</v>
      </c>
      <c r="AC160" s="37">
        <f t="shared" si="15"/>
        <v>5</v>
      </c>
      <c r="AD160" s="35">
        <v>0</v>
      </c>
      <c r="AE160" s="41" t="s">
        <v>49</v>
      </c>
      <c r="AF160" s="38" t="str">
        <f>IF(Tabla_Auditorias[[#This Row],[TOTAL
COSTO
NETO]]&lt;&gt;0,"Si","No")</f>
        <v>Si</v>
      </c>
      <c r="AG160" s="39" t="s">
        <v>202</v>
      </c>
      <c r="AH160" s="40"/>
      <c r="AI160" s="51">
        <f t="shared" si="16"/>
        <v>0</v>
      </c>
      <c r="AJ160" s="38" t="str">
        <f t="shared" si="17"/>
        <v>Pendiente</v>
      </c>
    </row>
    <row r="161" spans="1:36" s="31" customFormat="1" ht="25.5" customHeight="1" x14ac:dyDescent="0.2">
      <c r="A161" s="32">
        <v>157</v>
      </c>
      <c r="B161" s="33" t="s">
        <v>203</v>
      </c>
      <c r="C161" s="32" t="s">
        <v>43</v>
      </c>
      <c r="D161" s="32" t="s">
        <v>44</v>
      </c>
      <c r="E161" s="32" t="s">
        <v>58</v>
      </c>
      <c r="F161" s="32">
        <v>1492</v>
      </c>
      <c r="G161" s="33" t="s">
        <v>59</v>
      </c>
      <c r="H161" s="32" t="s">
        <v>47</v>
      </c>
      <c r="I161" s="32"/>
      <c r="J161" s="34">
        <v>45691</v>
      </c>
      <c r="K161" s="34">
        <v>45691</v>
      </c>
      <c r="L161" s="32" t="s">
        <v>48</v>
      </c>
      <c r="M161" s="48">
        <v>216169.8873</v>
      </c>
      <c r="N161" s="48">
        <v>142.25</v>
      </c>
      <c r="O161" s="48">
        <v>-413.46870000000001</v>
      </c>
      <c r="P161" s="48">
        <v>-3.9904000000000002</v>
      </c>
      <c r="Q161" s="48">
        <v>-147.99619999999999</v>
      </c>
      <c r="R161" s="48">
        <v>0</v>
      </c>
      <c r="S161" s="48"/>
      <c r="T161" s="48">
        <f t="shared" si="12"/>
        <v>-423.20530000000002</v>
      </c>
      <c r="U161" s="48">
        <f t="shared" si="13"/>
        <v>-423.20530000000002</v>
      </c>
      <c r="V161" s="49">
        <f>+Tabla_Auditorias[[#This Row],[AJUSTE
EGRESO
COSTO]]+Tabla_Auditorias[[#This Row],[AJUSTE EGRESO
MAL ESTADO]]+Tabla_Auditorias[[#This Row],[AJUSTE
INGRESO
COSTO]]</f>
        <v>-242.84810000000004</v>
      </c>
      <c r="W161" s="48">
        <v>-1106.4192</v>
      </c>
      <c r="X161" s="48"/>
      <c r="Y161" s="48"/>
      <c r="Z161" s="48">
        <v>863.5711</v>
      </c>
      <c r="AA161" s="50">
        <f>+SUM(Tabla_Auditorias[[#This Row],[AJUSTE
EGRESO
COSTO]:[AJUSTE
INGRESO
COSTO]])</f>
        <v>-242.84810000000004</v>
      </c>
      <c r="AB161" s="36" t="str">
        <f t="shared" si="14"/>
        <v>MEDIO</v>
      </c>
      <c r="AC161" s="37">
        <f t="shared" si="15"/>
        <v>30</v>
      </c>
      <c r="AD161" s="35">
        <v>0</v>
      </c>
      <c r="AE161" s="41" t="s">
        <v>49</v>
      </c>
      <c r="AF161" s="38" t="str">
        <f>IF(Tabla_Auditorias[[#This Row],[TOTAL
COSTO
NETO]]&lt;&gt;0,"Si","No")</f>
        <v>Si</v>
      </c>
      <c r="AG161" s="39" t="s">
        <v>204</v>
      </c>
      <c r="AH161" s="40"/>
      <c r="AI161" s="51">
        <f t="shared" si="16"/>
        <v>0</v>
      </c>
      <c r="AJ161" s="38" t="str">
        <f t="shared" si="17"/>
        <v>Pendiente</v>
      </c>
    </row>
    <row r="162" spans="1:36" s="31" customFormat="1" ht="25.5" customHeight="1" x14ac:dyDescent="0.2">
      <c r="A162" s="32">
        <v>158</v>
      </c>
      <c r="B162" s="33" t="s">
        <v>118</v>
      </c>
      <c r="C162" s="32" t="s">
        <v>43</v>
      </c>
      <c r="D162" s="32" t="s">
        <v>44</v>
      </c>
      <c r="E162" s="32" t="s">
        <v>53</v>
      </c>
      <c r="F162" s="32">
        <v>1507</v>
      </c>
      <c r="G162" s="33" t="s">
        <v>54</v>
      </c>
      <c r="H162" s="32" t="s">
        <v>47</v>
      </c>
      <c r="I162" s="32"/>
      <c r="J162" s="34">
        <v>45691</v>
      </c>
      <c r="K162" s="34">
        <v>45691</v>
      </c>
      <c r="L162" s="32" t="s">
        <v>48</v>
      </c>
      <c r="M162" s="48">
        <v>97514.63</v>
      </c>
      <c r="N162" s="48">
        <v>91.53</v>
      </c>
      <c r="O162" s="48">
        <v>-95.89</v>
      </c>
      <c r="P162" s="48">
        <v>0</v>
      </c>
      <c r="Q162" s="48">
        <v>0</v>
      </c>
      <c r="R162" s="48">
        <v>-69.33</v>
      </c>
      <c r="S162" s="48"/>
      <c r="T162" s="48">
        <f t="shared" si="12"/>
        <v>-73.69</v>
      </c>
      <c r="U162" s="48">
        <f t="shared" si="13"/>
        <v>-4.3599999999999994</v>
      </c>
      <c r="V162" s="49">
        <f>+Tabla_Auditorias[[#This Row],[AJUSTE
EGRESO
COSTO]]+Tabla_Auditorias[[#This Row],[AJUSTE EGRESO
MAL ESTADO]]+Tabla_Auditorias[[#This Row],[AJUSTE
INGRESO
COSTO]]</f>
        <v>-29.210000000000008</v>
      </c>
      <c r="W162" s="48">
        <v>-190.33</v>
      </c>
      <c r="X162" s="48"/>
      <c r="Y162" s="48"/>
      <c r="Z162" s="48">
        <v>161.12</v>
      </c>
      <c r="AA162" s="50">
        <f>+SUM(Tabla_Auditorias[[#This Row],[AJUSTE
EGRESO
COSTO]:[AJUSTE
INGRESO
COSTO]])</f>
        <v>-29.210000000000008</v>
      </c>
      <c r="AB162" s="36" t="str">
        <f t="shared" si="14"/>
        <v>MEDIO</v>
      </c>
      <c r="AC162" s="37">
        <f t="shared" si="15"/>
        <v>25</v>
      </c>
      <c r="AD162" s="35">
        <v>0</v>
      </c>
      <c r="AE162" s="41" t="s">
        <v>49</v>
      </c>
      <c r="AF162" s="38" t="str">
        <f>IF(Tabla_Auditorias[[#This Row],[TOTAL
COSTO
NETO]]&lt;&gt;0,"Si","No")</f>
        <v>Si</v>
      </c>
      <c r="AG162" s="39" t="s">
        <v>205</v>
      </c>
      <c r="AH162" s="40"/>
      <c r="AI162" s="51">
        <f t="shared" si="16"/>
        <v>0</v>
      </c>
      <c r="AJ162" s="38" t="str">
        <f t="shared" si="17"/>
        <v>Pendiente</v>
      </c>
    </row>
    <row r="163" spans="1:36" s="31" customFormat="1" ht="25.5" customHeight="1" x14ac:dyDescent="0.2">
      <c r="A163" s="32">
        <v>159</v>
      </c>
      <c r="B163" s="33" t="s">
        <v>50</v>
      </c>
      <c r="C163" s="32" t="s">
        <v>51</v>
      </c>
      <c r="D163" s="32" t="s">
        <v>52</v>
      </c>
      <c r="E163" s="32" t="s">
        <v>53</v>
      </c>
      <c r="F163" s="32">
        <v>1732</v>
      </c>
      <c r="G163" s="33" t="s">
        <v>54</v>
      </c>
      <c r="H163" s="32" t="s">
        <v>47</v>
      </c>
      <c r="I163" s="32"/>
      <c r="J163" s="34">
        <v>45691</v>
      </c>
      <c r="K163" s="34">
        <v>45691</v>
      </c>
      <c r="L163" s="32" t="s">
        <v>48</v>
      </c>
      <c r="M163" s="48">
        <v>37533.85</v>
      </c>
      <c r="N163" s="48">
        <v>0</v>
      </c>
      <c r="O163" s="48">
        <v>0</v>
      </c>
      <c r="P163" s="48">
        <v>0</v>
      </c>
      <c r="Q163" s="48">
        <v>0</v>
      </c>
      <c r="R163" s="48">
        <v>0</v>
      </c>
      <c r="S163" s="48"/>
      <c r="T163" s="48">
        <f t="shared" si="12"/>
        <v>0</v>
      </c>
      <c r="U163" s="48">
        <f t="shared" si="13"/>
        <v>0</v>
      </c>
      <c r="V163" s="49">
        <f>+Tabla_Auditorias[[#This Row],[AJUSTE
EGRESO
COSTO]]+Tabla_Auditorias[[#This Row],[AJUSTE EGRESO
MAL ESTADO]]+Tabla_Auditorias[[#This Row],[AJUSTE
INGRESO
COSTO]]</f>
        <v>0</v>
      </c>
      <c r="W163" s="48">
        <v>0</v>
      </c>
      <c r="X163" s="48"/>
      <c r="Y163" s="48"/>
      <c r="Z163" s="48">
        <v>0</v>
      </c>
      <c r="AA163" s="50">
        <f>+SUM(Tabla_Auditorias[[#This Row],[AJUSTE
EGRESO
COSTO]:[AJUSTE
INGRESO
COSTO]])</f>
        <v>0</v>
      </c>
      <c r="AB163" s="36" t="str">
        <f t="shared" si="14"/>
        <v>BAJO</v>
      </c>
      <c r="AC163" s="37">
        <f t="shared" si="15"/>
        <v>0</v>
      </c>
      <c r="AD163" s="35">
        <v>0</v>
      </c>
      <c r="AE163" s="41" t="s">
        <v>49</v>
      </c>
      <c r="AF163" s="38" t="str">
        <f>IF(Tabla_Auditorias[[#This Row],[TOTAL
COSTO
NETO]]&lt;&gt;0,"Si","No")</f>
        <v>No</v>
      </c>
      <c r="AG163" s="39" t="s">
        <v>183</v>
      </c>
      <c r="AH163" s="40"/>
      <c r="AI163" s="51" t="str">
        <f t="shared" si="16"/>
        <v/>
      </c>
      <c r="AJ163" s="38" t="str">
        <f t="shared" si="17"/>
        <v>Pendiente</v>
      </c>
    </row>
    <row r="164" spans="1:36" s="31" customFormat="1" ht="25.5" customHeight="1" x14ac:dyDescent="0.2">
      <c r="A164" s="32">
        <v>160</v>
      </c>
      <c r="B164" s="33" t="s">
        <v>97</v>
      </c>
      <c r="C164" s="32" t="s">
        <v>51</v>
      </c>
      <c r="D164" s="32" t="s">
        <v>57</v>
      </c>
      <c r="E164" s="32" t="s">
        <v>53</v>
      </c>
      <c r="F164" s="32">
        <v>1701</v>
      </c>
      <c r="G164" s="33" t="s">
        <v>54</v>
      </c>
      <c r="H164" s="32" t="s">
        <v>47</v>
      </c>
      <c r="I164" s="32"/>
      <c r="J164" s="34">
        <v>45692</v>
      </c>
      <c r="K164" s="34">
        <v>45692</v>
      </c>
      <c r="L164" s="32" t="s">
        <v>48</v>
      </c>
      <c r="M164" s="48">
        <v>129097.58</v>
      </c>
      <c r="N164" s="48">
        <v>0</v>
      </c>
      <c r="O164" s="48">
        <v>0</v>
      </c>
      <c r="P164" s="48">
        <v>0</v>
      </c>
      <c r="Q164" s="48">
        <v>0</v>
      </c>
      <c r="R164" s="48">
        <v>0</v>
      </c>
      <c r="S164" s="48"/>
      <c r="T164" s="48">
        <f t="shared" si="12"/>
        <v>0</v>
      </c>
      <c r="U164" s="48">
        <f t="shared" si="13"/>
        <v>0</v>
      </c>
      <c r="V164" s="49">
        <f>+Tabla_Auditorias[[#This Row],[AJUSTE
EGRESO
COSTO]]+Tabla_Auditorias[[#This Row],[AJUSTE EGRESO
MAL ESTADO]]+Tabla_Auditorias[[#This Row],[AJUSTE
INGRESO
COSTO]]</f>
        <v>0</v>
      </c>
      <c r="W164" s="48">
        <v>0</v>
      </c>
      <c r="X164" s="48"/>
      <c r="Y164" s="48"/>
      <c r="Z164" s="48">
        <v>0</v>
      </c>
      <c r="AA164" s="50">
        <f>+SUM(Tabla_Auditorias[[#This Row],[AJUSTE
EGRESO
COSTO]:[AJUSTE
INGRESO
COSTO]])</f>
        <v>0</v>
      </c>
      <c r="AB164" s="36" t="str">
        <f t="shared" si="14"/>
        <v>BAJO</v>
      </c>
      <c r="AC164" s="37">
        <f t="shared" si="15"/>
        <v>0</v>
      </c>
      <c r="AD164" s="35">
        <v>0</v>
      </c>
      <c r="AE164" s="41" t="s">
        <v>49</v>
      </c>
      <c r="AF164" s="38" t="str">
        <f>IF(Tabla_Auditorias[[#This Row],[TOTAL
COSTO
NETO]]&lt;&gt;0,"Si","No")</f>
        <v>No</v>
      </c>
      <c r="AG164" s="39" t="s">
        <v>183</v>
      </c>
      <c r="AH164" s="40"/>
      <c r="AI164" s="51" t="str">
        <f t="shared" si="16"/>
        <v/>
      </c>
      <c r="AJ164" s="38" t="str">
        <f t="shared" si="17"/>
        <v>Pendiente</v>
      </c>
    </row>
    <row r="165" spans="1:36" s="31" customFormat="1" ht="25.5" customHeight="1" x14ac:dyDescent="0.2">
      <c r="A165" s="32">
        <v>161</v>
      </c>
      <c r="B165" s="33" t="s">
        <v>120</v>
      </c>
      <c r="C165" s="32" t="s">
        <v>43</v>
      </c>
      <c r="D165" s="32" t="s">
        <v>44</v>
      </c>
      <c r="E165" s="32" t="s">
        <v>58</v>
      </c>
      <c r="F165" s="32">
        <v>1470</v>
      </c>
      <c r="G165" s="33" t="s">
        <v>59</v>
      </c>
      <c r="H165" s="32" t="s">
        <v>47</v>
      </c>
      <c r="I165" s="32"/>
      <c r="J165" s="34">
        <v>45693</v>
      </c>
      <c r="K165" s="34">
        <v>45693</v>
      </c>
      <c r="L165" s="32" t="s">
        <v>48</v>
      </c>
      <c r="M165" s="48">
        <v>296577.53350000002</v>
      </c>
      <c r="N165" s="48">
        <v>235.72110000000001</v>
      </c>
      <c r="O165" s="48">
        <v>-355.21910000000003</v>
      </c>
      <c r="P165" s="48">
        <v>-5.67100000000005</v>
      </c>
      <c r="Q165" s="48">
        <v>-43.228099999999998</v>
      </c>
      <c r="R165" s="48">
        <v>0</v>
      </c>
      <c r="S165" s="48"/>
      <c r="T165" s="48">
        <f t="shared" si="12"/>
        <v>-168.39710000000008</v>
      </c>
      <c r="U165" s="48">
        <f t="shared" si="13"/>
        <v>-168.39710000000008</v>
      </c>
      <c r="V165" s="49">
        <f>+Tabla_Auditorias[[#This Row],[AJUSTE
EGRESO
COSTO]]+Tabla_Auditorias[[#This Row],[AJUSTE EGRESO
MAL ESTADO]]+Tabla_Auditorias[[#This Row],[AJUSTE
INGRESO
COSTO]]</f>
        <v>-133.70845454544997</v>
      </c>
      <c r="W165" s="48">
        <v>-3131.7092250000001</v>
      </c>
      <c r="X165" s="48"/>
      <c r="Y165" s="48"/>
      <c r="Z165" s="48">
        <v>2998.0007704545501</v>
      </c>
      <c r="AA165" s="50">
        <f>+SUM(Tabla_Auditorias[[#This Row],[AJUSTE
EGRESO
COSTO]:[AJUSTE
INGRESO
COSTO]])</f>
        <v>-133.70845454544997</v>
      </c>
      <c r="AB165" s="36" t="str">
        <f t="shared" si="14"/>
        <v>MEDIO</v>
      </c>
      <c r="AC165" s="37">
        <f t="shared" si="15"/>
        <v>25</v>
      </c>
      <c r="AD165" s="35">
        <v>0</v>
      </c>
      <c r="AE165" s="41" t="s">
        <v>49</v>
      </c>
      <c r="AF165" s="38" t="str">
        <f>IF(Tabla_Auditorias[[#This Row],[TOTAL
COSTO
NETO]]&lt;&gt;0,"Si","No")</f>
        <v>Si</v>
      </c>
      <c r="AG165" s="39" t="s">
        <v>206</v>
      </c>
      <c r="AH165" s="40"/>
      <c r="AI165" s="51">
        <f t="shared" si="16"/>
        <v>0</v>
      </c>
      <c r="AJ165" s="38" t="str">
        <f t="shared" si="17"/>
        <v>Pendiente</v>
      </c>
    </row>
    <row r="166" spans="1:36" s="31" customFormat="1" ht="73.5" customHeight="1" x14ac:dyDescent="0.2">
      <c r="A166" s="32">
        <v>162</v>
      </c>
      <c r="B166" s="33" t="s">
        <v>82</v>
      </c>
      <c r="C166" s="32" t="s">
        <v>43</v>
      </c>
      <c r="D166" s="32" t="s">
        <v>44</v>
      </c>
      <c r="E166" s="32" t="s">
        <v>45</v>
      </c>
      <c r="F166" s="32">
        <v>1486</v>
      </c>
      <c r="G166" s="33" t="s">
        <v>46</v>
      </c>
      <c r="H166" s="32" t="s">
        <v>47</v>
      </c>
      <c r="I166" s="32"/>
      <c r="J166" s="34">
        <v>45695</v>
      </c>
      <c r="K166" s="34">
        <v>45695</v>
      </c>
      <c r="L166" s="32" t="s">
        <v>48</v>
      </c>
      <c r="M166" s="48">
        <v>237320.65</v>
      </c>
      <c r="N166" s="48">
        <v>260.33999999999997</v>
      </c>
      <c r="O166" s="48">
        <v>-314.63</v>
      </c>
      <c r="P166" s="48">
        <v>250.85</v>
      </c>
      <c r="Q166" s="48">
        <v>-194.23</v>
      </c>
      <c r="R166" s="48">
        <v>-769.02</v>
      </c>
      <c r="S166" s="48"/>
      <c r="T166" s="48">
        <f t="shared" si="12"/>
        <v>-766.69</v>
      </c>
      <c r="U166" s="48">
        <f t="shared" si="13"/>
        <v>2.3299999999999841</v>
      </c>
      <c r="V166" s="49">
        <f>+Tabla_Auditorias[[#This Row],[AJUSTE
EGRESO
COSTO]]+Tabla_Auditorias[[#This Row],[AJUSTE EGRESO
MAL ESTADO]]+Tabla_Auditorias[[#This Row],[AJUSTE
INGRESO
COSTO]]</f>
        <v>-496.10260000000017</v>
      </c>
      <c r="W166" s="48">
        <v>-1796.1881000000001</v>
      </c>
      <c r="X166" s="48"/>
      <c r="Y166" s="48"/>
      <c r="Z166" s="48">
        <v>1300.0854999999999</v>
      </c>
      <c r="AA166" s="50">
        <f>+SUM(Tabla_Auditorias[[#This Row],[AJUSTE
EGRESO
COSTO]:[AJUSTE
INGRESO
COSTO]])</f>
        <v>-496.10260000000017</v>
      </c>
      <c r="AB166" s="36" t="str">
        <f t="shared" si="14"/>
        <v>MEDIO</v>
      </c>
      <c r="AC166" s="37">
        <f t="shared" si="15"/>
        <v>25</v>
      </c>
      <c r="AD166" s="35">
        <v>0</v>
      </c>
      <c r="AE166" s="41" t="s">
        <v>49</v>
      </c>
      <c r="AF166" s="38" t="str">
        <f>IF(Tabla_Auditorias[[#This Row],[TOTAL
COSTO
NETO]]&lt;&gt;0,"Si","No")</f>
        <v>Si</v>
      </c>
      <c r="AG166" s="39" t="s">
        <v>207</v>
      </c>
      <c r="AH166" s="40"/>
      <c r="AI166" s="51">
        <f t="shared" si="16"/>
        <v>0</v>
      </c>
      <c r="AJ166" s="38" t="str">
        <f t="shared" si="17"/>
        <v>Pendiente</v>
      </c>
    </row>
    <row r="167" spans="1:36" s="31" customFormat="1" ht="25.5" customHeight="1" x14ac:dyDescent="0.2">
      <c r="A167" s="32">
        <v>163</v>
      </c>
      <c r="B167" s="33" t="s">
        <v>208</v>
      </c>
      <c r="C167" s="32" t="s">
        <v>43</v>
      </c>
      <c r="D167" s="32" t="s">
        <v>44</v>
      </c>
      <c r="E167" s="32" t="s">
        <v>58</v>
      </c>
      <c r="F167" s="32">
        <v>1493</v>
      </c>
      <c r="G167" s="33" t="s">
        <v>59</v>
      </c>
      <c r="H167" s="32" t="s">
        <v>47</v>
      </c>
      <c r="I167" s="32"/>
      <c r="J167" s="34">
        <v>45698</v>
      </c>
      <c r="K167" s="34">
        <v>45698</v>
      </c>
      <c r="L167" s="32" t="s">
        <v>48</v>
      </c>
      <c r="M167" s="48">
        <v>234143.65270000001</v>
      </c>
      <c r="N167" s="48">
        <v>264.72000000000003</v>
      </c>
      <c r="O167" s="48">
        <v>-2097.56</v>
      </c>
      <c r="P167" s="48">
        <v>-33.040000000000099</v>
      </c>
      <c r="Q167" s="48">
        <v>-59.4</v>
      </c>
      <c r="R167" s="48">
        <v>0</v>
      </c>
      <c r="S167" s="48"/>
      <c r="T167" s="48">
        <f t="shared" si="12"/>
        <v>-1925.2800000000002</v>
      </c>
      <c r="U167" s="48">
        <f t="shared" si="13"/>
        <v>-1925.2800000000002</v>
      </c>
      <c r="V167" s="49">
        <f>+Tabla_Auditorias[[#This Row],[AJUSTE
EGRESO
COSTO]]+Tabla_Auditorias[[#This Row],[AJUSTE EGRESO
MAL ESTADO]]+Tabla_Auditorias[[#This Row],[AJUSTE
INGRESO
COSTO]]</f>
        <v>-1192.1505</v>
      </c>
      <c r="W167" s="48">
        <v>-3066.2602999999999</v>
      </c>
      <c r="X167" s="48"/>
      <c r="Y167" s="48"/>
      <c r="Z167" s="48">
        <v>1874.1098</v>
      </c>
      <c r="AA167" s="50">
        <f>+SUM(Tabla_Auditorias[[#This Row],[AJUSTE
EGRESO
COSTO]:[AJUSTE
INGRESO
COSTO]])</f>
        <v>-1192.1505</v>
      </c>
      <c r="AB167" s="36" t="str">
        <f t="shared" si="14"/>
        <v>ALTO</v>
      </c>
      <c r="AC167" s="37">
        <f t="shared" si="15"/>
        <v>37</v>
      </c>
      <c r="AD167" s="35">
        <v>0</v>
      </c>
      <c r="AE167" s="41" t="s">
        <v>49</v>
      </c>
      <c r="AF167" s="38" t="str">
        <f>IF(Tabla_Auditorias[[#This Row],[TOTAL
COSTO
NETO]]&lt;&gt;0,"Si","No")</f>
        <v>Si</v>
      </c>
      <c r="AG167" s="39" t="s">
        <v>209</v>
      </c>
      <c r="AH167" s="40"/>
      <c r="AI167" s="51">
        <f t="shared" si="16"/>
        <v>0</v>
      </c>
      <c r="AJ167" s="38" t="str">
        <f t="shared" si="17"/>
        <v>Pendiente</v>
      </c>
    </row>
    <row r="168" spans="1:36" s="31" customFormat="1" ht="25.5" customHeight="1" x14ac:dyDescent="0.2">
      <c r="A168" s="32">
        <v>164</v>
      </c>
      <c r="B168" s="33" t="s">
        <v>85</v>
      </c>
      <c r="C168" s="32" t="s">
        <v>43</v>
      </c>
      <c r="D168" s="32" t="s">
        <v>44</v>
      </c>
      <c r="E168" s="32" t="s">
        <v>53</v>
      </c>
      <c r="F168" s="32">
        <v>1510</v>
      </c>
      <c r="G168" s="33" t="s">
        <v>54</v>
      </c>
      <c r="H168" s="32" t="s">
        <v>47</v>
      </c>
      <c r="I168" s="32"/>
      <c r="J168" s="34">
        <v>45700</v>
      </c>
      <c r="K168" s="34">
        <v>45700</v>
      </c>
      <c r="L168" s="32" t="s">
        <v>48</v>
      </c>
      <c r="M168" s="48">
        <v>61428.94</v>
      </c>
      <c r="N168" s="48">
        <v>48.59</v>
      </c>
      <c r="O168" s="48">
        <v>-212.08</v>
      </c>
      <c r="P168" s="48">
        <v>21.77</v>
      </c>
      <c r="Q168" s="48">
        <v>0</v>
      </c>
      <c r="R168" s="48">
        <v>0</v>
      </c>
      <c r="S168" s="48"/>
      <c r="T168" s="48">
        <f t="shared" si="12"/>
        <v>-141.72</v>
      </c>
      <c r="U168" s="48">
        <f t="shared" si="13"/>
        <v>-141.72</v>
      </c>
      <c r="V168" s="49">
        <f>+Tabla_Auditorias[[#This Row],[AJUSTE
EGRESO
COSTO]]+Tabla_Auditorias[[#This Row],[AJUSTE EGRESO
MAL ESTADO]]+Tabla_Auditorias[[#This Row],[AJUSTE
INGRESO
COSTO]]</f>
        <v>-56.879999999999995</v>
      </c>
      <c r="W168" s="48">
        <v>-162.25</v>
      </c>
      <c r="X168" s="48"/>
      <c r="Y168" s="48"/>
      <c r="Z168" s="48">
        <v>105.37</v>
      </c>
      <c r="AA168" s="50">
        <f>+SUM(Tabla_Auditorias[[#This Row],[AJUSTE
EGRESO
COSTO]:[AJUSTE
INGRESO
COSTO]])</f>
        <v>-56.879999999999995</v>
      </c>
      <c r="AB168" s="36" t="str">
        <f t="shared" si="14"/>
        <v>MEDIO</v>
      </c>
      <c r="AC168" s="37">
        <f t="shared" si="15"/>
        <v>20</v>
      </c>
      <c r="AD168" s="35">
        <v>0</v>
      </c>
      <c r="AE168" s="41" t="s">
        <v>49</v>
      </c>
      <c r="AF168" s="38" t="str">
        <f>IF(Tabla_Auditorias[[#This Row],[TOTAL
COSTO
NETO]]&lt;&gt;0,"Si","No")</f>
        <v>Si</v>
      </c>
      <c r="AG168" s="39" t="s">
        <v>210</v>
      </c>
      <c r="AH168" s="40"/>
      <c r="AI168" s="51">
        <f t="shared" si="16"/>
        <v>0</v>
      </c>
      <c r="AJ168" s="38" t="str">
        <f t="shared" si="17"/>
        <v>Pendiente</v>
      </c>
    </row>
    <row r="169" spans="1:36" s="31" customFormat="1" ht="63" customHeight="1" x14ac:dyDescent="0.2">
      <c r="A169" s="32">
        <v>165</v>
      </c>
      <c r="B169" s="33" t="s">
        <v>79</v>
      </c>
      <c r="C169" s="32" t="s">
        <v>43</v>
      </c>
      <c r="D169" s="32" t="s">
        <v>44</v>
      </c>
      <c r="E169" s="32" t="s">
        <v>45</v>
      </c>
      <c r="F169" s="32">
        <v>1482</v>
      </c>
      <c r="G169" s="33" t="s">
        <v>46</v>
      </c>
      <c r="H169" s="32" t="s">
        <v>47</v>
      </c>
      <c r="I169" s="32"/>
      <c r="J169" s="34">
        <v>45701</v>
      </c>
      <c r="K169" s="34">
        <v>45701</v>
      </c>
      <c r="L169" s="32" t="s">
        <v>48</v>
      </c>
      <c r="M169" s="48">
        <v>144666</v>
      </c>
      <c r="N169" s="48">
        <v>66.930000000000007</v>
      </c>
      <c r="O169" s="48">
        <v>-20.86</v>
      </c>
      <c r="P169" s="48">
        <v>-5.63</v>
      </c>
      <c r="Q169" s="48">
        <v>-39.83</v>
      </c>
      <c r="R169" s="48">
        <v>-29.26</v>
      </c>
      <c r="S169" s="48"/>
      <c r="T169" s="48">
        <f t="shared" si="12"/>
        <v>-28.649999999999995</v>
      </c>
      <c r="U169" s="48">
        <f t="shared" si="13"/>
        <v>0.61000000000000654</v>
      </c>
      <c r="V169" s="49">
        <f>+Tabla_Auditorias[[#This Row],[AJUSTE
EGRESO
COSTO]]+Tabla_Auditorias[[#This Row],[AJUSTE EGRESO
MAL ESTADO]]+Tabla_Auditorias[[#This Row],[AJUSTE
INGRESO
COSTO]]</f>
        <v>-15.114199999999983</v>
      </c>
      <c r="W169" s="48">
        <v>-214.18969999999999</v>
      </c>
      <c r="X169" s="48"/>
      <c r="Y169" s="48"/>
      <c r="Z169" s="48">
        <v>199.07550000000001</v>
      </c>
      <c r="AA169" s="50">
        <f>+SUM(Tabla_Auditorias[[#This Row],[AJUSTE
EGRESO
COSTO]:[AJUSTE
INGRESO
COSTO]])</f>
        <v>-15.114199999999983</v>
      </c>
      <c r="AB169" s="36" t="str">
        <f t="shared" si="14"/>
        <v>MEDIO</v>
      </c>
      <c r="AC169" s="37">
        <f t="shared" si="15"/>
        <v>25</v>
      </c>
      <c r="AD169" s="35">
        <v>0</v>
      </c>
      <c r="AE169" s="41" t="s">
        <v>49</v>
      </c>
      <c r="AF169" s="38" t="str">
        <f>IF(Tabla_Auditorias[[#This Row],[TOTAL
COSTO
NETO]]&lt;&gt;0,"Si","No")</f>
        <v>Si</v>
      </c>
      <c r="AG169" s="39" t="s">
        <v>211</v>
      </c>
      <c r="AH169" s="40"/>
      <c r="AI169" s="51">
        <f t="shared" si="16"/>
        <v>0</v>
      </c>
      <c r="AJ169" s="38" t="str">
        <f t="shared" si="17"/>
        <v>Pendiente</v>
      </c>
    </row>
    <row r="170" spans="1:36" s="31" customFormat="1" ht="25.5" customHeight="1" x14ac:dyDescent="0.2">
      <c r="A170" s="32">
        <v>166</v>
      </c>
      <c r="B170" s="33" t="s">
        <v>159</v>
      </c>
      <c r="C170" s="32" t="s">
        <v>51</v>
      </c>
      <c r="D170" s="32" t="s">
        <v>57</v>
      </c>
      <c r="E170" s="32" t="s">
        <v>53</v>
      </c>
      <c r="F170" s="32">
        <v>1743</v>
      </c>
      <c r="G170" s="33" t="s">
        <v>54</v>
      </c>
      <c r="H170" s="32" t="s">
        <v>47</v>
      </c>
      <c r="I170" s="32"/>
      <c r="J170" s="34">
        <v>45701</v>
      </c>
      <c r="K170" s="34">
        <v>45701</v>
      </c>
      <c r="L170" s="32" t="s">
        <v>48</v>
      </c>
      <c r="M170" s="48">
        <v>103683.44</v>
      </c>
      <c r="N170" s="48">
        <v>0</v>
      </c>
      <c r="O170" s="48">
        <v>0</v>
      </c>
      <c r="P170" s="48">
        <v>-13.06</v>
      </c>
      <c r="Q170" s="48">
        <v>0</v>
      </c>
      <c r="R170" s="48">
        <v>0</v>
      </c>
      <c r="S170" s="48"/>
      <c r="T170" s="48">
        <f t="shared" si="12"/>
        <v>-13.06</v>
      </c>
      <c r="U170" s="48">
        <f t="shared" si="13"/>
        <v>-13.06</v>
      </c>
      <c r="V170" s="49">
        <f>+Tabla_Auditorias[[#This Row],[AJUSTE
EGRESO
COSTO]]+Tabla_Auditorias[[#This Row],[AJUSTE EGRESO
MAL ESTADO]]+Tabla_Auditorias[[#This Row],[AJUSTE
INGRESO
COSTO]]</f>
        <v>-8.8100000000000023</v>
      </c>
      <c r="W170" s="48">
        <v>-121.59</v>
      </c>
      <c r="X170" s="48"/>
      <c r="Y170" s="48"/>
      <c r="Z170" s="48">
        <v>112.78</v>
      </c>
      <c r="AA170" s="50">
        <f>+SUM(Tabla_Auditorias[[#This Row],[AJUSTE
EGRESO
COSTO]:[AJUSTE
INGRESO
COSTO]])</f>
        <v>-8.8100000000000023</v>
      </c>
      <c r="AB170" s="36" t="str">
        <f t="shared" si="14"/>
        <v>BAJO</v>
      </c>
      <c r="AC170" s="37">
        <f t="shared" si="15"/>
        <v>10</v>
      </c>
      <c r="AD170" s="35">
        <v>0</v>
      </c>
      <c r="AE170" s="41" t="s">
        <v>49</v>
      </c>
      <c r="AF170" s="38" t="str">
        <f>IF(Tabla_Auditorias[[#This Row],[TOTAL
COSTO
NETO]]&lt;&gt;0,"Si","No")</f>
        <v>Si</v>
      </c>
      <c r="AG170" s="39" t="s">
        <v>212</v>
      </c>
      <c r="AH170" s="40"/>
      <c r="AI170" s="51">
        <f t="shared" si="16"/>
        <v>0</v>
      </c>
      <c r="AJ170" s="38" t="str">
        <f t="shared" si="17"/>
        <v>Pendiente</v>
      </c>
    </row>
    <row r="171" spans="1:36" s="31" customFormat="1" ht="52.5" customHeight="1" x14ac:dyDescent="0.2">
      <c r="A171" s="32">
        <v>167</v>
      </c>
      <c r="B171" s="33" t="s">
        <v>96</v>
      </c>
      <c r="C171" s="32" t="s">
        <v>51</v>
      </c>
      <c r="D171" s="32" t="s">
        <v>57</v>
      </c>
      <c r="E171" s="32" t="s">
        <v>45</v>
      </c>
      <c r="F171" s="32">
        <v>1711</v>
      </c>
      <c r="G171" s="33" t="s">
        <v>46</v>
      </c>
      <c r="H171" s="32" t="s">
        <v>47</v>
      </c>
      <c r="I171" s="32"/>
      <c r="J171" s="34">
        <v>45702</v>
      </c>
      <c r="K171" s="34">
        <v>45702</v>
      </c>
      <c r="L171" s="32" t="s">
        <v>48</v>
      </c>
      <c r="M171" s="48">
        <v>52739.81</v>
      </c>
      <c r="N171" s="48">
        <v>46.92</v>
      </c>
      <c r="O171" s="48">
        <v>-45.55</v>
      </c>
      <c r="P171" s="48">
        <v>0.53</v>
      </c>
      <c r="Q171" s="48">
        <v>0</v>
      </c>
      <c r="R171" s="48">
        <v>0</v>
      </c>
      <c r="S171" s="48"/>
      <c r="T171" s="48">
        <f t="shared" si="12"/>
        <v>1.9000000000000046</v>
      </c>
      <c r="U171" s="48">
        <f t="shared" si="13"/>
        <v>1.9000000000000046</v>
      </c>
      <c r="V171" s="49">
        <f>+Tabla_Auditorias[[#This Row],[AJUSTE
EGRESO
COSTO]]+Tabla_Auditorias[[#This Row],[AJUSTE EGRESO
MAL ESTADO]]+Tabla_Auditorias[[#This Row],[AJUSTE
INGRESO
COSTO]]</f>
        <v>-7.5631999999999948</v>
      </c>
      <c r="W171" s="48">
        <v>-57.510399999999997</v>
      </c>
      <c r="X171" s="48"/>
      <c r="Y171" s="48"/>
      <c r="Z171" s="48">
        <v>49.947200000000002</v>
      </c>
      <c r="AA171" s="50">
        <f>+SUM(Tabla_Auditorias[[#This Row],[AJUSTE
EGRESO
COSTO]:[AJUSTE
INGRESO
COSTO]])</f>
        <v>-7.5631999999999948</v>
      </c>
      <c r="AB171" s="36" t="str">
        <f t="shared" si="14"/>
        <v>MEDIO</v>
      </c>
      <c r="AC171" s="37">
        <f t="shared" si="15"/>
        <v>20</v>
      </c>
      <c r="AD171" s="35">
        <v>0</v>
      </c>
      <c r="AE171" s="41" t="s">
        <v>49</v>
      </c>
      <c r="AF171" s="38" t="str">
        <f>IF(Tabla_Auditorias[[#This Row],[TOTAL
COSTO
NETO]]&lt;&gt;0,"Si","No")</f>
        <v>Si</v>
      </c>
      <c r="AG171" s="39" t="s">
        <v>213</v>
      </c>
      <c r="AH171" s="40"/>
      <c r="AI171" s="51">
        <f t="shared" si="16"/>
        <v>0</v>
      </c>
      <c r="AJ171" s="38" t="str">
        <f t="shared" si="17"/>
        <v>Pendiente</v>
      </c>
    </row>
    <row r="172" spans="1:36" s="31" customFormat="1" ht="25.5" customHeight="1" x14ac:dyDescent="0.2">
      <c r="A172" s="32">
        <v>168</v>
      </c>
      <c r="B172" s="33" t="s">
        <v>152</v>
      </c>
      <c r="C172" s="32" t="s">
        <v>153</v>
      </c>
      <c r="D172" s="32" t="s">
        <v>89</v>
      </c>
      <c r="E172" s="32" t="s">
        <v>45</v>
      </c>
      <c r="F172" s="32">
        <v>3041</v>
      </c>
      <c r="G172" s="33" t="s">
        <v>46</v>
      </c>
      <c r="H172" s="32" t="s">
        <v>47</v>
      </c>
      <c r="I172" s="32"/>
      <c r="J172" s="34">
        <v>45702</v>
      </c>
      <c r="K172" s="34">
        <v>45702</v>
      </c>
      <c r="L172" s="32" t="s">
        <v>48</v>
      </c>
      <c r="M172" s="48">
        <v>11215.1</v>
      </c>
      <c r="N172" s="48">
        <v>0</v>
      </c>
      <c r="O172" s="48">
        <v>0</v>
      </c>
      <c r="P172" s="48">
        <v>0</v>
      </c>
      <c r="Q172" s="48">
        <v>0</v>
      </c>
      <c r="R172" s="48">
        <v>0</v>
      </c>
      <c r="S172" s="48"/>
      <c r="T172" s="48">
        <f t="shared" si="12"/>
        <v>0</v>
      </c>
      <c r="U172" s="48">
        <f t="shared" si="13"/>
        <v>0</v>
      </c>
      <c r="V172" s="49">
        <f>+Tabla_Auditorias[[#This Row],[AJUSTE
EGRESO
COSTO]]+Tabla_Auditorias[[#This Row],[AJUSTE EGRESO
MAL ESTADO]]+Tabla_Auditorias[[#This Row],[AJUSTE
INGRESO
COSTO]]</f>
        <v>0</v>
      </c>
      <c r="W172" s="48">
        <v>0</v>
      </c>
      <c r="X172" s="48"/>
      <c r="Y172" s="48"/>
      <c r="Z172" s="48">
        <v>0</v>
      </c>
      <c r="AA172" s="50">
        <f>+SUM(Tabla_Auditorias[[#This Row],[AJUSTE
EGRESO
COSTO]:[AJUSTE
INGRESO
COSTO]])</f>
        <v>0</v>
      </c>
      <c r="AB172" s="36" t="str">
        <f t="shared" si="14"/>
        <v>BAJO</v>
      </c>
      <c r="AC172" s="37">
        <f t="shared" si="15"/>
        <v>0</v>
      </c>
      <c r="AD172" s="35">
        <v>0</v>
      </c>
      <c r="AE172" s="41" t="s">
        <v>49</v>
      </c>
      <c r="AF172" s="38" t="str">
        <f>IF(Tabla_Auditorias[[#This Row],[TOTAL
COSTO
NETO]]&lt;&gt;0,"Si","No")</f>
        <v>No</v>
      </c>
      <c r="AG172" s="39" t="s">
        <v>214</v>
      </c>
      <c r="AH172" s="40"/>
      <c r="AI172" s="51" t="str">
        <f t="shared" si="16"/>
        <v/>
      </c>
      <c r="AJ172" s="38" t="str">
        <f t="shared" si="17"/>
        <v>Pendiente</v>
      </c>
    </row>
    <row r="173" spans="1:36" s="31" customFormat="1" ht="25.5" customHeight="1" x14ac:dyDescent="0.2">
      <c r="A173" s="32">
        <v>169</v>
      </c>
      <c r="B173" s="33" t="s">
        <v>99</v>
      </c>
      <c r="C173" s="32" t="s">
        <v>43</v>
      </c>
      <c r="D173" s="32" t="s">
        <v>44</v>
      </c>
      <c r="E173" s="32" t="s">
        <v>58</v>
      </c>
      <c r="F173" s="32">
        <v>1490</v>
      </c>
      <c r="G173" s="33" t="s">
        <v>59</v>
      </c>
      <c r="H173" s="32" t="s">
        <v>47</v>
      </c>
      <c r="I173" s="32"/>
      <c r="J173" s="34">
        <v>45705</v>
      </c>
      <c r="K173" s="34">
        <v>45705</v>
      </c>
      <c r="L173" s="32" t="s">
        <v>48</v>
      </c>
      <c r="M173" s="48">
        <v>187715.04440000001</v>
      </c>
      <c r="N173" s="48">
        <v>211.18</v>
      </c>
      <c r="O173" s="48">
        <v>-553.76300000000003</v>
      </c>
      <c r="P173" s="48">
        <v>-94.81</v>
      </c>
      <c r="Q173" s="48">
        <v>0</v>
      </c>
      <c r="R173" s="48">
        <v>0</v>
      </c>
      <c r="S173" s="48"/>
      <c r="T173" s="48">
        <f t="shared" si="12"/>
        <v>-437.39300000000003</v>
      </c>
      <c r="U173" s="48">
        <f t="shared" si="13"/>
        <v>-437.39300000000003</v>
      </c>
      <c r="V173" s="49">
        <f>+Tabla_Auditorias[[#This Row],[AJUSTE
EGRESO
COSTO]]+Tabla_Auditorias[[#This Row],[AJUSTE EGRESO
MAL ESTADO]]+Tabla_Auditorias[[#This Row],[AJUSTE
INGRESO
COSTO]]</f>
        <v>-554.85806666667008</v>
      </c>
      <c r="W173" s="48">
        <v>-2274.6396666666701</v>
      </c>
      <c r="X173" s="48"/>
      <c r="Y173" s="48"/>
      <c r="Z173" s="48">
        <v>1719.7816</v>
      </c>
      <c r="AA173" s="50">
        <f>+SUM(Tabla_Auditorias[[#This Row],[AJUSTE
EGRESO
COSTO]:[AJUSTE
INGRESO
COSTO]])</f>
        <v>-554.85806666667008</v>
      </c>
      <c r="AB173" s="36" t="str">
        <f t="shared" si="14"/>
        <v>MEDIO</v>
      </c>
      <c r="AC173" s="37">
        <f t="shared" si="15"/>
        <v>25</v>
      </c>
      <c r="AD173" s="35">
        <v>0</v>
      </c>
      <c r="AE173" s="41" t="s">
        <v>49</v>
      </c>
      <c r="AF173" s="38" t="str">
        <f>IF(Tabla_Auditorias[[#This Row],[TOTAL
COSTO
NETO]]&lt;&gt;0,"Si","No")</f>
        <v>Si</v>
      </c>
      <c r="AG173" s="39" t="s">
        <v>215</v>
      </c>
      <c r="AH173" s="40"/>
      <c r="AI173" s="51">
        <f t="shared" si="16"/>
        <v>0</v>
      </c>
      <c r="AJ173" s="38" t="str">
        <f t="shared" si="17"/>
        <v>Pendiente</v>
      </c>
    </row>
    <row r="174" spans="1:36" s="31" customFormat="1" ht="25.5" customHeight="1" x14ac:dyDescent="0.2">
      <c r="A174" s="32">
        <v>170</v>
      </c>
      <c r="B174" s="33" t="s">
        <v>77</v>
      </c>
      <c r="C174" s="32" t="s">
        <v>43</v>
      </c>
      <c r="D174" s="32" t="s">
        <v>44</v>
      </c>
      <c r="E174" s="32" t="s">
        <v>58</v>
      </c>
      <c r="F174" s="32">
        <v>1479</v>
      </c>
      <c r="G174" s="33" t="s">
        <v>59</v>
      </c>
      <c r="H174" s="32" t="s">
        <v>47</v>
      </c>
      <c r="I174" s="32"/>
      <c r="J174" s="34">
        <v>45708</v>
      </c>
      <c r="K174" s="34">
        <v>45708</v>
      </c>
      <c r="L174" s="32" t="s">
        <v>48</v>
      </c>
      <c r="M174" s="48">
        <v>274259.68550000002</v>
      </c>
      <c r="N174" s="48">
        <v>436.95150000000001</v>
      </c>
      <c r="O174" s="48">
        <v>-1889.7238</v>
      </c>
      <c r="P174" s="48">
        <v>-111.47110000000001</v>
      </c>
      <c r="Q174" s="48">
        <v>-7.53</v>
      </c>
      <c r="R174" s="48">
        <v>0</v>
      </c>
      <c r="S174" s="48"/>
      <c r="T174" s="48">
        <f t="shared" si="12"/>
        <v>-1571.7734</v>
      </c>
      <c r="U174" s="48">
        <f t="shared" si="13"/>
        <v>-1571.7734</v>
      </c>
      <c r="V174" s="49">
        <f>+Tabla_Auditorias[[#This Row],[AJUSTE
EGRESO
COSTO]]+Tabla_Auditorias[[#This Row],[AJUSTE EGRESO
MAL ESTADO]]+Tabla_Auditorias[[#This Row],[AJUSTE
INGRESO
COSTO]]</f>
        <v>-986.64232741227988</v>
      </c>
      <c r="W174" s="48">
        <v>-4124.3558274122797</v>
      </c>
      <c r="X174" s="48"/>
      <c r="Y174" s="48"/>
      <c r="Z174" s="48">
        <v>3137.7134999999998</v>
      </c>
      <c r="AA174" s="50">
        <f>+SUM(Tabla_Auditorias[[#This Row],[AJUSTE
EGRESO
COSTO]:[AJUSTE
INGRESO
COSTO]])</f>
        <v>-986.64232741227988</v>
      </c>
      <c r="AB174" s="36" t="str">
        <f t="shared" si="14"/>
        <v>ALTO</v>
      </c>
      <c r="AC174" s="37">
        <f t="shared" si="15"/>
        <v>37</v>
      </c>
      <c r="AD174" s="35">
        <v>0</v>
      </c>
      <c r="AE174" s="41" t="s">
        <v>49</v>
      </c>
      <c r="AF174" s="38" t="str">
        <f>IF(Tabla_Auditorias[[#This Row],[TOTAL
COSTO
NETO]]&lt;&gt;0,"Si","No")</f>
        <v>Si</v>
      </c>
      <c r="AG174" s="39" t="s">
        <v>216</v>
      </c>
      <c r="AH174" s="40"/>
      <c r="AI174" s="51">
        <f t="shared" si="16"/>
        <v>0</v>
      </c>
      <c r="AJ174" s="38" t="str">
        <f t="shared" si="17"/>
        <v>Pendiente</v>
      </c>
    </row>
    <row r="175" spans="1:36" s="31" customFormat="1" ht="63" customHeight="1" x14ac:dyDescent="0.2">
      <c r="A175" s="32">
        <v>171</v>
      </c>
      <c r="B175" s="33" t="s">
        <v>134</v>
      </c>
      <c r="C175" s="32" t="s">
        <v>43</v>
      </c>
      <c r="D175" s="32" t="s">
        <v>44</v>
      </c>
      <c r="E175" s="32" t="s">
        <v>45</v>
      </c>
      <c r="F175" s="32">
        <v>1480</v>
      </c>
      <c r="G175" s="33" t="s">
        <v>46</v>
      </c>
      <c r="H175" s="32" t="s">
        <v>47</v>
      </c>
      <c r="I175" s="32"/>
      <c r="J175" s="34">
        <v>45709</v>
      </c>
      <c r="K175" s="34">
        <v>45709</v>
      </c>
      <c r="L175" s="32" t="s">
        <v>48</v>
      </c>
      <c r="M175" s="48">
        <v>436441.53</v>
      </c>
      <c r="N175" s="48">
        <v>1100.3499999999999</v>
      </c>
      <c r="O175" s="48">
        <v>-1056.23</v>
      </c>
      <c r="P175" s="48">
        <v>17.559999999999999</v>
      </c>
      <c r="Q175" s="48">
        <v>-293.94</v>
      </c>
      <c r="R175" s="48">
        <v>0</v>
      </c>
      <c r="S175" s="48"/>
      <c r="T175" s="48">
        <f t="shared" si="12"/>
        <v>-232.2600000000001</v>
      </c>
      <c r="U175" s="48">
        <f t="shared" si="13"/>
        <v>-232.2600000000001</v>
      </c>
      <c r="V175" s="49">
        <f>+Tabla_Auditorias[[#This Row],[AJUSTE
EGRESO
COSTO]]+Tabla_Auditorias[[#This Row],[AJUSTE EGRESO
MAL ESTADO]]+Tabla_Auditorias[[#This Row],[AJUSTE
INGRESO
COSTO]]</f>
        <v>-159.31529999999998</v>
      </c>
      <c r="W175" s="48">
        <v>-1703.5109</v>
      </c>
      <c r="X175" s="48"/>
      <c r="Y175" s="48"/>
      <c r="Z175" s="48">
        <v>1544.1956</v>
      </c>
      <c r="AA175" s="50">
        <f>+SUM(Tabla_Auditorias[[#This Row],[AJUSTE
EGRESO
COSTO]:[AJUSTE
INGRESO
COSTO]])</f>
        <v>-159.31529999999998</v>
      </c>
      <c r="AB175" s="36" t="str">
        <f t="shared" si="14"/>
        <v>MEDIO</v>
      </c>
      <c r="AC175" s="37">
        <f t="shared" si="15"/>
        <v>30</v>
      </c>
      <c r="AD175" s="35">
        <v>0</v>
      </c>
      <c r="AE175" s="41" t="s">
        <v>49</v>
      </c>
      <c r="AF175" s="38" t="str">
        <f>IF(Tabla_Auditorias[[#This Row],[TOTAL
COSTO
NETO]]&lt;&gt;0,"Si","No")</f>
        <v>Si</v>
      </c>
      <c r="AG175" s="39" t="s">
        <v>217</v>
      </c>
      <c r="AH175" s="40"/>
      <c r="AI175" s="51">
        <f t="shared" si="16"/>
        <v>0</v>
      </c>
      <c r="AJ175" s="38" t="str">
        <f t="shared" si="17"/>
        <v>Pendiente</v>
      </c>
    </row>
    <row r="176" spans="1:36" s="31" customFormat="1" ht="25.5" customHeight="1" x14ac:dyDescent="0.2">
      <c r="A176" s="32">
        <v>172</v>
      </c>
      <c r="B176" s="33" t="s">
        <v>61</v>
      </c>
      <c r="C176" s="32" t="s">
        <v>43</v>
      </c>
      <c r="D176" s="32" t="s">
        <v>44</v>
      </c>
      <c r="E176" s="32" t="s">
        <v>53</v>
      </c>
      <c r="F176" s="32">
        <v>1513</v>
      </c>
      <c r="G176" s="33" t="s">
        <v>54</v>
      </c>
      <c r="H176" s="32" t="s">
        <v>47</v>
      </c>
      <c r="I176" s="32"/>
      <c r="J176" s="34">
        <v>45709</v>
      </c>
      <c r="K176" s="34">
        <v>45709</v>
      </c>
      <c r="L176" s="32" t="s">
        <v>48</v>
      </c>
      <c r="M176" s="48">
        <v>197310.14</v>
      </c>
      <c r="N176" s="48">
        <v>32.58</v>
      </c>
      <c r="O176" s="48">
        <v>-64.39</v>
      </c>
      <c r="P176" s="48">
        <v>0</v>
      </c>
      <c r="Q176" s="48">
        <v>0</v>
      </c>
      <c r="R176" s="48">
        <v>0</v>
      </c>
      <c r="S176" s="48"/>
      <c r="T176" s="48">
        <f t="shared" si="12"/>
        <v>-31.810000000000002</v>
      </c>
      <c r="U176" s="48">
        <f t="shared" si="13"/>
        <v>-31.810000000000002</v>
      </c>
      <c r="V176" s="49">
        <f>+Tabla_Auditorias[[#This Row],[AJUSTE
EGRESO
COSTO]]+Tabla_Auditorias[[#This Row],[AJUSTE EGRESO
MAL ESTADO]]+Tabla_Auditorias[[#This Row],[AJUSTE
INGRESO
COSTO]]</f>
        <v>-21.019999999999996</v>
      </c>
      <c r="W176" s="48">
        <v>-39.19</v>
      </c>
      <c r="X176" s="48"/>
      <c r="Y176" s="48"/>
      <c r="Z176" s="48">
        <v>18.170000000000002</v>
      </c>
      <c r="AA176" s="50">
        <f>+SUM(Tabla_Auditorias[[#This Row],[AJUSTE
EGRESO
COSTO]:[AJUSTE
INGRESO
COSTO]])</f>
        <v>-21.019999999999996</v>
      </c>
      <c r="AB176" s="36" t="str">
        <f t="shared" si="14"/>
        <v>MEDIO</v>
      </c>
      <c r="AC176" s="37">
        <f t="shared" si="15"/>
        <v>20</v>
      </c>
      <c r="AD176" s="35">
        <v>0</v>
      </c>
      <c r="AE176" s="41" t="s">
        <v>49</v>
      </c>
      <c r="AF176" s="38" t="str">
        <f>IF(Tabla_Auditorias[[#This Row],[TOTAL
COSTO
NETO]]&lt;&gt;0,"Si","No")</f>
        <v>Si</v>
      </c>
      <c r="AG176" s="39" t="s">
        <v>218</v>
      </c>
      <c r="AH176" s="40"/>
      <c r="AI176" s="51">
        <f t="shared" si="16"/>
        <v>0</v>
      </c>
      <c r="AJ176" s="38" t="str">
        <f t="shared" si="17"/>
        <v>Pendiente</v>
      </c>
    </row>
    <row r="177" spans="1:36" s="31" customFormat="1" ht="25.5" customHeight="1" x14ac:dyDescent="0.2">
      <c r="A177" s="32">
        <v>173</v>
      </c>
      <c r="B177" s="33" t="s">
        <v>91</v>
      </c>
      <c r="C177" s="32" t="s">
        <v>43</v>
      </c>
      <c r="D177" s="32" t="s">
        <v>44</v>
      </c>
      <c r="E177" s="32" t="s">
        <v>53</v>
      </c>
      <c r="F177" s="32">
        <v>1518</v>
      </c>
      <c r="G177" s="33" t="s">
        <v>54</v>
      </c>
      <c r="H177" s="32" t="s">
        <v>47</v>
      </c>
      <c r="I177" s="32"/>
      <c r="J177" s="34">
        <v>45712</v>
      </c>
      <c r="K177" s="34">
        <v>45712</v>
      </c>
      <c r="L177" s="32" t="s">
        <v>48</v>
      </c>
      <c r="M177" s="48">
        <v>150079.31</v>
      </c>
      <c r="N177" s="48">
        <v>0</v>
      </c>
      <c r="O177" s="48">
        <v>0</v>
      </c>
      <c r="P177" s="48">
        <v>0</v>
      </c>
      <c r="Q177" s="48">
        <v>-899.19</v>
      </c>
      <c r="R177" s="48">
        <v>-44.54</v>
      </c>
      <c r="S177" s="48"/>
      <c r="T177" s="48">
        <f t="shared" si="12"/>
        <v>-943.73</v>
      </c>
      <c r="U177" s="48">
        <f t="shared" si="13"/>
        <v>-899.19</v>
      </c>
      <c r="V177" s="49">
        <f>+Tabla_Auditorias[[#This Row],[AJUSTE
EGRESO
COSTO]]+Tabla_Auditorias[[#This Row],[AJUSTE EGRESO
MAL ESTADO]]+Tabla_Auditorias[[#This Row],[AJUSTE
INGRESO
COSTO]]</f>
        <v>-466.16</v>
      </c>
      <c r="W177" s="48">
        <v>-466.16</v>
      </c>
      <c r="X177" s="48"/>
      <c r="Y177" s="48"/>
      <c r="Z177" s="48">
        <v>0</v>
      </c>
      <c r="AA177" s="50">
        <f>+SUM(Tabla_Auditorias[[#This Row],[AJUSTE
EGRESO
COSTO]:[AJUSTE
INGRESO
COSTO]])</f>
        <v>-466.16</v>
      </c>
      <c r="AB177" s="36" t="str">
        <f t="shared" si="14"/>
        <v>MEDIO</v>
      </c>
      <c r="AC177" s="37">
        <f t="shared" si="15"/>
        <v>27</v>
      </c>
      <c r="AD177" s="35">
        <v>0</v>
      </c>
      <c r="AE177" s="41" t="s">
        <v>49</v>
      </c>
      <c r="AF177" s="38" t="str">
        <f>IF(Tabla_Auditorias[[#This Row],[TOTAL
COSTO
NETO]]&lt;&gt;0,"Si","No")</f>
        <v>Si</v>
      </c>
      <c r="AG177" s="39" t="s">
        <v>219</v>
      </c>
      <c r="AH177" s="40"/>
      <c r="AI177" s="51">
        <f t="shared" si="16"/>
        <v>0</v>
      </c>
      <c r="AJ177" s="38" t="str">
        <f t="shared" si="17"/>
        <v>Pendiente</v>
      </c>
    </row>
    <row r="178" spans="1:36" s="31" customFormat="1" ht="25.5" customHeight="1" x14ac:dyDescent="0.2">
      <c r="A178" s="32">
        <v>174</v>
      </c>
      <c r="B178" s="33" t="s">
        <v>220</v>
      </c>
      <c r="C178" s="32" t="s">
        <v>51</v>
      </c>
      <c r="D178" s="32" t="s">
        <v>52</v>
      </c>
      <c r="E178" s="32" t="s">
        <v>45</v>
      </c>
      <c r="F178" s="32">
        <v>1744</v>
      </c>
      <c r="G178" s="33" t="s">
        <v>46</v>
      </c>
      <c r="H178" s="32" t="s">
        <v>47</v>
      </c>
      <c r="I178" s="32"/>
      <c r="J178" s="34">
        <v>45722</v>
      </c>
      <c r="K178" s="34">
        <v>45722</v>
      </c>
      <c r="L178" s="32" t="s">
        <v>48</v>
      </c>
      <c r="M178" s="48">
        <v>8687.4269999999997</v>
      </c>
      <c r="N178" s="48">
        <v>0</v>
      </c>
      <c r="O178" s="48">
        <v>0</v>
      </c>
      <c r="P178" s="48">
        <v>0</v>
      </c>
      <c r="Q178" s="48">
        <v>0</v>
      </c>
      <c r="R178" s="48">
        <v>0</v>
      </c>
      <c r="S178" s="48"/>
      <c r="T178" s="48">
        <f t="shared" si="12"/>
        <v>0</v>
      </c>
      <c r="U178" s="48">
        <f t="shared" si="13"/>
        <v>0</v>
      </c>
      <c r="V178" s="49">
        <f>+Tabla_Auditorias[[#This Row],[AJUSTE
EGRESO
COSTO]]+Tabla_Auditorias[[#This Row],[AJUSTE EGRESO
MAL ESTADO]]+Tabla_Auditorias[[#This Row],[AJUSTE
INGRESO
COSTO]]</f>
        <v>0</v>
      </c>
      <c r="W178" s="48">
        <v>0</v>
      </c>
      <c r="X178" s="48"/>
      <c r="Y178" s="48"/>
      <c r="Z178" s="48">
        <v>0</v>
      </c>
      <c r="AA178" s="50">
        <f>+SUM(Tabla_Auditorias[[#This Row],[AJUSTE
EGRESO
COSTO]:[AJUSTE
INGRESO
COSTO]])</f>
        <v>0</v>
      </c>
      <c r="AB178" s="36" t="str">
        <f t="shared" si="14"/>
        <v>BAJO</v>
      </c>
      <c r="AC178" s="37">
        <f t="shared" si="15"/>
        <v>0</v>
      </c>
      <c r="AD178" s="35">
        <v>0</v>
      </c>
      <c r="AE178" s="41" t="s">
        <v>49</v>
      </c>
      <c r="AF178" s="38" t="str">
        <f>IF(Tabla_Auditorias[[#This Row],[TOTAL
COSTO
NETO]]&lt;&gt;0,"Si","No")</f>
        <v>No</v>
      </c>
      <c r="AG178" s="39" t="s">
        <v>221</v>
      </c>
      <c r="AH178" s="40"/>
      <c r="AI178" s="51" t="str">
        <f t="shared" si="16"/>
        <v/>
      </c>
      <c r="AJ178" s="38" t="str">
        <f t="shared" si="17"/>
        <v>Pendiente</v>
      </c>
    </row>
    <row r="179" spans="1:36" s="31" customFormat="1" ht="25.5" customHeight="1" x14ac:dyDescent="0.2">
      <c r="A179" s="32">
        <v>175</v>
      </c>
      <c r="B179" s="33" t="s">
        <v>222</v>
      </c>
      <c r="C179" s="32" t="s">
        <v>43</v>
      </c>
      <c r="D179" s="32" t="s">
        <v>44</v>
      </c>
      <c r="E179" s="32" t="s">
        <v>58</v>
      </c>
      <c r="F179" s="32">
        <v>1501</v>
      </c>
      <c r="G179" s="33" t="s">
        <v>59</v>
      </c>
      <c r="H179" s="32" t="s">
        <v>47</v>
      </c>
      <c r="I179" s="32"/>
      <c r="J179" s="34">
        <v>45722</v>
      </c>
      <c r="K179" s="34">
        <v>45722</v>
      </c>
      <c r="L179" s="32" t="s">
        <v>48</v>
      </c>
      <c r="M179" s="48">
        <v>240894.29</v>
      </c>
      <c r="N179" s="48">
        <v>132</v>
      </c>
      <c r="O179" s="48">
        <v>-249.78</v>
      </c>
      <c r="P179" s="48">
        <v>-3.34</v>
      </c>
      <c r="Q179" s="48">
        <v>-33.26</v>
      </c>
      <c r="R179" s="48">
        <v>-234.4</v>
      </c>
      <c r="S179" s="48"/>
      <c r="T179" s="48">
        <f t="shared" si="12"/>
        <v>-388.78</v>
      </c>
      <c r="U179" s="48">
        <f t="shared" si="13"/>
        <v>-154.38</v>
      </c>
      <c r="V179" s="49">
        <f>+Tabla_Auditorias[[#This Row],[AJUSTE
EGRESO
COSTO]]+Tabla_Auditorias[[#This Row],[AJUSTE EGRESO
MAL ESTADO]]+Tabla_Auditorias[[#This Row],[AJUSTE
INGRESO
COSTO]]</f>
        <v>-190.53999999999996</v>
      </c>
      <c r="W179" s="48">
        <v>-761.23</v>
      </c>
      <c r="X179" s="48"/>
      <c r="Y179" s="48"/>
      <c r="Z179" s="48">
        <v>570.69000000000005</v>
      </c>
      <c r="AA179" s="50">
        <f>+SUM(Tabla_Auditorias[[#This Row],[AJUSTE
EGRESO
COSTO]:[AJUSTE
INGRESO
COSTO]])</f>
        <v>-190.53999999999996</v>
      </c>
      <c r="AB179" s="36" t="str">
        <f t="shared" si="14"/>
        <v>MEDIO</v>
      </c>
      <c r="AC179" s="37">
        <f t="shared" si="15"/>
        <v>25</v>
      </c>
      <c r="AD179" s="35">
        <v>0</v>
      </c>
      <c r="AE179" s="41" t="s">
        <v>49</v>
      </c>
      <c r="AF179" s="38" t="str">
        <f>IF(Tabla_Auditorias[[#This Row],[TOTAL
COSTO
NETO]]&lt;&gt;0,"Si","No")</f>
        <v>Si</v>
      </c>
      <c r="AG179" s="39" t="s">
        <v>223</v>
      </c>
      <c r="AH179" s="40"/>
      <c r="AI179" s="51">
        <f t="shared" si="16"/>
        <v>0</v>
      </c>
      <c r="AJ179" s="38" t="str">
        <f t="shared" si="17"/>
        <v>Pendiente</v>
      </c>
    </row>
    <row r="180" spans="1:36" s="31" customFormat="1" ht="25.5" customHeight="1" x14ac:dyDescent="0.2">
      <c r="A180" s="32">
        <v>176</v>
      </c>
      <c r="B180" s="33" t="s">
        <v>224</v>
      </c>
      <c r="C180" s="32" t="s">
        <v>153</v>
      </c>
      <c r="D180" s="32" t="s">
        <v>89</v>
      </c>
      <c r="E180" s="32" t="s">
        <v>58</v>
      </c>
      <c r="F180" s="32">
        <v>3042</v>
      </c>
      <c r="G180" s="33" t="s">
        <v>59</v>
      </c>
      <c r="H180" s="32" t="s">
        <v>47</v>
      </c>
      <c r="I180" s="32"/>
      <c r="J180" s="34">
        <v>45723</v>
      </c>
      <c r="K180" s="34">
        <v>45723</v>
      </c>
      <c r="L180" s="32" t="s">
        <v>48</v>
      </c>
      <c r="M180" s="48">
        <v>5318.2691999999997</v>
      </c>
      <c r="N180" s="48">
        <v>0</v>
      </c>
      <c r="O180" s="48">
        <v>-94.21</v>
      </c>
      <c r="P180" s="48">
        <v>-2.38</v>
      </c>
      <c r="Q180" s="48">
        <v>-157.19999999999999</v>
      </c>
      <c r="R180" s="48">
        <v>0</v>
      </c>
      <c r="S180" s="48"/>
      <c r="T180" s="48">
        <f t="shared" si="12"/>
        <v>-253.78999999999996</v>
      </c>
      <c r="U180" s="48">
        <f t="shared" si="13"/>
        <v>-253.78999999999996</v>
      </c>
      <c r="V180" s="49">
        <f>+Tabla_Auditorias[[#This Row],[AJUSTE
EGRESO
COSTO]]+Tabla_Auditorias[[#This Row],[AJUSTE EGRESO
MAL ESTADO]]+Tabla_Auditorias[[#This Row],[AJUSTE
INGRESO
COSTO]]</f>
        <v>-197.317557142857</v>
      </c>
      <c r="W180" s="48">
        <v>-202.70855714285699</v>
      </c>
      <c r="X180" s="48"/>
      <c r="Y180" s="48"/>
      <c r="Z180" s="48">
        <v>5.391</v>
      </c>
      <c r="AA180" s="50">
        <f>+SUM(Tabla_Auditorias[[#This Row],[AJUSTE
EGRESO
COSTO]:[AJUSTE
INGRESO
COSTO]])</f>
        <v>-197.317557142857</v>
      </c>
      <c r="AB180" s="36" t="str">
        <f t="shared" si="14"/>
        <v>ALTO</v>
      </c>
      <c r="AC180" s="37">
        <f t="shared" si="15"/>
        <v>45</v>
      </c>
      <c r="AD180" s="35">
        <v>0</v>
      </c>
      <c r="AE180" s="41" t="s">
        <v>49</v>
      </c>
      <c r="AF180" s="38" t="str">
        <f>IF(Tabla_Auditorias[[#This Row],[TOTAL
COSTO
NETO]]&lt;&gt;0,"Si","No")</f>
        <v>Si</v>
      </c>
      <c r="AG180" s="39" t="s">
        <v>225</v>
      </c>
      <c r="AH180" s="40"/>
      <c r="AI180" s="51">
        <f t="shared" si="16"/>
        <v>0</v>
      </c>
      <c r="AJ180" s="38" t="str">
        <f t="shared" si="17"/>
        <v>Pendiente</v>
      </c>
    </row>
    <row r="181" spans="1:36" s="31" customFormat="1" ht="31.5" customHeight="1" x14ac:dyDescent="0.2">
      <c r="A181" s="32">
        <v>177</v>
      </c>
      <c r="B181" s="33" t="s">
        <v>65</v>
      </c>
      <c r="C181" s="32" t="s">
        <v>51</v>
      </c>
      <c r="D181" s="32" t="s">
        <v>57</v>
      </c>
      <c r="E181" s="32" t="s">
        <v>58</v>
      </c>
      <c r="F181" s="32">
        <v>1707</v>
      </c>
      <c r="G181" s="33" t="s">
        <v>59</v>
      </c>
      <c r="H181" s="32" t="s">
        <v>47</v>
      </c>
      <c r="I181" s="32"/>
      <c r="J181" s="34">
        <v>45734</v>
      </c>
      <c r="K181" s="34">
        <v>45734</v>
      </c>
      <c r="L181" s="32" t="s">
        <v>48</v>
      </c>
      <c r="M181" s="48">
        <v>111072.49464</v>
      </c>
      <c r="N181" s="48">
        <v>18.185300000000002</v>
      </c>
      <c r="O181" s="48">
        <v>-345.74680000000001</v>
      </c>
      <c r="P181" s="48">
        <v>-33.543400000000098</v>
      </c>
      <c r="Q181" s="48">
        <v>-501.00150000000002</v>
      </c>
      <c r="R181" s="48">
        <v>-640.74019999999996</v>
      </c>
      <c r="S181" s="48"/>
      <c r="T181" s="48">
        <f t="shared" si="12"/>
        <v>-1502.8466000000001</v>
      </c>
      <c r="U181" s="48">
        <f t="shared" si="13"/>
        <v>-862.10640000000012</v>
      </c>
      <c r="V181" s="49">
        <f>+Tabla_Auditorias[[#This Row],[AJUSTE
EGRESO
COSTO]]+Tabla_Auditorias[[#This Row],[AJUSTE EGRESO
MAL ESTADO]]+Tabla_Auditorias[[#This Row],[AJUSTE
INGRESO
COSTO]]</f>
        <v>-499.0289119913441</v>
      </c>
      <c r="W181" s="48">
        <v>-1325.4895481818201</v>
      </c>
      <c r="X181" s="48"/>
      <c r="Y181" s="48"/>
      <c r="Z181" s="48">
        <v>826.46063619047595</v>
      </c>
      <c r="AA181" s="50">
        <f>+SUM(Tabla_Auditorias[[#This Row],[AJUSTE
EGRESO
COSTO]:[AJUSTE
INGRESO
COSTO]])</f>
        <v>-499.0289119913441</v>
      </c>
      <c r="AB181" s="36" t="str">
        <f t="shared" si="14"/>
        <v>ALTO</v>
      </c>
      <c r="AC181" s="37">
        <f t="shared" si="15"/>
        <v>37</v>
      </c>
      <c r="AD181" s="35">
        <v>0</v>
      </c>
      <c r="AE181" s="41" t="s">
        <v>49</v>
      </c>
      <c r="AF181" s="38" t="str">
        <f>IF(Tabla_Auditorias[[#This Row],[TOTAL
COSTO
NETO]]&lt;&gt;0,"Si","No")</f>
        <v>Si</v>
      </c>
      <c r="AG181" s="39" t="s">
        <v>226</v>
      </c>
      <c r="AH181" s="40"/>
      <c r="AI181" s="51">
        <f t="shared" si="16"/>
        <v>0</v>
      </c>
      <c r="AJ181" s="38" t="str">
        <f t="shared" si="17"/>
        <v>Pendiente</v>
      </c>
    </row>
    <row r="182" spans="1:36" s="31" customFormat="1" ht="25.5" customHeight="1" x14ac:dyDescent="0.2">
      <c r="A182" s="32">
        <v>178</v>
      </c>
      <c r="B182" s="33" t="s">
        <v>227</v>
      </c>
      <c r="C182" s="32" t="s">
        <v>88</v>
      </c>
      <c r="D182" s="32" t="s">
        <v>228</v>
      </c>
      <c r="E182" s="32" t="s">
        <v>53</v>
      </c>
      <c r="F182" s="32">
        <v>1518</v>
      </c>
      <c r="G182" s="33" t="s">
        <v>54</v>
      </c>
      <c r="H182" s="32" t="s">
        <v>47</v>
      </c>
      <c r="I182" s="32"/>
      <c r="J182" s="34">
        <v>45736</v>
      </c>
      <c r="K182" s="34">
        <v>45736</v>
      </c>
      <c r="L182" s="32" t="s">
        <v>48</v>
      </c>
      <c r="M182" s="48">
        <v>15660.82</v>
      </c>
      <c r="N182" s="48">
        <v>1246.1099999999999</v>
      </c>
      <c r="O182" s="48">
        <v>-629.35</v>
      </c>
      <c r="P182" s="48">
        <v>0</v>
      </c>
      <c r="Q182" s="48">
        <v>-329.73</v>
      </c>
      <c r="R182" s="48">
        <v>0</v>
      </c>
      <c r="S182" s="48"/>
      <c r="T182" s="48">
        <f t="shared" si="12"/>
        <v>287.02999999999986</v>
      </c>
      <c r="U182" s="48">
        <f t="shared" si="13"/>
        <v>287.02999999999986</v>
      </c>
      <c r="V182" s="49">
        <f>+Tabla_Auditorias[[#This Row],[AJUSTE
EGRESO
COSTO]]+Tabla_Auditorias[[#This Row],[AJUSTE EGRESO
MAL ESTADO]]+Tabla_Auditorias[[#This Row],[AJUSTE
INGRESO
COSTO]]</f>
        <v>204.51</v>
      </c>
      <c r="W182" s="48">
        <v>-342.52</v>
      </c>
      <c r="X182" s="48"/>
      <c r="Y182" s="48"/>
      <c r="Z182" s="48">
        <v>547.03</v>
      </c>
      <c r="AA182" s="50">
        <f>+SUM(Tabla_Auditorias[[#This Row],[AJUSTE
EGRESO
COSTO]:[AJUSTE
INGRESO
COSTO]])</f>
        <v>204.51</v>
      </c>
      <c r="AB182" s="36" t="str">
        <f t="shared" si="14"/>
        <v>ALTO</v>
      </c>
      <c r="AC182" s="37">
        <f t="shared" si="15"/>
        <v>60</v>
      </c>
      <c r="AD182" s="35">
        <v>0</v>
      </c>
      <c r="AE182" s="41" t="s">
        <v>49</v>
      </c>
      <c r="AF182" s="38" t="str">
        <f>IF(Tabla_Auditorias[[#This Row],[TOTAL
COSTO
NETO]]&lt;&gt;0,"Si","No")</f>
        <v>Si</v>
      </c>
      <c r="AG182" s="39" t="s">
        <v>229</v>
      </c>
      <c r="AH182" s="40"/>
      <c r="AI182" s="51" t="str">
        <f t="shared" si="16"/>
        <v/>
      </c>
      <c r="AJ182" s="38" t="str">
        <f t="shared" si="17"/>
        <v>No Aplica</v>
      </c>
    </row>
    <row r="183" spans="1:36" s="31" customFormat="1" ht="25.5" customHeight="1" x14ac:dyDescent="0.2">
      <c r="A183" s="32">
        <v>179</v>
      </c>
      <c r="B183" s="33" t="s">
        <v>50</v>
      </c>
      <c r="C183" s="32" t="s">
        <v>51</v>
      </c>
      <c r="D183" s="32" t="s">
        <v>52</v>
      </c>
      <c r="E183" s="32" t="s">
        <v>53</v>
      </c>
      <c r="F183" s="32">
        <v>1732</v>
      </c>
      <c r="G183" s="33" t="s">
        <v>54</v>
      </c>
      <c r="H183" s="32" t="s">
        <v>47</v>
      </c>
      <c r="I183" s="32"/>
      <c r="J183" s="34">
        <v>45736</v>
      </c>
      <c r="K183" s="34">
        <v>45736</v>
      </c>
      <c r="L183" s="32" t="s">
        <v>48</v>
      </c>
      <c r="M183" s="48">
        <v>38774.67</v>
      </c>
      <c r="N183" s="48">
        <v>0</v>
      </c>
      <c r="O183" s="48">
        <v>0</v>
      </c>
      <c r="P183" s="48">
        <v>0</v>
      </c>
      <c r="Q183" s="48">
        <v>0</v>
      </c>
      <c r="R183" s="48">
        <v>0</v>
      </c>
      <c r="S183" s="48"/>
      <c r="T183" s="48">
        <f t="shared" si="12"/>
        <v>0</v>
      </c>
      <c r="U183" s="48">
        <f t="shared" si="13"/>
        <v>0</v>
      </c>
      <c r="V183" s="49">
        <f>+Tabla_Auditorias[[#This Row],[AJUSTE
EGRESO
COSTO]]+Tabla_Auditorias[[#This Row],[AJUSTE EGRESO
MAL ESTADO]]+Tabla_Auditorias[[#This Row],[AJUSTE
INGRESO
COSTO]]</f>
        <v>0</v>
      </c>
      <c r="W183" s="48">
        <v>0</v>
      </c>
      <c r="X183" s="48"/>
      <c r="Y183" s="48"/>
      <c r="Z183" s="48">
        <v>0</v>
      </c>
      <c r="AA183" s="50">
        <f>+SUM(Tabla_Auditorias[[#This Row],[AJUSTE
EGRESO
COSTO]:[AJUSTE
INGRESO
COSTO]])</f>
        <v>0</v>
      </c>
      <c r="AB183" s="36" t="str">
        <f t="shared" si="14"/>
        <v>BAJO</v>
      </c>
      <c r="AC183" s="37">
        <f t="shared" si="15"/>
        <v>0</v>
      </c>
      <c r="AD183" s="35">
        <v>0</v>
      </c>
      <c r="AE183" s="41" t="s">
        <v>49</v>
      </c>
      <c r="AF183" s="38" t="str">
        <f>IF(Tabla_Auditorias[[#This Row],[TOTAL
COSTO
NETO]]&lt;&gt;0,"Si","No")</f>
        <v>No</v>
      </c>
      <c r="AG183" s="39" t="s">
        <v>183</v>
      </c>
      <c r="AH183" s="40"/>
      <c r="AI183" s="51" t="str">
        <f t="shared" si="16"/>
        <v/>
      </c>
      <c r="AJ183" s="38" t="str">
        <f t="shared" si="17"/>
        <v>Pendiente</v>
      </c>
    </row>
    <row r="184" spans="1:36" s="31" customFormat="1" ht="25.5" customHeight="1" x14ac:dyDescent="0.2">
      <c r="A184" s="32">
        <v>180</v>
      </c>
      <c r="B184" s="33" t="s">
        <v>118</v>
      </c>
      <c r="C184" s="32" t="s">
        <v>43</v>
      </c>
      <c r="D184" s="32" t="s">
        <v>44</v>
      </c>
      <c r="E184" s="32" t="s">
        <v>53</v>
      </c>
      <c r="F184" s="32">
        <v>1507</v>
      </c>
      <c r="G184" s="33" t="s">
        <v>54</v>
      </c>
      <c r="H184" s="32" t="s">
        <v>47</v>
      </c>
      <c r="I184" s="32"/>
      <c r="J184" s="34">
        <v>45736</v>
      </c>
      <c r="K184" s="34">
        <v>45736</v>
      </c>
      <c r="L184" s="32" t="s">
        <v>48</v>
      </c>
      <c r="M184" s="48">
        <v>92059.61</v>
      </c>
      <c r="N184" s="48">
        <v>0</v>
      </c>
      <c r="O184" s="48">
        <v>-47.7</v>
      </c>
      <c r="P184" s="48">
        <v>0</v>
      </c>
      <c r="Q184" s="48">
        <v>-11.95</v>
      </c>
      <c r="R184" s="48">
        <v>0</v>
      </c>
      <c r="S184" s="48"/>
      <c r="T184" s="48">
        <f t="shared" si="12"/>
        <v>-59.650000000000006</v>
      </c>
      <c r="U184" s="48">
        <f t="shared" si="13"/>
        <v>-59.650000000000006</v>
      </c>
      <c r="V184" s="49">
        <f>+Tabla_Auditorias[[#This Row],[AJUSTE
EGRESO
COSTO]]+Tabla_Auditorias[[#This Row],[AJUSTE EGRESO
MAL ESTADO]]+Tabla_Auditorias[[#This Row],[AJUSTE
INGRESO
COSTO]]</f>
        <v>-34.36</v>
      </c>
      <c r="W184" s="48">
        <v>-34.36</v>
      </c>
      <c r="X184" s="48"/>
      <c r="Y184" s="48"/>
      <c r="Z184" s="48">
        <v>0</v>
      </c>
      <c r="AA184" s="50">
        <f>+SUM(Tabla_Auditorias[[#This Row],[AJUSTE
EGRESO
COSTO]:[AJUSTE
INGRESO
COSTO]])</f>
        <v>-34.36</v>
      </c>
      <c r="AB184" s="36" t="str">
        <f t="shared" si="14"/>
        <v>MEDIO</v>
      </c>
      <c r="AC184" s="37">
        <f t="shared" si="15"/>
        <v>25</v>
      </c>
      <c r="AD184" s="35">
        <v>0</v>
      </c>
      <c r="AE184" s="41" t="s">
        <v>49</v>
      </c>
      <c r="AF184" s="38" t="str">
        <f>IF(Tabla_Auditorias[[#This Row],[TOTAL
COSTO
NETO]]&lt;&gt;0,"Si","No")</f>
        <v>Si</v>
      </c>
      <c r="AG184" s="39" t="s">
        <v>230</v>
      </c>
      <c r="AH184" s="40"/>
      <c r="AI184" s="51">
        <f t="shared" si="16"/>
        <v>0</v>
      </c>
      <c r="AJ184" s="38" t="str">
        <f t="shared" si="17"/>
        <v>Pendiente</v>
      </c>
    </row>
    <row r="185" spans="1:36" s="31" customFormat="1" ht="25.5" customHeight="1" x14ac:dyDescent="0.2">
      <c r="A185" s="32">
        <v>181</v>
      </c>
      <c r="B185" s="33" t="s">
        <v>131</v>
      </c>
      <c r="C185" s="32" t="s">
        <v>51</v>
      </c>
      <c r="D185" s="32" t="s">
        <v>57</v>
      </c>
      <c r="E185" s="32" t="s">
        <v>45</v>
      </c>
      <c r="F185" s="32">
        <v>1703</v>
      </c>
      <c r="G185" s="33" t="s">
        <v>46</v>
      </c>
      <c r="H185" s="32" t="s">
        <v>47</v>
      </c>
      <c r="I185" s="32"/>
      <c r="J185" s="34">
        <v>45740</v>
      </c>
      <c r="K185" s="34">
        <v>45740</v>
      </c>
      <c r="L185" s="32" t="s">
        <v>48</v>
      </c>
      <c r="M185" s="48">
        <v>77673.882799999963</v>
      </c>
      <c r="N185" s="48"/>
      <c r="O185" s="48">
        <v>-59.9</v>
      </c>
      <c r="P185" s="48">
        <v>-113.2499999999999</v>
      </c>
      <c r="Q185" s="48">
        <v>-233.94</v>
      </c>
      <c r="R185" s="48">
        <v>-1396.46</v>
      </c>
      <c r="S185" s="48"/>
      <c r="T185" s="48">
        <f t="shared" si="12"/>
        <v>-1803.55</v>
      </c>
      <c r="U185" s="48">
        <f t="shared" si="13"/>
        <v>-407.08999999999992</v>
      </c>
      <c r="V185" s="49">
        <f>+Tabla_Auditorias[[#This Row],[AJUSTE
EGRESO
COSTO]]+Tabla_Auditorias[[#This Row],[AJUSTE EGRESO
MAL ESTADO]]+Tabla_Auditorias[[#This Row],[AJUSTE
INGRESO
COSTO]]</f>
        <v>-1064.706466666667</v>
      </c>
      <c r="W185" s="48">
        <v>-1785.486466666667</v>
      </c>
      <c r="X185" s="48"/>
      <c r="Y185" s="48"/>
      <c r="Z185" s="48">
        <v>720.78</v>
      </c>
      <c r="AA185" s="50">
        <f>+SUM(Tabla_Auditorias[[#This Row],[AJUSTE
EGRESO
COSTO]:[AJUSTE
INGRESO
COSTO]])</f>
        <v>-1064.706466666667</v>
      </c>
      <c r="AB185" s="36" t="str">
        <f t="shared" si="14"/>
        <v>MEDIO</v>
      </c>
      <c r="AC185" s="37">
        <f t="shared" si="15"/>
        <v>30</v>
      </c>
      <c r="AD185" s="35">
        <v>0</v>
      </c>
      <c r="AE185" s="41" t="s">
        <v>49</v>
      </c>
      <c r="AF185" s="38" t="str">
        <f>IF(Tabla_Auditorias[[#This Row],[TOTAL
COSTO
NETO]]&lt;&gt;0,"Si","No")</f>
        <v>Si</v>
      </c>
      <c r="AG185" s="39" t="s">
        <v>231</v>
      </c>
      <c r="AH185" s="40"/>
      <c r="AI185" s="51">
        <f t="shared" si="16"/>
        <v>0</v>
      </c>
      <c r="AJ185" s="38" t="str">
        <f t="shared" si="17"/>
        <v>Pendiente</v>
      </c>
    </row>
    <row r="186" spans="1:36" s="31" customFormat="1" ht="25.5" customHeight="1" x14ac:dyDescent="0.2">
      <c r="A186" s="32">
        <v>182</v>
      </c>
      <c r="B186" s="33" t="s">
        <v>74</v>
      </c>
      <c r="C186" s="32" t="s">
        <v>51</v>
      </c>
      <c r="D186" s="32" t="s">
        <v>57</v>
      </c>
      <c r="E186" s="32" t="s">
        <v>58</v>
      </c>
      <c r="F186" s="32">
        <v>1700</v>
      </c>
      <c r="G186" s="33" t="s">
        <v>59</v>
      </c>
      <c r="H186" s="32" t="s">
        <v>47</v>
      </c>
      <c r="I186" s="32"/>
      <c r="J186" s="34">
        <v>45740</v>
      </c>
      <c r="K186" s="34">
        <v>45740</v>
      </c>
      <c r="L186" s="32" t="s">
        <v>48</v>
      </c>
      <c r="M186" s="48">
        <v>148000.69519999999</v>
      </c>
      <c r="N186" s="48">
        <v>37.0002</v>
      </c>
      <c r="O186" s="48">
        <v>-63.613799999999998</v>
      </c>
      <c r="P186" s="48">
        <v>7.0011999999999999</v>
      </c>
      <c r="Q186" s="48">
        <v>0</v>
      </c>
      <c r="R186" s="48">
        <v>-1005.2399</v>
      </c>
      <c r="S186" s="48"/>
      <c r="T186" s="48">
        <f t="shared" si="12"/>
        <v>-1024.8523</v>
      </c>
      <c r="U186" s="48">
        <f t="shared" si="13"/>
        <v>-19.612399999999997</v>
      </c>
      <c r="V186" s="49">
        <f>+Tabla_Auditorias[[#This Row],[AJUSTE
EGRESO
COSTO]]+Tabla_Auditorias[[#This Row],[AJUSTE EGRESO
MAL ESTADO]]+Tabla_Auditorias[[#This Row],[AJUSTE
INGRESO
COSTO]]</f>
        <v>-7.1434208333330105</v>
      </c>
      <c r="W186" s="48">
        <v>-114.27297083333301</v>
      </c>
      <c r="X186" s="48"/>
      <c r="Y186" s="48"/>
      <c r="Z186" s="48">
        <v>107.12954999999999</v>
      </c>
      <c r="AA186" s="50">
        <f>+SUM(Tabla_Auditorias[[#This Row],[AJUSTE
EGRESO
COSTO]:[AJUSTE
INGRESO
COSTO]])</f>
        <v>-7.1434208333330105</v>
      </c>
      <c r="AB186" s="36" t="str">
        <f t="shared" si="14"/>
        <v>MEDIO</v>
      </c>
      <c r="AC186" s="37">
        <f t="shared" si="15"/>
        <v>25</v>
      </c>
      <c r="AD186" s="35">
        <v>0</v>
      </c>
      <c r="AE186" s="41" t="s">
        <v>49</v>
      </c>
      <c r="AF186" s="38" t="str">
        <f>IF(Tabla_Auditorias[[#This Row],[TOTAL
COSTO
NETO]]&lt;&gt;0,"Si","No")</f>
        <v>Si</v>
      </c>
      <c r="AG186" s="39" t="s">
        <v>232</v>
      </c>
      <c r="AH186" s="40"/>
      <c r="AI186" s="51">
        <f t="shared" si="16"/>
        <v>0</v>
      </c>
      <c r="AJ186" s="38" t="str">
        <f t="shared" si="17"/>
        <v>Pendiente</v>
      </c>
    </row>
    <row r="187" spans="1:36" s="31" customFormat="1" ht="25.5" customHeight="1" x14ac:dyDescent="0.2">
      <c r="A187" s="32">
        <v>183</v>
      </c>
      <c r="B187" s="33" t="s">
        <v>233</v>
      </c>
      <c r="C187" s="32" t="s">
        <v>51</v>
      </c>
      <c r="D187" s="32" t="s">
        <v>52</v>
      </c>
      <c r="E187" s="32" t="s">
        <v>58</v>
      </c>
      <c r="F187" s="32">
        <v>1737</v>
      </c>
      <c r="G187" s="33" t="s">
        <v>59</v>
      </c>
      <c r="H187" s="32" t="s">
        <v>47</v>
      </c>
      <c r="I187" s="32"/>
      <c r="J187" s="34">
        <v>45742</v>
      </c>
      <c r="K187" s="34">
        <v>45742</v>
      </c>
      <c r="L187" s="32" t="s">
        <v>48</v>
      </c>
      <c r="M187" s="48">
        <v>60606.375399999997</v>
      </c>
      <c r="N187" s="48">
        <v>0</v>
      </c>
      <c r="O187" s="48">
        <v>0</v>
      </c>
      <c r="P187" s="48">
        <v>0</v>
      </c>
      <c r="Q187" s="48">
        <v>0</v>
      </c>
      <c r="R187" s="48">
        <v>0</v>
      </c>
      <c r="S187" s="48"/>
      <c r="T187" s="48">
        <f t="shared" si="12"/>
        <v>0</v>
      </c>
      <c r="U187" s="48">
        <f t="shared" si="13"/>
        <v>0</v>
      </c>
      <c r="V187" s="49">
        <f>+Tabla_Auditorias[[#This Row],[AJUSTE
EGRESO
COSTO]]+Tabla_Auditorias[[#This Row],[AJUSTE EGRESO
MAL ESTADO]]+Tabla_Auditorias[[#This Row],[AJUSTE
INGRESO
COSTO]]</f>
        <v>0</v>
      </c>
      <c r="W187" s="48">
        <v>0</v>
      </c>
      <c r="X187" s="48"/>
      <c r="Y187" s="48"/>
      <c r="Z187" s="48">
        <v>0</v>
      </c>
      <c r="AA187" s="50">
        <f>+SUM(Tabla_Auditorias[[#This Row],[AJUSTE
EGRESO
COSTO]:[AJUSTE
INGRESO
COSTO]])</f>
        <v>0</v>
      </c>
      <c r="AB187" s="36" t="str">
        <f t="shared" si="14"/>
        <v>BAJO</v>
      </c>
      <c r="AC187" s="37">
        <f t="shared" si="15"/>
        <v>0</v>
      </c>
      <c r="AD187" s="35">
        <v>0</v>
      </c>
      <c r="AE187" s="41" t="s">
        <v>49</v>
      </c>
      <c r="AF187" s="38" t="str">
        <f>IF(Tabla_Auditorias[[#This Row],[TOTAL
COSTO
NETO]]&lt;&gt;0,"Si","No")</f>
        <v>No</v>
      </c>
      <c r="AG187" s="39" t="s">
        <v>81</v>
      </c>
      <c r="AH187" s="40"/>
      <c r="AI187" s="51" t="str">
        <f t="shared" si="16"/>
        <v/>
      </c>
      <c r="AJ187" s="38" t="str">
        <f t="shared" si="17"/>
        <v>Pendiente</v>
      </c>
    </row>
    <row r="188" spans="1:36" s="31" customFormat="1" ht="25.5" customHeight="1" x14ac:dyDescent="0.2">
      <c r="A188" s="32">
        <v>184</v>
      </c>
      <c r="B188" s="33" t="s">
        <v>152</v>
      </c>
      <c r="C188" s="32" t="s">
        <v>153</v>
      </c>
      <c r="D188" s="32" t="s">
        <v>89</v>
      </c>
      <c r="E188" s="32" t="s">
        <v>45</v>
      </c>
      <c r="F188" s="32">
        <v>3041</v>
      </c>
      <c r="G188" s="33" t="s">
        <v>46</v>
      </c>
      <c r="H188" s="32" t="s">
        <v>47</v>
      </c>
      <c r="I188" s="32"/>
      <c r="J188" s="34">
        <v>45743</v>
      </c>
      <c r="K188" s="34">
        <v>45743</v>
      </c>
      <c r="L188" s="32" t="s">
        <v>48</v>
      </c>
      <c r="M188" s="48">
        <v>12166.31</v>
      </c>
      <c r="N188" s="48">
        <v>0</v>
      </c>
      <c r="O188" s="48">
        <v>0</v>
      </c>
      <c r="P188" s="48">
        <v>0</v>
      </c>
      <c r="Q188" s="48">
        <v>0</v>
      </c>
      <c r="R188" s="48">
        <v>0</v>
      </c>
      <c r="S188" s="48"/>
      <c r="T188" s="48">
        <f t="shared" si="12"/>
        <v>0</v>
      </c>
      <c r="U188" s="48">
        <f t="shared" si="13"/>
        <v>0</v>
      </c>
      <c r="V188" s="49">
        <f>+Tabla_Auditorias[[#This Row],[AJUSTE
EGRESO
COSTO]]+Tabla_Auditorias[[#This Row],[AJUSTE EGRESO
MAL ESTADO]]+Tabla_Auditorias[[#This Row],[AJUSTE
INGRESO
COSTO]]</f>
        <v>0</v>
      </c>
      <c r="W188" s="48">
        <v>0</v>
      </c>
      <c r="X188" s="48"/>
      <c r="Y188" s="48"/>
      <c r="Z188" s="48">
        <v>0</v>
      </c>
      <c r="AA188" s="50">
        <f>+SUM(Tabla_Auditorias[[#This Row],[AJUSTE
EGRESO
COSTO]:[AJUSTE
INGRESO
COSTO]])</f>
        <v>0</v>
      </c>
      <c r="AB188" s="36" t="str">
        <f t="shared" si="14"/>
        <v>BAJO</v>
      </c>
      <c r="AC188" s="37">
        <f t="shared" si="15"/>
        <v>0</v>
      </c>
      <c r="AD188" s="35">
        <v>0</v>
      </c>
      <c r="AE188" s="41" t="s">
        <v>49</v>
      </c>
      <c r="AF188" s="38" t="str">
        <f>IF(Tabla_Auditorias[[#This Row],[TOTAL
COSTO
NETO]]&lt;&gt;0,"Si","No")</f>
        <v>No</v>
      </c>
      <c r="AG188" s="39" t="s">
        <v>234</v>
      </c>
      <c r="AH188" s="40"/>
      <c r="AI188" s="51" t="str">
        <f t="shared" si="16"/>
        <v/>
      </c>
      <c r="AJ188" s="38" t="str">
        <f t="shared" si="17"/>
        <v>Pendiente</v>
      </c>
    </row>
    <row r="189" spans="1:36" s="31" customFormat="1" ht="42" customHeight="1" x14ac:dyDescent="0.2">
      <c r="A189" s="32">
        <v>185</v>
      </c>
      <c r="B189" s="33" t="s">
        <v>129</v>
      </c>
      <c r="C189" s="32" t="s">
        <v>51</v>
      </c>
      <c r="D189" s="32" t="s">
        <v>57</v>
      </c>
      <c r="E189" s="32" t="s">
        <v>45</v>
      </c>
      <c r="F189" s="32">
        <v>1712</v>
      </c>
      <c r="G189" s="33" t="s">
        <v>46</v>
      </c>
      <c r="H189" s="32" t="s">
        <v>47</v>
      </c>
      <c r="I189" s="32"/>
      <c r="J189" s="34">
        <v>45744</v>
      </c>
      <c r="K189" s="34">
        <v>45744</v>
      </c>
      <c r="L189" s="32" t="s">
        <v>48</v>
      </c>
      <c r="M189" s="48">
        <v>114721.64</v>
      </c>
      <c r="N189" s="48">
        <v>0.9</v>
      </c>
      <c r="O189" s="48">
        <v>-3.68</v>
      </c>
      <c r="P189" s="48">
        <v>-3.46</v>
      </c>
      <c r="Q189" s="48">
        <v>-644</v>
      </c>
      <c r="R189" s="48">
        <v>-4614.87</v>
      </c>
      <c r="S189" s="48"/>
      <c r="T189" s="48">
        <f t="shared" si="12"/>
        <v>-5265.11</v>
      </c>
      <c r="U189" s="48">
        <f t="shared" si="13"/>
        <v>-650.24</v>
      </c>
      <c r="V189" s="49">
        <f>+Tabla_Auditorias[[#This Row],[AJUSTE
EGRESO
COSTO]]+Tabla_Auditorias[[#This Row],[AJUSTE EGRESO
MAL ESTADO]]+Tabla_Auditorias[[#This Row],[AJUSTE
INGRESO
COSTO]]</f>
        <v>-3522.1563219961236</v>
      </c>
      <c r="W189" s="48">
        <v>-3549.0736708333329</v>
      </c>
      <c r="X189" s="48"/>
      <c r="Y189" s="48"/>
      <c r="Z189" s="48">
        <v>26.9173488372093</v>
      </c>
      <c r="AA189" s="50">
        <f>+SUM(Tabla_Auditorias[[#This Row],[AJUSTE
EGRESO
COSTO]:[AJUSTE
INGRESO
COSTO]])</f>
        <v>-3522.1563219961236</v>
      </c>
      <c r="AB189" s="36" t="str">
        <f t="shared" si="14"/>
        <v>ALTO</v>
      </c>
      <c r="AC189" s="37">
        <f t="shared" si="15"/>
        <v>37</v>
      </c>
      <c r="AD189" s="35">
        <v>0</v>
      </c>
      <c r="AE189" s="41" t="s">
        <v>49</v>
      </c>
      <c r="AF189" s="38" t="str">
        <f>IF(Tabla_Auditorias[[#This Row],[TOTAL
COSTO
NETO]]&lt;&gt;0,"Si","No")</f>
        <v>Si</v>
      </c>
      <c r="AG189" s="39" t="s">
        <v>235</v>
      </c>
      <c r="AH189" s="40"/>
      <c r="AI189" s="51">
        <f t="shared" si="16"/>
        <v>0</v>
      </c>
      <c r="AJ189" s="38" t="str">
        <f t="shared" si="17"/>
        <v>Pendiente</v>
      </c>
    </row>
    <row r="190" spans="1:36" s="31" customFormat="1" ht="25.5" customHeight="1" x14ac:dyDescent="0.2">
      <c r="A190" s="32">
        <v>186</v>
      </c>
      <c r="B190" s="33" t="s">
        <v>87</v>
      </c>
      <c r="C190" s="32" t="s">
        <v>153</v>
      </c>
      <c r="D190" s="32" t="s">
        <v>89</v>
      </c>
      <c r="E190" s="32" t="s">
        <v>58</v>
      </c>
      <c r="F190" s="32">
        <v>3040</v>
      </c>
      <c r="G190" s="33" t="s">
        <v>59</v>
      </c>
      <c r="H190" s="32" t="s">
        <v>47</v>
      </c>
      <c r="I190" s="32"/>
      <c r="J190" s="34">
        <v>45744</v>
      </c>
      <c r="K190" s="34">
        <v>45744</v>
      </c>
      <c r="L190" s="32" t="s">
        <v>48</v>
      </c>
      <c r="M190" s="48">
        <v>13614.933199999999</v>
      </c>
      <c r="N190" s="48">
        <v>83.27</v>
      </c>
      <c r="O190" s="48">
        <v>-358.44</v>
      </c>
      <c r="P190" s="48">
        <v>238.25</v>
      </c>
      <c r="Q190" s="48">
        <v>-84.89</v>
      </c>
      <c r="R190" s="48">
        <v>0</v>
      </c>
      <c r="S190" s="48"/>
      <c r="T190" s="48">
        <f t="shared" si="12"/>
        <v>-121.81000000000002</v>
      </c>
      <c r="U190" s="48">
        <f t="shared" si="13"/>
        <v>-121.81000000000002</v>
      </c>
      <c r="V190" s="49">
        <f>+Tabla_Auditorias[[#This Row],[AJUSTE
EGRESO
COSTO]]+Tabla_Auditorias[[#This Row],[AJUSTE EGRESO
MAL ESTADO]]+Tabla_Auditorias[[#This Row],[AJUSTE
INGRESO
COSTO]]</f>
        <v>-199.38058992424305</v>
      </c>
      <c r="W190" s="48">
        <v>-798.52302325757603</v>
      </c>
      <c r="X190" s="48"/>
      <c r="Y190" s="48"/>
      <c r="Z190" s="48">
        <v>599.14243333333297</v>
      </c>
      <c r="AA190" s="50">
        <f>+SUM(Tabla_Auditorias[[#This Row],[AJUSTE
EGRESO
COSTO]:[AJUSTE
INGRESO
COSTO]])</f>
        <v>-199.38058992424305</v>
      </c>
      <c r="AB190" s="36" t="str">
        <f t="shared" si="14"/>
        <v>ALTO</v>
      </c>
      <c r="AC190" s="37">
        <f t="shared" si="15"/>
        <v>40</v>
      </c>
      <c r="AD190" s="35">
        <v>0</v>
      </c>
      <c r="AE190" s="41" t="s">
        <v>49</v>
      </c>
      <c r="AF190" s="38" t="str">
        <f>IF(Tabla_Auditorias[[#This Row],[TOTAL
COSTO
NETO]]&lt;&gt;0,"Si","No")</f>
        <v>Si</v>
      </c>
      <c r="AG190" s="39" t="s">
        <v>236</v>
      </c>
      <c r="AH190" s="40"/>
      <c r="AI190" s="51">
        <f t="shared" si="16"/>
        <v>0</v>
      </c>
      <c r="AJ190" s="38" t="str">
        <f t="shared" si="17"/>
        <v>Pendiente</v>
      </c>
    </row>
    <row r="191" spans="1:36" s="31" customFormat="1" ht="25.5" customHeight="1" x14ac:dyDescent="0.2">
      <c r="A191" s="32">
        <v>187</v>
      </c>
      <c r="B191" s="33" t="s">
        <v>94</v>
      </c>
      <c r="C191" s="32" t="s">
        <v>43</v>
      </c>
      <c r="D191" s="32" t="s">
        <v>44</v>
      </c>
      <c r="E191" s="32" t="s">
        <v>53</v>
      </c>
      <c r="F191" s="32">
        <v>1502</v>
      </c>
      <c r="G191" s="33" t="s">
        <v>54</v>
      </c>
      <c r="H191" s="32" t="s">
        <v>47</v>
      </c>
      <c r="I191" s="32"/>
      <c r="J191" s="34">
        <v>45744</v>
      </c>
      <c r="K191" s="34">
        <v>45744</v>
      </c>
      <c r="L191" s="32" t="s">
        <v>48</v>
      </c>
      <c r="M191" s="48">
        <v>186162.16</v>
      </c>
      <c r="N191" s="48">
        <v>0</v>
      </c>
      <c r="O191" s="48">
        <v>0</v>
      </c>
      <c r="P191" s="48">
        <v>0</v>
      </c>
      <c r="Q191" s="48">
        <v>0</v>
      </c>
      <c r="R191" s="48">
        <v>136.30000000000001</v>
      </c>
      <c r="S191" s="48"/>
      <c r="T191" s="48">
        <f t="shared" si="12"/>
        <v>136.30000000000001</v>
      </c>
      <c r="U191" s="48">
        <f t="shared" si="13"/>
        <v>0</v>
      </c>
      <c r="V191" s="49">
        <f>+Tabla_Auditorias[[#This Row],[AJUSTE
EGRESO
COSTO]]+Tabla_Auditorias[[#This Row],[AJUSTE EGRESO
MAL ESTADO]]+Tabla_Auditorias[[#This Row],[AJUSTE
INGRESO
COSTO]]</f>
        <v>-101.98</v>
      </c>
      <c r="W191" s="48">
        <v>-101.98</v>
      </c>
      <c r="X191" s="48"/>
      <c r="Y191" s="48"/>
      <c r="Z191" s="48">
        <v>0</v>
      </c>
      <c r="AA191" s="50">
        <f>+SUM(Tabla_Auditorias[[#This Row],[AJUSTE
EGRESO
COSTO]:[AJUSTE
INGRESO
COSTO]])</f>
        <v>-101.98</v>
      </c>
      <c r="AB191" s="36" t="str">
        <f t="shared" si="14"/>
        <v>BAJO</v>
      </c>
      <c r="AC191" s="37">
        <f t="shared" si="15"/>
        <v>0</v>
      </c>
      <c r="AD191" s="35">
        <v>0</v>
      </c>
      <c r="AE191" s="41" t="s">
        <v>49</v>
      </c>
      <c r="AF191" s="38" t="str">
        <f>IF(Tabla_Auditorias[[#This Row],[TOTAL
COSTO
NETO]]&lt;&gt;0,"Si","No")</f>
        <v>Si</v>
      </c>
      <c r="AG191" s="39" t="s">
        <v>237</v>
      </c>
      <c r="AH191" s="40"/>
      <c r="AI191" s="51">
        <f t="shared" si="16"/>
        <v>0</v>
      </c>
      <c r="AJ191" s="38" t="str">
        <f t="shared" si="17"/>
        <v>Pendiente</v>
      </c>
    </row>
    <row r="192" spans="1:36" s="31" customFormat="1" ht="25.5" customHeight="1" x14ac:dyDescent="0.2">
      <c r="A192" s="32">
        <v>188</v>
      </c>
      <c r="B192" s="33" t="s">
        <v>63</v>
      </c>
      <c r="C192" s="32" t="s">
        <v>51</v>
      </c>
      <c r="D192" s="32" t="s">
        <v>64</v>
      </c>
      <c r="E192" s="32" t="s">
        <v>53</v>
      </c>
      <c r="F192" s="32">
        <v>1729</v>
      </c>
      <c r="G192" s="33" t="s">
        <v>54</v>
      </c>
      <c r="H192" s="32" t="s">
        <v>47</v>
      </c>
      <c r="I192" s="32"/>
      <c r="J192" s="34">
        <v>45744</v>
      </c>
      <c r="K192" s="34">
        <v>45744</v>
      </c>
      <c r="L192" s="32" t="s">
        <v>48</v>
      </c>
      <c r="M192" s="48">
        <v>263185.62</v>
      </c>
      <c r="N192" s="48">
        <v>0</v>
      </c>
      <c r="O192" s="48">
        <v>0</v>
      </c>
      <c r="P192" s="48">
        <v>0</v>
      </c>
      <c r="Q192" s="48">
        <v>0</v>
      </c>
      <c r="R192" s="48">
        <v>0</v>
      </c>
      <c r="S192" s="48"/>
      <c r="T192" s="48">
        <f t="shared" si="12"/>
        <v>0</v>
      </c>
      <c r="U192" s="48">
        <f t="shared" si="13"/>
        <v>0</v>
      </c>
      <c r="V192" s="49">
        <f>+Tabla_Auditorias[[#This Row],[AJUSTE
EGRESO
COSTO]]+Tabla_Auditorias[[#This Row],[AJUSTE EGRESO
MAL ESTADO]]+Tabla_Auditorias[[#This Row],[AJUSTE
INGRESO
COSTO]]</f>
        <v>0</v>
      </c>
      <c r="W192" s="48">
        <v>0</v>
      </c>
      <c r="X192" s="48"/>
      <c r="Y192" s="48"/>
      <c r="Z192" s="48">
        <v>0</v>
      </c>
      <c r="AA192" s="50">
        <f>+SUM(Tabla_Auditorias[[#This Row],[AJUSTE
EGRESO
COSTO]:[AJUSTE
INGRESO
COSTO]])</f>
        <v>0</v>
      </c>
      <c r="AB192" s="36" t="str">
        <f t="shared" si="14"/>
        <v>BAJO</v>
      </c>
      <c r="AC192" s="37">
        <f t="shared" si="15"/>
        <v>0</v>
      </c>
      <c r="AD192" s="35">
        <v>0</v>
      </c>
      <c r="AE192" s="41" t="s">
        <v>49</v>
      </c>
      <c r="AF192" s="38" t="str">
        <f>IF(Tabla_Auditorias[[#This Row],[TOTAL
COSTO
NETO]]&lt;&gt;0,"Si","No")</f>
        <v>No</v>
      </c>
      <c r="AG192" s="39" t="s">
        <v>183</v>
      </c>
      <c r="AH192" s="40"/>
      <c r="AI192" s="51" t="str">
        <f t="shared" si="16"/>
        <v/>
      </c>
      <c r="AJ192" s="38" t="str">
        <f t="shared" si="17"/>
        <v>Pendiente</v>
      </c>
    </row>
    <row r="193" spans="1:36" s="31" customFormat="1" ht="25.5" customHeight="1" x14ac:dyDescent="0.2">
      <c r="A193" s="32">
        <v>189</v>
      </c>
      <c r="B193" s="33" t="s">
        <v>224</v>
      </c>
      <c r="C193" s="32" t="s">
        <v>153</v>
      </c>
      <c r="D193" s="32" t="s">
        <v>89</v>
      </c>
      <c r="E193" s="32" t="s">
        <v>58</v>
      </c>
      <c r="F193" s="32">
        <v>3042</v>
      </c>
      <c r="G193" s="33" t="s">
        <v>59</v>
      </c>
      <c r="H193" s="32" t="s">
        <v>47</v>
      </c>
      <c r="I193" s="32"/>
      <c r="J193" s="34">
        <v>45748</v>
      </c>
      <c r="K193" s="34">
        <v>45748</v>
      </c>
      <c r="L193" s="32" t="s">
        <v>48</v>
      </c>
      <c r="M193" s="48">
        <v>7232.7199000000001</v>
      </c>
      <c r="N193" s="48">
        <v>0</v>
      </c>
      <c r="O193" s="48">
        <v>0</v>
      </c>
      <c r="P193" s="48">
        <v>-110.55</v>
      </c>
      <c r="Q193" s="48">
        <v>0</v>
      </c>
      <c r="R193" s="48">
        <v>0</v>
      </c>
      <c r="S193" s="48"/>
      <c r="T193" s="48">
        <f t="shared" si="12"/>
        <v>-110.55</v>
      </c>
      <c r="U193" s="48">
        <f t="shared" si="13"/>
        <v>-110.55</v>
      </c>
      <c r="V193" s="49">
        <f>+Tabla_Auditorias[[#This Row],[AJUSTE
EGRESO
COSTO]]+Tabla_Auditorias[[#This Row],[AJUSTE EGRESO
MAL ESTADO]]+Tabla_Auditorias[[#This Row],[AJUSTE
INGRESO
COSTO]]</f>
        <v>-6.0326000000000022</v>
      </c>
      <c r="W193" s="48">
        <v>-98.694500000000005</v>
      </c>
      <c r="X193" s="48"/>
      <c r="Y193" s="48"/>
      <c r="Z193" s="48">
        <v>92.661900000000003</v>
      </c>
      <c r="AA193" s="50">
        <f>+SUM(Tabla_Auditorias[[#This Row],[AJUSTE
EGRESO
COSTO]:[AJUSTE
INGRESO
COSTO]])</f>
        <v>-6.0326000000000022</v>
      </c>
      <c r="AB193" s="36" t="str">
        <f t="shared" si="14"/>
        <v>BAJO</v>
      </c>
      <c r="AC193" s="37">
        <f t="shared" si="15"/>
        <v>10</v>
      </c>
      <c r="AD193" s="35">
        <v>0</v>
      </c>
      <c r="AE193" s="41" t="s">
        <v>49</v>
      </c>
      <c r="AF193" s="38" t="str">
        <f>IF(Tabla_Auditorias[[#This Row],[TOTAL
COSTO
NETO]]&lt;&gt;0,"Si","No")</f>
        <v>Si</v>
      </c>
      <c r="AG193" s="39" t="s">
        <v>238</v>
      </c>
      <c r="AH193" s="40"/>
      <c r="AI193" s="51">
        <f t="shared" si="16"/>
        <v>0</v>
      </c>
      <c r="AJ193" s="38" t="str">
        <f t="shared" si="17"/>
        <v>Pendiente</v>
      </c>
    </row>
    <row r="194" spans="1:36" s="31" customFormat="1" ht="25.5" customHeight="1" x14ac:dyDescent="0.2">
      <c r="A194" s="32">
        <v>190</v>
      </c>
      <c r="B194" s="33" t="s">
        <v>69</v>
      </c>
      <c r="C194" s="32" t="s">
        <v>51</v>
      </c>
      <c r="D194" s="32" t="s">
        <v>57</v>
      </c>
      <c r="E194" s="32" t="s">
        <v>53</v>
      </c>
      <c r="F194" s="32">
        <v>1705</v>
      </c>
      <c r="G194" s="33" t="s">
        <v>54</v>
      </c>
      <c r="H194" s="32" t="s">
        <v>47</v>
      </c>
      <c r="I194" s="32"/>
      <c r="J194" s="34">
        <v>45750</v>
      </c>
      <c r="K194" s="34">
        <v>45750</v>
      </c>
      <c r="L194" s="32" t="s">
        <v>48</v>
      </c>
      <c r="M194" s="48">
        <v>115315.46</v>
      </c>
      <c r="N194" s="48">
        <v>0</v>
      </c>
      <c r="O194" s="48">
        <v>-129.82</v>
      </c>
      <c r="P194" s="48">
        <v>26.329999999999931</v>
      </c>
      <c r="Q194" s="48">
        <v>0</v>
      </c>
      <c r="R194" s="48">
        <v>0</v>
      </c>
      <c r="S194" s="48"/>
      <c r="T194" s="48">
        <f t="shared" si="12"/>
        <v>-103.49000000000007</v>
      </c>
      <c r="U194" s="48">
        <f t="shared" si="13"/>
        <v>-103.49000000000007</v>
      </c>
      <c r="V194" s="49">
        <f>+Tabla_Auditorias[[#This Row],[AJUSTE
EGRESO
COSTO]]+Tabla_Auditorias[[#This Row],[AJUSTE EGRESO
MAL ESTADO]]+Tabla_Auditorias[[#This Row],[AJUSTE
INGRESO
COSTO]]</f>
        <v>-42.69</v>
      </c>
      <c r="W194" s="48">
        <v>-320.24</v>
      </c>
      <c r="X194" s="48"/>
      <c r="Y194" s="48"/>
      <c r="Z194" s="48">
        <v>277.55</v>
      </c>
      <c r="AA194" s="50">
        <f>+SUM(Tabla_Auditorias[[#This Row],[AJUSTE
EGRESO
COSTO]:[AJUSTE
INGRESO
COSTO]])</f>
        <v>-42.69</v>
      </c>
      <c r="AB194" s="36" t="str">
        <f t="shared" si="14"/>
        <v>MEDIO</v>
      </c>
      <c r="AC194" s="37">
        <f t="shared" si="15"/>
        <v>20</v>
      </c>
      <c r="AD194" s="35">
        <v>0</v>
      </c>
      <c r="AE194" s="41" t="s">
        <v>49</v>
      </c>
      <c r="AF194" s="38" t="str">
        <f>IF(Tabla_Auditorias[[#This Row],[TOTAL
COSTO
NETO]]&lt;&gt;0,"Si","No")</f>
        <v>Si</v>
      </c>
      <c r="AG194" s="39" t="s">
        <v>239</v>
      </c>
      <c r="AH194" s="40"/>
      <c r="AI194" s="51">
        <f t="shared" si="16"/>
        <v>0</v>
      </c>
      <c r="AJ194" s="38" t="str">
        <f t="shared" si="17"/>
        <v>Pendiente</v>
      </c>
    </row>
    <row r="195" spans="1:36" s="31" customFormat="1" ht="25.5" customHeight="1" x14ac:dyDescent="0.2">
      <c r="A195" s="32">
        <v>191</v>
      </c>
      <c r="B195" s="33" t="s">
        <v>227</v>
      </c>
      <c r="C195" s="32" t="s">
        <v>88</v>
      </c>
      <c r="D195" s="32" t="s">
        <v>228</v>
      </c>
      <c r="E195" s="32" t="s">
        <v>53</v>
      </c>
      <c r="F195" s="32">
        <v>1450</v>
      </c>
      <c r="G195" s="33" t="s">
        <v>54</v>
      </c>
      <c r="H195" s="32" t="s">
        <v>47</v>
      </c>
      <c r="I195" s="32"/>
      <c r="J195" s="34">
        <v>45754</v>
      </c>
      <c r="K195" s="34">
        <v>45754</v>
      </c>
      <c r="L195" s="32" t="s">
        <v>48</v>
      </c>
      <c r="M195" s="48">
        <v>1504.13</v>
      </c>
      <c r="N195" s="48">
        <v>241</v>
      </c>
      <c r="O195" s="48">
        <v>-275.89</v>
      </c>
      <c r="P195" s="48">
        <v>0</v>
      </c>
      <c r="Q195" s="48">
        <v>0</v>
      </c>
      <c r="R195" s="48">
        <v>0</v>
      </c>
      <c r="S195" s="48"/>
      <c r="T195" s="48">
        <f t="shared" si="12"/>
        <v>-34.889999999999986</v>
      </c>
      <c r="U195" s="48">
        <f t="shared" si="13"/>
        <v>-34.889999999999986</v>
      </c>
      <c r="V195" s="49">
        <f>+Tabla_Auditorias[[#This Row],[AJUSTE
EGRESO
COSTO]]+Tabla_Auditorias[[#This Row],[AJUSTE EGRESO
MAL ESTADO]]+Tabla_Auditorias[[#This Row],[AJUSTE
INGRESO
COSTO]]</f>
        <v>12.230000000000004</v>
      </c>
      <c r="W195" s="48">
        <v>-124.96</v>
      </c>
      <c r="X195" s="48"/>
      <c r="Y195" s="48"/>
      <c r="Z195" s="48">
        <v>137.19</v>
      </c>
      <c r="AA195" s="50">
        <f>+SUM(Tabla_Auditorias[[#This Row],[AJUSTE
EGRESO
COSTO]:[AJUSTE
INGRESO
COSTO]])</f>
        <v>12.230000000000004</v>
      </c>
      <c r="AB195" s="36" t="str">
        <f t="shared" si="14"/>
        <v>ALTO</v>
      </c>
      <c r="AC195" s="37">
        <f t="shared" si="15"/>
        <v>60</v>
      </c>
      <c r="AD195" s="35">
        <v>0</v>
      </c>
      <c r="AE195" s="41" t="s">
        <v>49</v>
      </c>
      <c r="AF195" s="38" t="str">
        <f>IF(Tabla_Auditorias[[#This Row],[TOTAL
COSTO
NETO]]&lt;&gt;0,"Si","No")</f>
        <v>Si</v>
      </c>
      <c r="AG195" s="39" t="s">
        <v>240</v>
      </c>
      <c r="AH195" s="40"/>
      <c r="AI195" s="51" t="str">
        <f t="shared" si="16"/>
        <v/>
      </c>
      <c r="AJ195" s="38" t="str">
        <f t="shared" si="17"/>
        <v>No Aplica</v>
      </c>
    </row>
    <row r="196" spans="1:36" s="31" customFormat="1" ht="25.5" customHeight="1" x14ac:dyDescent="0.2">
      <c r="A196" s="32">
        <v>192</v>
      </c>
      <c r="B196" s="33" t="s">
        <v>241</v>
      </c>
      <c r="C196" s="32" t="s">
        <v>51</v>
      </c>
      <c r="D196" s="32" t="s">
        <v>57</v>
      </c>
      <c r="E196" s="32" t="s">
        <v>58</v>
      </c>
      <c r="F196" s="32">
        <v>1741</v>
      </c>
      <c r="G196" s="33" t="s">
        <v>59</v>
      </c>
      <c r="H196" s="32" t="s">
        <v>47</v>
      </c>
      <c r="I196" s="32"/>
      <c r="J196" s="34">
        <v>45757</v>
      </c>
      <c r="K196" s="34">
        <v>45757</v>
      </c>
      <c r="L196" s="32" t="s">
        <v>48</v>
      </c>
      <c r="M196" s="48">
        <v>89617.510200000004</v>
      </c>
      <c r="N196" s="48">
        <v>0</v>
      </c>
      <c r="O196" s="48">
        <v>-502.14</v>
      </c>
      <c r="P196" s="48">
        <v>1.6060000000000001</v>
      </c>
      <c r="Q196" s="48">
        <v>0</v>
      </c>
      <c r="R196" s="48">
        <v>0</v>
      </c>
      <c r="S196" s="48"/>
      <c r="T196" s="48">
        <f t="shared" si="12"/>
        <v>-500.53399999999999</v>
      </c>
      <c r="U196" s="48">
        <f t="shared" si="13"/>
        <v>-500.53399999999999</v>
      </c>
      <c r="V196" s="49">
        <f>+Tabla_Auditorias[[#This Row],[AJUSTE
EGRESO
COSTO]]+Tabla_Auditorias[[#This Row],[AJUSTE EGRESO
MAL ESTADO]]+Tabla_Auditorias[[#This Row],[AJUSTE
INGRESO
COSTO]]</f>
        <v>-279.31130000000002</v>
      </c>
      <c r="W196" s="48">
        <v>-317.06630000000001</v>
      </c>
      <c r="X196" s="48"/>
      <c r="Y196" s="48"/>
      <c r="Z196" s="48">
        <v>37.755000000000003</v>
      </c>
      <c r="AA196" s="50">
        <f>+SUM(Tabla_Auditorias[[#This Row],[AJUSTE
EGRESO
COSTO]:[AJUSTE
INGRESO
COSTO]])</f>
        <v>-279.31130000000002</v>
      </c>
      <c r="AB196" s="36" t="str">
        <f t="shared" si="14"/>
        <v>MEDIO</v>
      </c>
      <c r="AC196" s="37">
        <f t="shared" si="15"/>
        <v>32</v>
      </c>
      <c r="AD196" s="35">
        <v>0</v>
      </c>
      <c r="AE196" s="41" t="s">
        <v>49</v>
      </c>
      <c r="AF196" s="38" t="str">
        <f>IF(Tabla_Auditorias[[#This Row],[TOTAL
COSTO
NETO]]&lt;&gt;0,"Si","No")</f>
        <v>Si</v>
      </c>
      <c r="AG196" s="39" t="s">
        <v>242</v>
      </c>
      <c r="AH196" s="40"/>
      <c r="AI196" s="51">
        <f t="shared" si="16"/>
        <v>0</v>
      </c>
      <c r="AJ196" s="38" t="str">
        <f t="shared" si="17"/>
        <v>Pendiente</v>
      </c>
    </row>
    <row r="197" spans="1:36" s="31" customFormat="1" ht="25.5" customHeight="1" x14ac:dyDescent="0.2">
      <c r="A197" s="32">
        <v>193</v>
      </c>
      <c r="B197" s="33" t="s">
        <v>85</v>
      </c>
      <c r="C197" s="32" t="s">
        <v>43</v>
      </c>
      <c r="D197" s="32" t="s">
        <v>44</v>
      </c>
      <c r="E197" s="32" t="s">
        <v>53</v>
      </c>
      <c r="F197" s="32">
        <v>1510</v>
      </c>
      <c r="G197" s="33" t="s">
        <v>54</v>
      </c>
      <c r="H197" s="32" t="s">
        <v>47</v>
      </c>
      <c r="I197" s="32"/>
      <c r="J197" s="34">
        <v>45763</v>
      </c>
      <c r="K197" s="34">
        <v>45763</v>
      </c>
      <c r="L197" s="32" t="s">
        <v>48</v>
      </c>
      <c r="M197" s="48">
        <v>67400.820000000007</v>
      </c>
      <c r="N197" s="48">
        <v>0</v>
      </c>
      <c r="O197" s="48">
        <v>0</v>
      </c>
      <c r="P197" s="48">
        <v>0</v>
      </c>
      <c r="Q197" s="48">
        <v>0</v>
      </c>
      <c r="R197" s="48">
        <v>0</v>
      </c>
      <c r="S197" s="48"/>
      <c r="T197" s="48">
        <f t="shared" ref="T197:T260" si="18">N197+O197+P197+Q197+R197+S197</f>
        <v>0</v>
      </c>
      <c r="U197" s="48">
        <f t="shared" ref="U197:U260" si="19">N197+O197+P197+Q197+S197</f>
        <v>0</v>
      </c>
      <c r="V197" s="49">
        <f>+Tabla_Auditorias[[#This Row],[AJUSTE
EGRESO
COSTO]]+Tabla_Auditorias[[#This Row],[AJUSTE EGRESO
MAL ESTADO]]+Tabla_Auditorias[[#This Row],[AJUSTE
INGRESO
COSTO]]</f>
        <v>0</v>
      </c>
      <c r="W197" s="48">
        <v>-62.98</v>
      </c>
      <c r="X197" s="48"/>
      <c r="Y197" s="48"/>
      <c r="Z197" s="48">
        <v>62.98</v>
      </c>
      <c r="AA197" s="50">
        <f>+SUM(Tabla_Auditorias[[#This Row],[AJUSTE
EGRESO
COSTO]:[AJUSTE
INGRESO
COSTO]])</f>
        <v>0</v>
      </c>
      <c r="AB197" s="36" t="str">
        <f t="shared" ref="AB197:AB260" si="20">IFERROR(IF(AC197&lt;=10,"BAJO",IF(AC197&lt;=35,"MEDIO",IF(AC197&lt;=65,"ALTO","CRÍTICO"))),"BAJO")</f>
        <v>BAJO</v>
      </c>
      <c r="AC197" s="37">
        <f t="shared" ref="AC197:AC260" si="21">IFERROR(IF(M197=0,0,IF(ABS(O197)/M197=0,0,IF(ABS(O197)/M197&lt;=0.01,10,IF(ABS(O197)/M197&lt;=0.03,25,IF(ABS(O197)/M197&lt;=0.05,40,50)))))+IF(ABS(U197)=0,0,IF(ABS(U197)&lt;=200,10,IF(ABS(U197)&lt;=500,15,IF(ABS(U197)&lt;=2000,22,30))))+0+IF(OR(Q197&lt;0,R197&lt;0),5,0),0)</f>
        <v>0</v>
      </c>
      <c r="AD197" s="35">
        <v>0</v>
      </c>
      <c r="AE197" s="41" t="s">
        <v>49</v>
      </c>
      <c r="AF197" s="38" t="str">
        <f>IF(Tabla_Auditorias[[#This Row],[TOTAL
COSTO
NETO]]&lt;&gt;0,"Si","No")</f>
        <v>No</v>
      </c>
      <c r="AG197" s="39" t="s">
        <v>243</v>
      </c>
      <c r="AH197" s="40"/>
      <c r="AI197" s="51" t="str">
        <f t="shared" ref="AI197:AI260" si="22">IFERROR(IF(V197&lt;0,ABS(AH197/V197),""),"")</f>
        <v/>
      </c>
      <c r="AJ197" s="38" t="str">
        <f t="shared" ref="AJ197:AJ260" si="23">IF(V197&gt;0,"No Aplica",IF(AND(V197&lt;0,AH197=0),"Pendiente",IF(AND(AH197&gt;0,AH197&gt;=ABS(V197)),"Cobrado Total",IF(AND(AH197&gt;0,AH197&lt;ABS(V197)),"Cobrado Parcial","Pendiente"))))</f>
        <v>Pendiente</v>
      </c>
    </row>
    <row r="198" spans="1:36" s="31" customFormat="1" ht="25.5" customHeight="1" x14ac:dyDescent="0.2">
      <c r="A198" s="32">
        <v>194</v>
      </c>
      <c r="B198" s="33" t="s">
        <v>87</v>
      </c>
      <c r="C198" s="32" t="s">
        <v>153</v>
      </c>
      <c r="D198" s="32" t="s">
        <v>89</v>
      </c>
      <c r="E198" s="32" t="s">
        <v>58</v>
      </c>
      <c r="F198" s="32">
        <v>3040</v>
      </c>
      <c r="G198" s="33" t="s">
        <v>59</v>
      </c>
      <c r="H198" s="32" t="s">
        <v>47</v>
      </c>
      <c r="I198" s="32"/>
      <c r="J198" s="34">
        <v>45764</v>
      </c>
      <c r="K198" s="34">
        <v>45764</v>
      </c>
      <c r="L198" s="32" t="s">
        <v>48</v>
      </c>
      <c r="M198" s="48">
        <v>13771.0656</v>
      </c>
      <c r="N198" s="48">
        <v>52.155099999999997</v>
      </c>
      <c r="O198" s="48">
        <v>-75.152000000000001</v>
      </c>
      <c r="P198" s="48">
        <v>0</v>
      </c>
      <c r="Q198" s="48">
        <v>0</v>
      </c>
      <c r="R198" s="48">
        <v>0</v>
      </c>
      <c r="S198" s="48"/>
      <c r="T198" s="48">
        <f t="shared" si="18"/>
        <v>-22.996900000000004</v>
      </c>
      <c r="U198" s="48">
        <f t="shared" si="19"/>
        <v>-22.996900000000004</v>
      </c>
      <c r="V198" s="49">
        <f>+Tabla_Auditorias[[#This Row],[AJUSTE
EGRESO
COSTO]]+Tabla_Auditorias[[#This Row],[AJUSTE EGRESO
MAL ESTADO]]+Tabla_Auditorias[[#This Row],[AJUSTE
INGRESO
COSTO]]</f>
        <v>-6.9745166666667018</v>
      </c>
      <c r="W198" s="48">
        <v>-49.783516666666699</v>
      </c>
      <c r="X198" s="48"/>
      <c r="Y198" s="48"/>
      <c r="Z198" s="48">
        <v>42.808999999999997</v>
      </c>
      <c r="AA198" s="50">
        <f>+SUM(Tabla_Auditorias[[#This Row],[AJUSTE
EGRESO
COSTO]:[AJUSTE
INGRESO
COSTO]])</f>
        <v>-6.9745166666667018</v>
      </c>
      <c r="AB198" s="36" t="str">
        <f t="shared" si="20"/>
        <v>MEDIO</v>
      </c>
      <c r="AC198" s="37">
        <f t="shared" si="21"/>
        <v>20</v>
      </c>
      <c r="AD198" s="35">
        <v>0</v>
      </c>
      <c r="AE198" s="41" t="s">
        <v>49</v>
      </c>
      <c r="AF198" s="38" t="str">
        <f>IF(Tabla_Auditorias[[#This Row],[TOTAL
COSTO
NETO]]&lt;&gt;0,"Si","No")</f>
        <v>Si</v>
      </c>
      <c r="AG198" s="39" t="s">
        <v>244</v>
      </c>
      <c r="AH198" s="40"/>
      <c r="AI198" s="51">
        <f t="shared" si="22"/>
        <v>0</v>
      </c>
      <c r="AJ198" s="38" t="str">
        <f t="shared" si="23"/>
        <v>Pendiente</v>
      </c>
    </row>
    <row r="199" spans="1:36" s="31" customFormat="1" ht="25.5" customHeight="1" x14ac:dyDescent="0.2">
      <c r="A199" s="32">
        <v>195</v>
      </c>
      <c r="B199" s="33" t="s">
        <v>159</v>
      </c>
      <c r="C199" s="32" t="s">
        <v>51</v>
      </c>
      <c r="D199" s="32" t="s">
        <v>57</v>
      </c>
      <c r="E199" s="32" t="s">
        <v>53</v>
      </c>
      <c r="F199" s="32">
        <v>1743</v>
      </c>
      <c r="G199" s="33" t="s">
        <v>54</v>
      </c>
      <c r="H199" s="32" t="s">
        <v>47</v>
      </c>
      <c r="I199" s="32"/>
      <c r="J199" s="34">
        <v>45764</v>
      </c>
      <c r="K199" s="34">
        <v>45764</v>
      </c>
      <c r="L199" s="32" t="s">
        <v>48</v>
      </c>
      <c r="M199" s="48">
        <v>98065.18</v>
      </c>
      <c r="N199" s="48">
        <v>0</v>
      </c>
      <c r="O199" s="48">
        <v>0</v>
      </c>
      <c r="P199" s="48">
        <v>-11.73</v>
      </c>
      <c r="Q199" s="48">
        <v>0</v>
      </c>
      <c r="R199" s="48">
        <v>0</v>
      </c>
      <c r="S199" s="48"/>
      <c r="T199" s="48">
        <f t="shared" si="18"/>
        <v>-11.73</v>
      </c>
      <c r="U199" s="48">
        <f t="shared" si="19"/>
        <v>-11.73</v>
      </c>
      <c r="V199" s="49">
        <f>+Tabla_Auditorias[[#This Row],[AJUSTE
EGRESO
COSTO]]+Tabla_Auditorias[[#This Row],[AJUSTE EGRESO
MAL ESTADO]]+Tabla_Auditorias[[#This Row],[AJUSTE
INGRESO
COSTO]]</f>
        <v>21.230000000000018</v>
      </c>
      <c r="W199" s="48">
        <v>-402.49</v>
      </c>
      <c r="X199" s="48"/>
      <c r="Y199" s="48"/>
      <c r="Z199" s="48">
        <v>423.72</v>
      </c>
      <c r="AA199" s="50">
        <f>+SUM(Tabla_Auditorias[[#This Row],[AJUSTE
EGRESO
COSTO]:[AJUSTE
INGRESO
COSTO]])</f>
        <v>21.230000000000018</v>
      </c>
      <c r="AB199" s="36" t="str">
        <f t="shared" si="20"/>
        <v>BAJO</v>
      </c>
      <c r="AC199" s="37">
        <f t="shared" si="21"/>
        <v>10</v>
      </c>
      <c r="AD199" s="35">
        <v>0</v>
      </c>
      <c r="AE199" s="41" t="s">
        <v>49</v>
      </c>
      <c r="AF199" s="38" t="str">
        <f>IF(Tabla_Auditorias[[#This Row],[TOTAL
COSTO
NETO]]&lt;&gt;0,"Si","No")</f>
        <v>Si</v>
      </c>
      <c r="AG199" s="39" t="s">
        <v>245</v>
      </c>
      <c r="AH199" s="40"/>
      <c r="AI199" s="51" t="str">
        <f t="shared" si="22"/>
        <v/>
      </c>
      <c r="AJ199" s="38" t="str">
        <f t="shared" si="23"/>
        <v>No Aplica</v>
      </c>
    </row>
    <row r="200" spans="1:36" s="31" customFormat="1" ht="25.5" customHeight="1" x14ac:dyDescent="0.2">
      <c r="A200" s="32">
        <v>196</v>
      </c>
      <c r="B200" s="33" t="s">
        <v>152</v>
      </c>
      <c r="C200" s="32" t="s">
        <v>153</v>
      </c>
      <c r="D200" s="32" t="s">
        <v>89</v>
      </c>
      <c r="E200" s="32" t="s">
        <v>45</v>
      </c>
      <c r="F200" s="32">
        <v>3041</v>
      </c>
      <c r="G200" s="33" t="s">
        <v>46</v>
      </c>
      <c r="H200" s="32" t="s">
        <v>47</v>
      </c>
      <c r="I200" s="32"/>
      <c r="J200" s="34">
        <v>45768</v>
      </c>
      <c r="K200" s="34">
        <v>45768</v>
      </c>
      <c r="L200" s="32" t="s">
        <v>48</v>
      </c>
      <c r="M200" s="48">
        <v>12436.81</v>
      </c>
      <c r="N200" s="48">
        <v>0</v>
      </c>
      <c r="O200" s="48">
        <v>0</v>
      </c>
      <c r="P200" s="48">
        <v>0</v>
      </c>
      <c r="Q200" s="48">
        <v>0</v>
      </c>
      <c r="R200" s="48">
        <v>0</v>
      </c>
      <c r="S200" s="48"/>
      <c r="T200" s="48">
        <f t="shared" si="18"/>
        <v>0</v>
      </c>
      <c r="U200" s="48">
        <f t="shared" si="19"/>
        <v>0</v>
      </c>
      <c r="V200" s="49">
        <f>+Tabla_Auditorias[[#This Row],[AJUSTE
EGRESO
COSTO]]+Tabla_Auditorias[[#This Row],[AJUSTE EGRESO
MAL ESTADO]]+Tabla_Auditorias[[#This Row],[AJUSTE
INGRESO
COSTO]]</f>
        <v>0</v>
      </c>
      <c r="W200" s="48">
        <v>0</v>
      </c>
      <c r="X200" s="48"/>
      <c r="Y200" s="48"/>
      <c r="Z200" s="48">
        <v>0</v>
      </c>
      <c r="AA200" s="50">
        <f>+SUM(Tabla_Auditorias[[#This Row],[AJUSTE
EGRESO
COSTO]:[AJUSTE
INGRESO
COSTO]])</f>
        <v>0</v>
      </c>
      <c r="AB200" s="36" t="str">
        <f t="shared" si="20"/>
        <v>BAJO</v>
      </c>
      <c r="AC200" s="37">
        <f t="shared" si="21"/>
        <v>0</v>
      </c>
      <c r="AD200" s="35">
        <v>0</v>
      </c>
      <c r="AE200" s="41" t="s">
        <v>49</v>
      </c>
      <c r="AF200" s="38" t="str">
        <f>IF(Tabla_Auditorias[[#This Row],[TOTAL
COSTO
NETO]]&lt;&gt;0,"Si","No")</f>
        <v>No</v>
      </c>
      <c r="AG200" s="39" t="s">
        <v>221</v>
      </c>
      <c r="AH200" s="40"/>
      <c r="AI200" s="51" t="str">
        <f t="shared" si="22"/>
        <v/>
      </c>
      <c r="AJ200" s="38" t="str">
        <f t="shared" si="23"/>
        <v>Pendiente</v>
      </c>
    </row>
    <row r="201" spans="1:36" s="31" customFormat="1" ht="25.5" customHeight="1" x14ac:dyDescent="0.2">
      <c r="A201" s="32">
        <v>197</v>
      </c>
      <c r="B201" s="33" t="s">
        <v>224</v>
      </c>
      <c r="C201" s="32" t="s">
        <v>153</v>
      </c>
      <c r="D201" s="32" t="s">
        <v>89</v>
      </c>
      <c r="E201" s="32" t="s">
        <v>58</v>
      </c>
      <c r="F201" s="32">
        <v>3042</v>
      </c>
      <c r="G201" s="33" t="s">
        <v>59</v>
      </c>
      <c r="H201" s="32" t="s">
        <v>47</v>
      </c>
      <c r="I201" s="32"/>
      <c r="J201" s="34">
        <v>45768</v>
      </c>
      <c r="K201" s="34">
        <v>45768</v>
      </c>
      <c r="L201" s="32" t="s">
        <v>48</v>
      </c>
      <c r="M201" s="48">
        <v>7936.6337999999996</v>
      </c>
      <c r="N201" s="48">
        <v>0</v>
      </c>
      <c r="O201" s="48">
        <v>0</v>
      </c>
      <c r="P201" s="48">
        <v>0</v>
      </c>
      <c r="Q201" s="48">
        <v>0</v>
      </c>
      <c r="R201" s="48">
        <v>0</v>
      </c>
      <c r="S201" s="48"/>
      <c r="T201" s="48">
        <f t="shared" si="18"/>
        <v>0</v>
      </c>
      <c r="U201" s="48">
        <f t="shared" si="19"/>
        <v>0</v>
      </c>
      <c r="V201" s="49">
        <f>+Tabla_Auditorias[[#This Row],[AJUSTE
EGRESO
COSTO]]+Tabla_Auditorias[[#This Row],[AJUSTE EGRESO
MAL ESTADO]]+Tabla_Auditorias[[#This Row],[AJUSTE
INGRESO
COSTO]]</f>
        <v>1.7937999999999903</v>
      </c>
      <c r="W201" s="48">
        <v>-91.962900000000005</v>
      </c>
      <c r="X201" s="48"/>
      <c r="Y201" s="48"/>
      <c r="Z201" s="48">
        <v>93.756699999999995</v>
      </c>
      <c r="AA201" s="50">
        <f>+SUM(Tabla_Auditorias[[#This Row],[AJUSTE
EGRESO
COSTO]:[AJUSTE
INGRESO
COSTO]])</f>
        <v>1.7937999999999903</v>
      </c>
      <c r="AB201" s="36" t="str">
        <f t="shared" si="20"/>
        <v>BAJO</v>
      </c>
      <c r="AC201" s="37">
        <f t="shared" si="21"/>
        <v>0</v>
      </c>
      <c r="AD201" s="35">
        <v>0</v>
      </c>
      <c r="AE201" s="41" t="s">
        <v>49</v>
      </c>
      <c r="AF201" s="38" t="str">
        <f>IF(Tabla_Auditorias[[#This Row],[TOTAL
COSTO
NETO]]&lt;&gt;0,"Si","No")</f>
        <v>Si</v>
      </c>
      <c r="AG201" s="39" t="s">
        <v>246</v>
      </c>
      <c r="AH201" s="40"/>
      <c r="AI201" s="51" t="str">
        <f t="shared" si="22"/>
        <v/>
      </c>
      <c r="AJ201" s="38" t="str">
        <f t="shared" si="23"/>
        <v>No Aplica</v>
      </c>
    </row>
    <row r="202" spans="1:36" s="31" customFormat="1" ht="25.5" customHeight="1" x14ac:dyDescent="0.2">
      <c r="A202" s="32">
        <v>198</v>
      </c>
      <c r="B202" s="33" t="s">
        <v>105</v>
      </c>
      <c r="C202" s="32" t="s">
        <v>51</v>
      </c>
      <c r="D202" s="32" t="s">
        <v>57</v>
      </c>
      <c r="E202" s="32" t="s">
        <v>53</v>
      </c>
      <c r="F202" s="32">
        <v>1710</v>
      </c>
      <c r="G202" s="33" t="s">
        <v>46</v>
      </c>
      <c r="H202" s="32" t="s">
        <v>47</v>
      </c>
      <c r="I202" s="32"/>
      <c r="J202" s="34">
        <v>45771</v>
      </c>
      <c r="K202" s="34">
        <v>45771</v>
      </c>
      <c r="L202" s="32" t="s">
        <v>48</v>
      </c>
      <c r="M202" s="48">
        <v>105788.1339</v>
      </c>
      <c r="N202" s="48">
        <v>6.09</v>
      </c>
      <c r="O202" s="48">
        <v>-12563.72</v>
      </c>
      <c r="P202" s="48">
        <v>-106.01949999999999</v>
      </c>
      <c r="Q202" s="48">
        <v>-1322.61</v>
      </c>
      <c r="R202" s="48">
        <v>-251.68</v>
      </c>
      <c r="S202" s="48"/>
      <c r="T202" s="48">
        <f t="shared" si="18"/>
        <v>-14237.9395</v>
      </c>
      <c r="U202" s="48">
        <f t="shared" si="19"/>
        <v>-13986.2595</v>
      </c>
      <c r="V202" s="49">
        <f>+Tabla_Auditorias[[#This Row],[AJUSTE
EGRESO
COSTO]]+Tabla_Auditorias[[#This Row],[AJUSTE EGRESO
MAL ESTADO]]+Tabla_Auditorias[[#This Row],[AJUSTE
INGRESO
COSTO]]</f>
        <v>-8841.9623000000011</v>
      </c>
      <c r="W202" s="48">
        <v>-9736.9790000000012</v>
      </c>
      <c r="X202" s="48"/>
      <c r="Y202" s="48"/>
      <c r="Z202" s="48">
        <v>895.01670000000001</v>
      </c>
      <c r="AA202" s="50">
        <f>+SUM(Tabla_Auditorias[[#This Row],[AJUSTE
EGRESO
COSTO]:[AJUSTE
INGRESO
COSTO]])</f>
        <v>-8841.9623000000011</v>
      </c>
      <c r="AB202" s="36" t="str">
        <f t="shared" si="20"/>
        <v>CRÍTICO</v>
      </c>
      <c r="AC202" s="37">
        <f t="shared" si="21"/>
        <v>85</v>
      </c>
      <c r="AD202" s="35">
        <v>0</v>
      </c>
      <c r="AE202" s="41" t="s">
        <v>49</v>
      </c>
      <c r="AF202" s="38" t="str">
        <f>IF(Tabla_Auditorias[[#This Row],[TOTAL
COSTO
NETO]]&lt;&gt;0,"Si","No")</f>
        <v>Si</v>
      </c>
      <c r="AG202" s="39" t="s">
        <v>247</v>
      </c>
      <c r="AH202" s="40"/>
      <c r="AI202" s="51">
        <f t="shared" si="22"/>
        <v>0</v>
      </c>
      <c r="AJ202" s="38" t="str">
        <f t="shared" si="23"/>
        <v>Pendiente</v>
      </c>
    </row>
    <row r="203" spans="1:36" s="31" customFormat="1" ht="25.5" customHeight="1" x14ac:dyDescent="0.2">
      <c r="A203" s="32">
        <v>199</v>
      </c>
      <c r="B203" s="33" t="s">
        <v>118</v>
      </c>
      <c r="C203" s="32" t="s">
        <v>43</v>
      </c>
      <c r="D203" s="32" t="s">
        <v>44</v>
      </c>
      <c r="E203" s="32" t="s">
        <v>53</v>
      </c>
      <c r="F203" s="32">
        <v>1507</v>
      </c>
      <c r="G203" s="33" t="s">
        <v>46</v>
      </c>
      <c r="H203" s="32" t="s">
        <v>47</v>
      </c>
      <c r="I203" s="32"/>
      <c r="J203" s="34">
        <v>45771</v>
      </c>
      <c r="K203" s="34">
        <v>45771</v>
      </c>
      <c r="L203" s="32" t="s">
        <v>48</v>
      </c>
      <c r="M203" s="48">
        <v>46802.14</v>
      </c>
      <c r="N203" s="48">
        <v>481.34</v>
      </c>
      <c r="O203" s="48">
        <v>-216.21</v>
      </c>
      <c r="P203" s="48">
        <v>-130.41999999999999</v>
      </c>
      <c r="Q203" s="48">
        <v>-149.31</v>
      </c>
      <c r="R203" s="48">
        <v>-2195.17</v>
      </c>
      <c r="S203" s="48"/>
      <c r="T203" s="48">
        <f t="shared" si="18"/>
        <v>-2209.77</v>
      </c>
      <c r="U203" s="48">
        <f t="shared" si="19"/>
        <v>-14.599999999999994</v>
      </c>
      <c r="V203" s="49">
        <f>+Tabla_Auditorias[[#This Row],[AJUSTE
EGRESO
COSTO]]+Tabla_Auditorias[[#This Row],[AJUSTE EGRESO
MAL ESTADO]]+Tabla_Auditorias[[#This Row],[AJUSTE
INGRESO
COSTO]]</f>
        <v>-1288.6000000000001</v>
      </c>
      <c r="W203" s="48">
        <v>-1769.94</v>
      </c>
      <c r="X203" s="48"/>
      <c r="Y203" s="48"/>
      <c r="Z203" s="48">
        <v>481.34</v>
      </c>
      <c r="AA203" s="50">
        <f>+SUM(Tabla_Auditorias[[#This Row],[AJUSTE
EGRESO
COSTO]:[AJUSTE
INGRESO
COSTO]])</f>
        <v>-1288.6000000000001</v>
      </c>
      <c r="AB203" s="36" t="str">
        <f t="shared" si="20"/>
        <v>MEDIO</v>
      </c>
      <c r="AC203" s="37">
        <f t="shared" si="21"/>
        <v>25</v>
      </c>
      <c r="AD203" s="35">
        <v>0</v>
      </c>
      <c r="AE203" s="41" t="s">
        <v>49</v>
      </c>
      <c r="AF203" s="38" t="str">
        <f>IF(Tabla_Auditorias[[#This Row],[TOTAL
COSTO
NETO]]&lt;&gt;0,"Si","No")</f>
        <v>Si</v>
      </c>
      <c r="AG203" s="39" t="s">
        <v>248</v>
      </c>
      <c r="AH203" s="40"/>
      <c r="AI203" s="51">
        <f t="shared" si="22"/>
        <v>0</v>
      </c>
      <c r="AJ203" s="38" t="str">
        <f t="shared" si="23"/>
        <v>Pendiente</v>
      </c>
    </row>
    <row r="204" spans="1:36" s="31" customFormat="1" ht="25.5" customHeight="1" x14ac:dyDescent="0.2">
      <c r="A204" s="32">
        <v>200</v>
      </c>
      <c r="B204" s="33" t="s">
        <v>79</v>
      </c>
      <c r="C204" s="32" t="s">
        <v>43</v>
      </c>
      <c r="D204" s="32" t="s">
        <v>44</v>
      </c>
      <c r="E204" s="32" t="s">
        <v>45</v>
      </c>
      <c r="F204" s="32">
        <v>1511</v>
      </c>
      <c r="G204" s="33" t="s">
        <v>46</v>
      </c>
      <c r="H204" s="32" t="s">
        <v>47</v>
      </c>
      <c r="I204" s="32"/>
      <c r="J204" s="34">
        <v>45772</v>
      </c>
      <c r="K204" s="34">
        <v>45772</v>
      </c>
      <c r="L204" s="32" t="s">
        <v>48</v>
      </c>
      <c r="M204" s="48">
        <v>124619.42359999999</v>
      </c>
      <c r="N204" s="48">
        <v>238.02</v>
      </c>
      <c r="O204" s="48">
        <v>-234.94</v>
      </c>
      <c r="P204" s="48">
        <v>8.3300000000000054</v>
      </c>
      <c r="Q204" s="48">
        <v>-148.93</v>
      </c>
      <c r="R204" s="48">
        <v>-473.69999999999987</v>
      </c>
      <c r="S204" s="48"/>
      <c r="T204" s="48">
        <f t="shared" si="18"/>
        <v>-611.2199999999998</v>
      </c>
      <c r="U204" s="48">
        <f t="shared" si="19"/>
        <v>-137.51999999999998</v>
      </c>
      <c r="V204" s="49">
        <f>+Tabla_Auditorias[[#This Row],[AJUSTE
EGRESO
COSTO]]+Tabla_Auditorias[[#This Row],[AJUSTE EGRESO
MAL ESTADO]]+Tabla_Auditorias[[#This Row],[AJUSTE
INGRESO
COSTO]]</f>
        <v>-298.32760000000002</v>
      </c>
      <c r="W204" s="48">
        <v>-591.18240000000014</v>
      </c>
      <c r="X204" s="48"/>
      <c r="Y204" s="48"/>
      <c r="Z204" s="48">
        <v>292.85480000000013</v>
      </c>
      <c r="AA204" s="50">
        <f>+SUM(Tabla_Auditorias[[#This Row],[AJUSTE
EGRESO
COSTO]:[AJUSTE
INGRESO
COSTO]])</f>
        <v>-298.32760000000002</v>
      </c>
      <c r="AB204" s="36" t="str">
        <f t="shared" si="20"/>
        <v>MEDIO</v>
      </c>
      <c r="AC204" s="37">
        <f t="shared" si="21"/>
        <v>25</v>
      </c>
      <c r="AD204" s="35">
        <v>0</v>
      </c>
      <c r="AE204" s="41" t="s">
        <v>49</v>
      </c>
      <c r="AF204" s="38" t="str">
        <f>IF(Tabla_Auditorias[[#This Row],[TOTAL
COSTO
NETO]]&lt;&gt;0,"Si","No")</f>
        <v>Si</v>
      </c>
      <c r="AG204" s="39" t="s">
        <v>249</v>
      </c>
      <c r="AH204" s="40"/>
      <c r="AI204" s="51">
        <f t="shared" si="22"/>
        <v>0</v>
      </c>
      <c r="AJ204" s="38" t="str">
        <f t="shared" si="23"/>
        <v>Pendiente</v>
      </c>
    </row>
    <row r="205" spans="1:36" s="31" customFormat="1" ht="25.5" customHeight="1" x14ac:dyDescent="0.2">
      <c r="A205" s="32">
        <v>201</v>
      </c>
      <c r="B205" s="33" t="s">
        <v>102</v>
      </c>
      <c r="C205" s="32" t="s">
        <v>51</v>
      </c>
      <c r="D205" s="32" t="s">
        <v>57</v>
      </c>
      <c r="E205" s="32" t="s">
        <v>45</v>
      </c>
      <c r="F205" s="32">
        <v>1709</v>
      </c>
      <c r="G205" s="33" t="s">
        <v>46</v>
      </c>
      <c r="H205" s="32" t="s">
        <v>47</v>
      </c>
      <c r="I205" s="32"/>
      <c r="J205" s="34">
        <v>45775</v>
      </c>
      <c r="K205" s="34">
        <v>45775</v>
      </c>
      <c r="L205" s="32" t="s">
        <v>48</v>
      </c>
      <c r="M205" s="48">
        <v>93664.663399999918</v>
      </c>
      <c r="N205" s="48">
        <v>1.68</v>
      </c>
      <c r="O205" s="48">
        <v>-40.619999999999997</v>
      </c>
      <c r="P205" s="48">
        <v>120.0899999999999</v>
      </c>
      <c r="Q205" s="48">
        <v>0</v>
      </c>
      <c r="R205" s="48">
        <v>-687.08</v>
      </c>
      <c r="S205" s="48"/>
      <c r="T205" s="48">
        <f t="shared" si="18"/>
        <v>-605.93000000000018</v>
      </c>
      <c r="U205" s="48">
        <f t="shared" si="19"/>
        <v>81.149999999999906</v>
      </c>
      <c r="V205" s="49">
        <f>+Tabla_Auditorias[[#This Row],[AJUSTE
EGRESO
COSTO]]+Tabla_Auditorias[[#This Row],[AJUSTE EGRESO
MAL ESTADO]]+Tabla_Auditorias[[#This Row],[AJUSTE
INGRESO
COSTO]]</f>
        <v>-818.01200000000017</v>
      </c>
      <c r="W205" s="48">
        <v>-1320.5657000000001</v>
      </c>
      <c r="X205" s="48"/>
      <c r="Y205" s="48"/>
      <c r="Z205" s="48">
        <v>502.55369999999999</v>
      </c>
      <c r="AA205" s="50">
        <f>+SUM(Tabla_Auditorias[[#This Row],[AJUSTE
EGRESO
COSTO]:[AJUSTE
INGRESO
COSTO]])</f>
        <v>-818.01200000000017</v>
      </c>
      <c r="AB205" s="36" t="str">
        <f t="shared" si="20"/>
        <v>MEDIO</v>
      </c>
      <c r="AC205" s="37">
        <f t="shared" si="21"/>
        <v>25</v>
      </c>
      <c r="AD205" s="35">
        <v>0</v>
      </c>
      <c r="AE205" s="41" t="s">
        <v>49</v>
      </c>
      <c r="AF205" s="38" t="str">
        <f>IF(Tabla_Auditorias[[#This Row],[TOTAL
COSTO
NETO]]&lt;&gt;0,"Si","No")</f>
        <v>Si</v>
      </c>
      <c r="AG205" s="39" t="s">
        <v>250</v>
      </c>
      <c r="AH205" s="40"/>
      <c r="AI205" s="51">
        <f t="shared" si="22"/>
        <v>0</v>
      </c>
      <c r="AJ205" s="38" t="str">
        <f t="shared" si="23"/>
        <v>Pendiente</v>
      </c>
    </row>
    <row r="206" spans="1:36" s="31" customFormat="1" ht="25.5" customHeight="1" x14ac:dyDescent="0.2">
      <c r="A206" s="32">
        <v>202</v>
      </c>
      <c r="B206" s="33" t="s">
        <v>76</v>
      </c>
      <c r="C206" s="32" t="s">
        <v>51</v>
      </c>
      <c r="D206" s="32" t="s">
        <v>52</v>
      </c>
      <c r="E206" s="32" t="s">
        <v>45</v>
      </c>
      <c r="F206" s="32">
        <v>1733</v>
      </c>
      <c r="G206" s="33" t="s">
        <v>46</v>
      </c>
      <c r="H206" s="32" t="s">
        <v>47</v>
      </c>
      <c r="I206" s="32"/>
      <c r="J206" s="34">
        <v>45775</v>
      </c>
      <c r="K206" s="34">
        <v>45775</v>
      </c>
      <c r="L206" s="32" t="s">
        <v>48</v>
      </c>
      <c r="M206" s="48">
        <v>51761.022900000011</v>
      </c>
      <c r="N206" s="48">
        <v>0</v>
      </c>
      <c r="O206" s="48">
        <v>0</v>
      </c>
      <c r="P206" s="48">
        <v>0</v>
      </c>
      <c r="Q206" s="48">
        <v>0</v>
      </c>
      <c r="R206" s="48">
        <v>0</v>
      </c>
      <c r="S206" s="48"/>
      <c r="T206" s="48">
        <f t="shared" si="18"/>
        <v>0</v>
      </c>
      <c r="U206" s="48">
        <f t="shared" si="19"/>
        <v>0</v>
      </c>
      <c r="V206" s="49">
        <f>+Tabla_Auditorias[[#This Row],[AJUSTE
EGRESO
COSTO]]+Tabla_Auditorias[[#This Row],[AJUSTE EGRESO
MAL ESTADO]]+Tabla_Auditorias[[#This Row],[AJUSTE
INGRESO
COSTO]]</f>
        <v>0</v>
      </c>
      <c r="W206" s="48">
        <v>-642.36</v>
      </c>
      <c r="X206" s="48"/>
      <c r="Y206" s="48"/>
      <c r="Z206" s="48">
        <v>642.36</v>
      </c>
      <c r="AA206" s="50">
        <f>+SUM(Tabla_Auditorias[[#This Row],[AJUSTE
EGRESO
COSTO]:[AJUSTE
INGRESO
COSTO]])</f>
        <v>0</v>
      </c>
      <c r="AB206" s="36" t="str">
        <f t="shared" si="20"/>
        <v>BAJO</v>
      </c>
      <c r="AC206" s="37">
        <f t="shared" si="21"/>
        <v>0</v>
      </c>
      <c r="AD206" s="35">
        <v>0</v>
      </c>
      <c r="AE206" s="41" t="s">
        <v>49</v>
      </c>
      <c r="AF206" s="38" t="str">
        <f>IF(Tabla_Auditorias[[#This Row],[TOTAL
COSTO
NETO]]&lt;&gt;0,"Si","No")</f>
        <v>No</v>
      </c>
      <c r="AG206" s="39" t="s">
        <v>251</v>
      </c>
      <c r="AH206" s="40"/>
      <c r="AI206" s="51" t="str">
        <f t="shared" si="22"/>
        <v/>
      </c>
      <c r="AJ206" s="38" t="str">
        <f t="shared" si="23"/>
        <v>Pendiente</v>
      </c>
    </row>
    <row r="207" spans="1:36" s="31" customFormat="1" ht="25.5" customHeight="1" x14ac:dyDescent="0.2">
      <c r="A207" s="32">
        <v>203</v>
      </c>
      <c r="B207" s="33" t="s">
        <v>252</v>
      </c>
      <c r="C207" s="32" t="s">
        <v>88</v>
      </c>
      <c r="D207" s="32" t="s">
        <v>228</v>
      </c>
      <c r="E207" s="32" t="s">
        <v>45</v>
      </c>
      <c r="F207" s="32">
        <v>1451</v>
      </c>
      <c r="G207" s="33" t="s">
        <v>46</v>
      </c>
      <c r="H207" s="32" t="s">
        <v>47</v>
      </c>
      <c r="I207" s="32"/>
      <c r="J207" s="34">
        <v>45775</v>
      </c>
      <c r="K207" s="34">
        <v>45775</v>
      </c>
      <c r="L207" s="32" t="s">
        <v>48</v>
      </c>
      <c r="M207" s="48">
        <v>8340.7199999999993</v>
      </c>
      <c r="N207" s="48">
        <v>2029.91</v>
      </c>
      <c r="O207" s="48">
        <v>-164.934102</v>
      </c>
      <c r="P207" s="48">
        <v>50.1</v>
      </c>
      <c r="Q207" s="48">
        <v>-29.374833333333331</v>
      </c>
      <c r="R207" s="48">
        <v>0</v>
      </c>
      <c r="S207" s="48"/>
      <c r="T207" s="48">
        <f t="shared" si="18"/>
        <v>1885.7010646666668</v>
      </c>
      <c r="U207" s="48">
        <f t="shared" si="19"/>
        <v>1885.7010646666668</v>
      </c>
      <c r="V207" s="49">
        <f>+Tabla_Auditorias[[#This Row],[AJUSTE
EGRESO
COSTO]]+Tabla_Auditorias[[#This Row],[AJUSTE EGRESO
MAL ESTADO]]+Tabla_Auditorias[[#This Row],[AJUSTE
INGRESO
COSTO]]</f>
        <v>764.85619847428575</v>
      </c>
      <c r="W207" s="48">
        <v>-359.48587817333328</v>
      </c>
      <c r="X207" s="48"/>
      <c r="Y207" s="48"/>
      <c r="Z207" s="48">
        <v>1124.342076647619</v>
      </c>
      <c r="AA207" s="50">
        <f>+SUM(Tabla_Auditorias[[#This Row],[AJUSTE
EGRESO
COSTO]:[AJUSTE
INGRESO
COSTO]])</f>
        <v>764.85619847428575</v>
      </c>
      <c r="AB207" s="36" t="str">
        <f t="shared" si="20"/>
        <v>ALTO</v>
      </c>
      <c r="AC207" s="37">
        <f t="shared" si="21"/>
        <v>52</v>
      </c>
      <c r="AD207" s="35">
        <v>0</v>
      </c>
      <c r="AE207" s="41" t="s">
        <v>49</v>
      </c>
      <c r="AF207" s="38" t="str">
        <f>IF(Tabla_Auditorias[[#This Row],[TOTAL
COSTO
NETO]]&lt;&gt;0,"Si","No")</f>
        <v>Si</v>
      </c>
      <c r="AG207" s="39" t="s">
        <v>253</v>
      </c>
      <c r="AH207" s="40"/>
      <c r="AI207" s="51" t="str">
        <f t="shared" si="22"/>
        <v/>
      </c>
      <c r="AJ207" s="38" t="str">
        <f t="shared" si="23"/>
        <v>No Aplica</v>
      </c>
    </row>
    <row r="208" spans="1:36" s="31" customFormat="1" ht="25.5" customHeight="1" x14ac:dyDescent="0.2">
      <c r="A208" s="32">
        <v>204</v>
      </c>
      <c r="B208" s="33" t="s">
        <v>67</v>
      </c>
      <c r="C208" s="32" t="s">
        <v>43</v>
      </c>
      <c r="D208" s="32" t="s">
        <v>44</v>
      </c>
      <c r="E208" s="32" t="s">
        <v>58</v>
      </c>
      <c r="F208" s="32">
        <v>1504</v>
      </c>
      <c r="G208" s="33" t="s">
        <v>59</v>
      </c>
      <c r="H208" s="32" t="s">
        <v>47</v>
      </c>
      <c r="I208" s="32"/>
      <c r="J208" s="34">
        <v>45776</v>
      </c>
      <c r="K208" s="34">
        <v>45776</v>
      </c>
      <c r="L208" s="32" t="s">
        <v>48</v>
      </c>
      <c r="M208" s="48">
        <v>211112.17739999999</v>
      </c>
      <c r="N208" s="48">
        <v>99.867400000000004</v>
      </c>
      <c r="O208" s="48">
        <v>-322.44880000000001</v>
      </c>
      <c r="P208" s="48">
        <v>-238.8605</v>
      </c>
      <c r="Q208" s="48">
        <v>-11.706099999999999</v>
      </c>
      <c r="R208" s="48">
        <v>0</v>
      </c>
      <c r="S208" s="48"/>
      <c r="T208" s="48">
        <f t="shared" si="18"/>
        <v>-473.14800000000002</v>
      </c>
      <c r="U208" s="48">
        <f t="shared" si="19"/>
        <v>-473.14800000000002</v>
      </c>
      <c r="V208" s="49">
        <f>+Tabla_Auditorias[[#This Row],[AJUSTE
EGRESO
COSTO]]+Tabla_Auditorias[[#This Row],[AJUSTE EGRESO
MAL ESTADO]]+Tabla_Auditorias[[#This Row],[AJUSTE
INGRESO
COSTO]]</f>
        <v>-290.70020000000005</v>
      </c>
      <c r="W208" s="48">
        <v>-732.35630000000003</v>
      </c>
      <c r="X208" s="48"/>
      <c r="Y208" s="48"/>
      <c r="Z208" s="48">
        <v>441.65609999999998</v>
      </c>
      <c r="AA208" s="50">
        <f>+SUM(Tabla_Auditorias[[#This Row],[AJUSTE
EGRESO
COSTO]:[AJUSTE
INGRESO
COSTO]])</f>
        <v>-290.70020000000005</v>
      </c>
      <c r="AB208" s="36" t="str">
        <f t="shared" si="20"/>
        <v>MEDIO</v>
      </c>
      <c r="AC208" s="37">
        <f t="shared" si="21"/>
        <v>30</v>
      </c>
      <c r="AD208" s="35">
        <v>0</v>
      </c>
      <c r="AE208" s="41" t="s">
        <v>49</v>
      </c>
      <c r="AF208" s="38" t="str">
        <f>IF(Tabla_Auditorias[[#This Row],[TOTAL
COSTO
NETO]]&lt;&gt;0,"Si","No")</f>
        <v>Si</v>
      </c>
      <c r="AG208" s="39" t="s">
        <v>254</v>
      </c>
      <c r="AH208" s="40"/>
      <c r="AI208" s="51">
        <f t="shared" si="22"/>
        <v>0</v>
      </c>
      <c r="AJ208" s="38" t="str">
        <f t="shared" si="23"/>
        <v>Pendiente</v>
      </c>
    </row>
    <row r="209" spans="1:36" s="31" customFormat="1" ht="25.5" customHeight="1" x14ac:dyDescent="0.2">
      <c r="A209" s="32">
        <v>205</v>
      </c>
      <c r="B209" s="33" t="s">
        <v>160</v>
      </c>
      <c r="C209" s="32" t="s">
        <v>51</v>
      </c>
      <c r="D209" s="32" t="s">
        <v>52</v>
      </c>
      <c r="E209" s="32" t="s">
        <v>53</v>
      </c>
      <c r="F209" s="32">
        <v>1739</v>
      </c>
      <c r="G209" s="33" t="s">
        <v>54</v>
      </c>
      <c r="H209" s="32" t="s">
        <v>47</v>
      </c>
      <c r="I209" s="32"/>
      <c r="J209" s="34">
        <v>45784</v>
      </c>
      <c r="K209" s="34">
        <v>45784</v>
      </c>
      <c r="L209" s="32" t="s">
        <v>48</v>
      </c>
      <c r="M209" s="48">
        <v>20348.18</v>
      </c>
      <c r="N209" s="48">
        <v>0</v>
      </c>
      <c r="O209" s="48">
        <v>0</v>
      </c>
      <c r="P209" s="48">
        <v>0</v>
      </c>
      <c r="Q209" s="48">
        <v>0</v>
      </c>
      <c r="R209" s="48">
        <v>0</v>
      </c>
      <c r="S209" s="48"/>
      <c r="T209" s="48">
        <f t="shared" si="18"/>
        <v>0</v>
      </c>
      <c r="U209" s="48">
        <f t="shared" si="19"/>
        <v>0</v>
      </c>
      <c r="V209" s="49">
        <f>+Tabla_Auditorias[[#This Row],[AJUSTE
EGRESO
COSTO]]+Tabla_Auditorias[[#This Row],[AJUSTE EGRESO
MAL ESTADO]]+Tabla_Auditorias[[#This Row],[AJUSTE
INGRESO
COSTO]]</f>
        <v>-0.54999999999999982</v>
      </c>
      <c r="W209" s="48">
        <v>-6.95</v>
      </c>
      <c r="X209" s="48"/>
      <c r="Y209" s="48"/>
      <c r="Z209" s="48">
        <v>6.4</v>
      </c>
      <c r="AA209" s="50">
        <f>+SUM(Tabla_Auditorias[[#This Row],[AJUSTE
EGRESO
COSTO]:[AJUSTE
INGRESO
COSTO]])</f>
        <v>-0.54999999999999982</v>
      </c>
      <c r="AB209" s="36" t="str">
        <f t="shared" si="20"/>
        <v>BAJO</v>
      </c>
      <c r="AC209" s="37">
        <f t="shared" si="21"/>
        <v>0</v>
      </c>
      <c r="AD209" s="35">
        <v>0</v>
      </c>
      <c r="AE209" s="41" t="s">
        <v>49</v>
      </c>
      <c r="AF209" s="38" t="str">
        <f>IF(Tabla_Auditorias[[#This Row],[TOTAL
COSTO
NETO]]&lt;&gt;0,"Si","No")</f>
        <v>Si</v>
      </c>
      <c r="AG209" s="39" t="s">
        <v>243</v>
      </c>
      <c r="AH209" s="40"/>
      <c r="AI209" s="51">
        <f t="shared" si="22"/>
        <v>0</v>
      </c>
      <c r="AJ209" s="38" t="str">
        <f t="shared" si="23"/>
        <v>Pendiente</v>
      </c>
    </row>
    <row r="210" spans="1:36" s="31" customFormat="1" ht="25.5" customHeight="1" x14ac:dyDescent="0.2">
      <c r="A210" s="32">
        <v>206</v>
      </c>
      <c r="B210" s="33" t="s">
        <v>61</v>
      </c>
      <c r="C210" s="32" t="s">
        <v>43</v>
      </c>
      <c r="D210" s="32" t="s">
        <v>44</v>
      </c>
      <c r="E210" s="32" t="s">
        <v>53</v>
      </c>
      <c r="F210" s="32">
        <v>1513</v>
      </c>
      <c r="G210" s="33" t="s">
        <v>54</v>
      </c>
      <c r="H210" s="32" t="s">
        <v>47</v>
      </c>
      <c r="I210" s="32"/>
      <c r="J210" s="34">
        <v>45786</v>
      </c>
      <c r="K210" s="34">
        <v>45786</v>
      </c>
      <c r="L210" s="32" t="s">
        <v>48</v>
      </c>
      <c r="M210" s="48">
        <v>181950.53</v>
      </c>
      <c r="N210" s="48">
        <v>0</v>
      </c>
      <c r="O210" s="48">
        <v>0</v>
      </c>
      <c r="P210" s="48">
        <v>0</v>
      </c>
      <c r="Q210" s="48">
        <v>0</v>
      </c>
      <c r="R210" s="48">
        <v>0</v>
      </c>
      <c r="S210" s="48"/>
      <c r="T210" s="48">
        <f t="shared" si="18"/>
        <v>0</v>
      </c>
      <c r="U210" s="48">
        <f t="shared" si="19"/>
        <v>0</v>
      </c>
      <c r="V210" s="49">
        <f>+Tabla_Auditorias[[#This Row],[AJUSTE
EGRESO
COSTO]]+Tabla_Auditorias[[#This Row],[AJUSTE EGRESO
MAL ESTADO]]+Tabla_Auditorias[[#This Row],[AJUSTE
INGRESO
COSTO]]</f>
        <v>0</v>
      </c>
      <c r="W210" s="48">
        <v>0</v>
      </c>
      <c r="X210" s="48"/>
      <c r="Y210" s="48"/>
      <c r="Z210" s="48">
        <v>0</v>
      </c>
      <c r="AA210" s="50">
        <f>+SUM(Tabla_Auditorias[[#This Row],[AJUSTE
EGRESO
COSTO]:[AJUSTE
INGRESO
COSTO]])</f>
        <v>0</v>
      </c>
      <c r="AB210" s="36" t="str">
        <f t="shared" si="20"/>
        <v>BAJO</v>
      </c>
      <c r="AC210" s="37">
        <f t="shared" si="21"/>
        <v>0</v>
      </c>
      <c r="AD210" s="35">
        <v>0</v>
      </c>
      <c r="AE210" s="41" t="s">
        <v>49</v>
      </c>
      <c r="AF210" s="38" t="str">
        <f>IF(Tabla_Auditorias[[#This Row],[TOTAL
COSTO
NETO]]&lt;&gt;0,"Si","No")</f>
        <v>No</v>
      </c>
      <c r="AG210" s="39" t="s">
        <v>183</v>
      </c>
      <c r="AH210" s="40"/>
      <c r="AI210" s="51" t="str">
        <f t="shared" si="22"/>
        <v/>
      </c>
      <c r="AJ210" s="38" t="str">
        <f t="shared" si="23"/>
        <v>Pendiente</v>
      </c>
    </row>
    <row r="211" spans="1:36" s="31" customFormat="1" ht="25.5" customHeight="1" x14ac:dyDescent="0.2">
      <c r="A211" s="32">
        <v>207</v>
      </c>
      <c r="B211" s="33" t="s">
        <v>144</v>
      </c>
      <c r="C211" s="32" t="s">
        <v>43</v>
      </c>
      <c r="D211" s="32" t="s">
        <v>145</v>
      </c>
      <c r="E211" s="32" t="s">
        <v>45</v>
      </c>
      <c r="F211" s="32">
        <v>1565</v>
      </c>
      <c r="G211" s="33" t="s">
        <v>46</v>
      </c>
      <c r="H211" s="32" t="s">
        <v>47</v>
      </c>
      <c r="I211" s="32"/>
      <c r="J211" s="34">
        <v>45790</v>
      </c>
      <c r="K211" s="34">
        <v>45790</v>
      </c>
      <c r="L211" s="32" t="s">
        <v>48</v>
      </c>
      <c r="M211" s="48">
        <v>1608721.1157000009</v>
      </c>
      <c r="N211" s="48">
        <v>5905.59</v>
      </c>
      <c r="O211" s="48">
        <v>-9049.3799999999992</v>
      </c>
      <c r="P211" s="48">
        <v>1273.0673293382499</v>
      </c>
      <c r="Q211" s="48">
        <v>0</v>
      </c>
      <c r="R211" s="48">
        <v>-2740.4789000000001</v>
      </c>
      <c r="S211" s="48"/>
      <c r="T211" s="48">
        <f t="shared" si="18"/>
        <v>-4611.2015706617494</v>
      </c>
      <c r="U211" s="48">
        <f t="shared" si="19"/>
        <v>-1870.7226706617491</v>
      </c>
      <c r="V211" s="49">
        <f>+Tabla_Auditorias[[#This Row],[AJUSTE
EGRESO
COSTO]]+Tabla_Auditorias[[#This Row],[AJUSTE EGRESO
MAL ESTADO]]+Tabla_Auditorias[[#This Row],[AJUSTE
INGRESO
COSTO]]</f>
        <v>-1870.7269384069332</v>
      </c>
      <c r="W211" s="48">
        <v>-33019.678430999993</v>
      </c>
      <c r="X211" s="48"/>
      <c r="Y211" s="48"/>
      <c r="Z211" s="48">
        <v>31148.95149259306</v>
      </c>
      <c r="AA211" s="50">
        <f>+SUM(Tabla_Auditorias[[#This Row],[AJUSTE
EGRESO
COSTO]:[AJUSTE
INGRESO
COSTO]])</f>
        <v>-1870.7269384069332</v>
      </c>
      <c r="AB211" s="36" t="str">
        <f t="shared" si="20"/>
        <v>ALTO</v>
      </c>
      <c r="AC211" s="37">
        <f t="shared" si="21"/>
        <v>37</v>
      </c>
      <c r="AD211" s="35">
        <v>0</v>
      </c>
      <c r="AE211" s="41" t="s">
        <v>49</v>
      </c>
      <c r="AF211" s="38" t="str">
        <f>IF(Tabla_Auditorias[[#This Row],[TOTAL
COSTO
NETO]]&lt;&gt;0,"Si","No")</f>
        <v>Si</v>
      </c>
      <c r="AG211" s="39" t="s">
        <v>255</v>
      </c>
      <c r="AH211" s="40"/>
      <c r="AI211" s="51">
        <f t="shared" si="22"/>
        <v>0</v>
      </c>
      <c r="AJ211" s="38" t="str">
        <f t="shared" si="23"/>
        <v>Pendiente</v>
      </c>
    </row>
    <row r="212" spans="1:36" s="31" customFormat="1" ht="25.5" customHeight="1" x14ac:dyDescent="0.2">
      <c r="A212" s="32">
        <v>208</v>
      </c>
      <c r="B212" s="33" t="s">
        <v>83</v>
      </c>
      <c r="C212" s="32" t="s">
        <v>51</v>
      </c>
      <c r="D212" s="32" t="s">
        <v>57</v>
      </c>
      <c r="E212" s="32" t="s">
        <v>58</v>
      </c>
      <c r="F212" s="32">
        <v>1704</v>
      </c>
      <c r="G212" s="33" t="s">
        <v>59</v>
      </c>
      <c r="H212" s="32" t="s">
        <v>47</v>
      </c>
      <c r="I212" s="32"/>
      <c r="J212" s="34">
        <v>45791</v>
      </c>
      <c r="K212" s="34">
        <v>45791</v>
      </c>
      <c r="L212" s="32" t="s">
        <v>48</v>
      </c>
      <c r="M212" s="48">
        <v>93251.5239</v>
      </c>
      <c r="N212" s="48">
        <v>0</v>
      </c>
      <c r="O212" s="48">
        <v>-1580.6189999999999</v>
      </c>
      <c r="P212" s="48">
        <v>-7.0872000000000002</v>
      </c>
      <c r="Q212" s="48">
        <v>0</v>
      </c>
      <c r="R212" s="48">
        <v>-406.71</v>
      </c>
      <c r="S212" s="48"/>
      <c r="T212" s="48">
        <f t="shared" si="18"/>
        <v>-1994.4161999999999</v>
      </c>
      <c r="U212" s="48">
        <f t="shared" si="19"/>
        <v>-1587.7061999999999</v>
      </c>
      <c r="V212" s="49">
        <f>+Tabla_Auditorias[[#This Row],[AJUSTE
EGRESO
COSTO]]+Tabla_Auditorias[[#This Row],[AJUSTE EGRESO
MAL ESTADO]]+Tabla_Auditorias[[#This Row],[AJUSTE
INGRESO
COSTO]]</f>
        <v>-1157.42547713156</v>
      </c>
      <c r="W212" s="48">
        <v>-2188.9175771315599</v>
      </c>
      <c r="X212" s="48"/>
      <c r="Y212" s="48"/>
      <c r="Z212" s="48">
        <v>1031.4920999999999</v>
      </c>
      <c r="AA212" s="50">
        <f>+SUM(Tabla_Auditorias[[#This Row],[AJUSTE
EGRESO
COSTO]:[AJUSTE
INGRESO
COSTO]])</f>
        <v>-1157.42547713156</v>
      </c>
      <c r="AB212" s="36" t="str">
        <f t="shared" si="20"/>
        <v>ALTO</v>
      </c>
      <c r="AC212" s="37">
        <f t="shared" si="21"/>
        <v>52</v>
      </c>
      <c r="AD212" s="35">
        <v>0</v>
      </c>
      <c r="AE212" s="41" t="s">
        <v>49</v>
      </c>
      <c r="AF212" s="38" t="str">
        <f>IF(Tabla_Auditorias[[#This Row],[TOTAL
COSTO
NETO]]&lt;&gt;0,"Si","No")</f>
        <v>Si</v>
      </c>
      <c r="AG212" s="39" t="s">
        <v>256</v>
      </c>
      <c r="AH212" s="40"/>
      <c r="AI212" s="51">
        <f t="shared" si="22"/>
        <v>0</v>
      </c>
      <c r="AJ212" s="38" t="str">
        <f t="shared" si="23"/>
        <v>Pendiente</v>
      </c>
    </row>
    <row r="213" spans="1:36" s="31" customFormat="1" ht="25.5" customHeight="1" x14ac:dyDescent="0.2">
      <c r="A213" s="32">
        <v>209</v>
      </c>
      <c r="B213" s="33" t="s">
        <v>50</v>
      </c>
      <c r="C213" s="32" t="s">
        <v>51</v>
      </c>
      <c r="D213" s="32" t="s">
        <v>52</v>
      </c>
      <c r="E213" s="32" t="s">
        <v>53</v>
      </c>
      <c r="F213" s="32">
        <v>1732</v>
      </c>
      <c r="G213" s="33" t="s">
        <v>54</v>
      </c>
      <c r="H213" s="32" t="s">
        <v>47</v>
      </c>
      <c r="I213" s="32"/>
      <c r="J213" s="34">
        <v>45792</v>
      </c>
      <c r="K213" s="34">
        <v>45792</v>
      </c>
      <c r="L213" s="32" t="s">
        <v>48</v>
      </c>
      <c r="M213" s="48">
        <v>45322.92</v>
      </c>
      <c r="N213" s="48">
        <v>0</v>
      </c>
      <c r="O213" s="48">
        <v>0</v>
      </c>
      <c r="P213" s="48">
        <v>0</v>
      </c>
      <c r="Q213" s="48">
        <v>0</v>
      </c>
      <c r="R213" s="48">
        <v>0</v>
      </c>
      <c r="S213" s="48"/>
      <c r="T213" s="48">
        <f t="shared" si="18"/>
        <v>0</v>
      </c>
      <c r="U213" s="48">
        <f t="shared" si="19"/>
        <v>0</v>
      </c>
      <c r="V213" s="49">
        <f>+Tabla_Auditorias[[#This Row],[AJUSTE
EGRESO
COSTO]]+Tabla_Auditorias[[#This Row],[AJUSTE EGRESO
MAL ESTADO]]+Tabla_Auditorias[[#This Row],[AJUSTE
INGRESO
COSTO]]</f>
        <v>0</v>
      </c>
      <c r="W213" s="48">
        <v>0</v>
      </c>
      <c r="X213" s="48"/>
      <c r="Y213" s="48"/>
      <c r="Z213" s="48">
        <v>0</v>
      </c>
      <c r="AA213" s="50">
        <f>+SUM(Tabla_Auditorias[[#This Row],[AJUSTE
EGRESO
COSTO]:[AJUSTE
INGRESO
COSTO]])</f>
        <v>0</v>
      </c>
      <c r="AB213" s="36" t="str">
        <f t="shared" si="20"/>
        <v>BAJO</v>
      </c>
      <c r="AC213" s="37">
        <f t="shared" si="21"/>
        <v>0</v>
      </c>
      <c r="AD213" s="35">
        <v>0</v>
      </c>
      <c r="AE213" s="41" t="s">
        <v>49</v>
      </c>
      <c r="AF213" s="38" t="str">
        <f>IF(Tabla_Auditorias[[#This Row],[TOTAL
COSTO
NETO]]&lt;&gt;0,"Si","No")</f>
        <v>No</v>
      </c>
      <c r="AG213" s="39" t="s">
        <v>183</v>
      </c>
      <c r="AH213" s="40"/>
      <c r="AI213" s="51" t="str">
        <f t="shared" si="22"/>
        <v/>
      </c>
      <c r="AJ213" s="38" t="str">
        <f t="shared" si="23"/>
        <v>Pendiente</v>
      </c>
    </row>
    <row r="214" spans="1:36" s="31" customFormat="1" ht="25.5" customHeight="1" x14ac:dyDescent="0.2">
      <c r="A214" s="32">
        <v>210</v>
      </c>
      <c r="B214" s="33" t="s">
        <v>123</v>
      </c>
      <c r="C214" s="32" t="s">
        <v>51</v>
      </c>
      <c r="D214" s="32" t="s">
        <v>64</v>
      </c>
      <c r="E214" s="32" t="s">
        <v>58</v>
      </c>
      <c r="F214" s="32">
        <v>1726</v>
      </c>
      <c r="G214" s="33" t="s">
        <v>59</v>
      </c>
      <c r="H214" s="32" t="s">
        <v>47</v>
      </c>
      <c r="I214" s="32"/>
      <c r="J214" s="34">
        <v>45797</v>
      </c>
      <c r="K214" s="34">
        <v>45797</v>
      </c>
      <c r="L214" s="32" t="s">
        <v>48</v>
      </c>
      <c r="M214" s="48">
        <v>606972.69530000002</v>
      </c>
      <c r="N214" s="48">
        <v>0</v>
      </c>
      <c r="O214" s="48">
        <v>-556.04570000000001</v>
      </c>
      <c r="P214" s="48">
        <v>-8.4920000000000204</v>
      </c>
      <c r="Q214" s="48">
        <v>0</v>
      </c>
      <c r="R214" s="48">
        <v>0</v>
      </c>
      <c r="S214" s="48"/>
      <c r="T214" s="48">
        <f t="shared" si="18"/>
        <v>-564.53770000000009</v>
      </c>
      <c r="U214" s="48">
        <f t="shared" si="19"/>
        <v>-564.53770000000009</v>
      </c>
      <c r="V214" s="49">
        <f>+Tabla_Auditorias[[#This Row],[AJUSTE
EGRESO
COSTO]]+Tabla_Auditorias[[#This Row],[AJUSTE EGRESO
MAL ESTADO]]+Tabla_Auditorias[[#This Row],[AJUSTE
INGRESO
COSTO]]</f>
        <v>-290.52437499999996</v>
      </c>
      <c r="W214" s="48">
        <v>-511.32497499999999</v>
      </c>
      <c r="X214" s="48"/>
      <c r="Y214" s="48"/>
      <c r="Z214" s="48">
        <v>220.8006</v>
      </c>
      <c r="AA214" s="50">
        <f>+SUM(Tabla_Auditorias[[#This Row],[AJUSTE
EGRESO
COSTO]:[AJUSTE
INGRESO
COSTO]])</f>
        <v>-290.52437499999996</v>
      </c>
      <c r="AB214" s="36" t="str">
        <f t="shared" si="20"/>
        <v>MEDIO</v>
      </c>
      <c r="AC214" s="37">
        <f t="shared" si="21"/>
        <v>32</v>
      </c>
      <c r="AD214" s="35">
        <v>0</v>
      </c>
      <c r="AE214" s="41" t="s">
        <v>49</v>
      </c>
      <c r="AF214" s="38" t="str">
        <f>IF(Tabla_Auditorias[[#This Row],[TOTAL
COSTO
NETO]]&lt;&gt;0,"Si","No")</f>
        <v>Si</v>
      </c>
      <c r="AG214" s="39" t="s">
        <v>257</v>
      </c>
      <c r="AH214" s="40"/>
      <c r="AI214" s="51">
        <f t="shared" si="22"/>
        <v>0</v>
      </c>
      <c r="AJ214" s="38" t="str">
        <f t="shared" si="23"/>
        <v>Pendiente</v>
      </c>
    </row>
    <row r="215" spans="1:36" s="31" customFormat="1" ht="25.5" customHeight="1" x14ac:dyDescent="0.2">
      <c r="A215" s="32">
        <v>211</v>
      </c>
      <c r="B215" s="33" t="s">
        <v>220</v>
      </c>
      <c r="C215" s="32" t="s">
        <v>51</v>
      </c>
      <c r="D215" s="32" t="s">
        <v>52</v>
      </c>
      <c r="E215" s="32" t="s">
        <v>45</v>
      </c>
      <c r="F215" s="32">
        <v>1744</v>
      </c>
      <c r="G215" s="33" t="s">
        <v>46</v>
      </c>
      <c r="H215" s="32" t="s">
        <v>47</v>
      </c>
      <c r="I215" s="32"/>
      <c r="J215" s="34">
        <v>45799</v>
      </c>
      <c r="K215" s="34">
        <v>45799</v>
      </c>
      <c r="L215" s="32" t="s">
        <v>48</v>
      </c>
      <c r="M215" s="48">
        <v>12410.61</v>
      </c>
      <c r="N215" s="48">
        <v>0</v>
      </c>
      <c r="O215" s="48">
        <v>0</v>
      </c>
      <c r="P215" s="48">
        <v>0</v>
      </c>
      <c r="Q215" s="48">
        <v>0</v>
      </c>
      <c r="R215" s="48">
        <v>0</v>
      </c>
      <c r="S215" s="48"/>
      <c r="T215" s="48">
        <f t="shared" si="18"/>
        <v>0</v>
      </c>
      <c r="U215" s="48">
        <f t="shared" si="19"/>
        <v>0</v>
      </c>
      <c r="V215" s="49">
        <f>+Tabla_Auditorias[[#This Row],[AJUSTE
EGRESO
COSTO]]+Tabla_Auditorias[[#This Row],[AJUSTE EGRESO
MAL ESTADO]]+Tabla_Auditorias[[#This Row],[AJUSTE
INGRESO
COSTO]]</f>
        <v>0</v>
      </c>
      <c r="W215" s="48">
        <v>0</v>
      </c>
      <c r="X215" s="48"/>
      <c r="Y215" s="48"/>
      <c r="Z215" s="48">
        <v>0</v>
      </c>
      <c r="AA215" s="50">
        <f>+SUM(Tabla_Auditorias[[#This Row],[AJUSTE
EGRESO
COSTO]:[AJUSTE
INGRESO
COSTO]])</f>
        <v>0</v>
      </c>
      <c r="AB215" s="36" t="str">
        <f t="shared" si="20"/>
        <v>BAJO</v>
      </c>
      <c r="AC215" s="37">
        <f t="shared" si="21"/>
        <v>0</v>
      </c>
      <c r="AD215" s="35">
        <v>0</v>
      </c>
      <c r="AE215" s="41" t="s">
        <v>49</v>
      </c>
      <c r="AF215" s="38" t="str">
        <f>IF(Tabla_Auditorias[[#This Row],[TOTAL
COSTO
NETO]]&lt;&gt;0,"Si","No")</f>
        <v>No</v>
      </c>
      <c r="AG215" s="39" t="s">
        <v>221</v>
      </c>
      <c r="AH215" s="40"/>
      <c r="AI215" s="51" t="str">
        <f t="shared" si="22"/>
        <v/>
      </c>
      <c r="AJ215" s="38" t="str">
        <f t="shared" si="23"/>
        <v>Pendiente</v>
      </c>
    </row>
    <row r="216" spans="1:36" s="31" customFormat="1" ht="25.5" customHeight="1" x14ac:dyDescent="0.2">
      <c r="A216" s="32">
        <v>212</v>
      </c>
      <c r="B216" s="33" t="s">
        <v>80</v>
      </c>
      <c r="C216" s="32" t="s">
        <v>51</v>
      </c>
      <c r="D216" s="32" t="s">
        <v>52</v>
      </c>
      <c r="E216" s="32" t="s">
        <v>58</v>
      </c>
      <c r="F216" s="32">
        <v>1731</v>
      </c>
      <c r="G216" s="33" t="s">
        <v>59</v>
      </c>
      <c r="H216" s="32" t="s">
        <v>47</v>
      </c>
      <c r="I216" s="32"/>
      <c r="J216" s="34">
        <v>45799</v>
      </c>
      <c r="K216" s="34">
        <v>45799</v>
      </c>
      <c r="L216" s="32" t="s">
        <v>48</v>
      </c>
      <c r="M216" s="48">
        <v>72161.063599999994</v>
      </c>
      <c r="N216" s="48">
        <v>0</v>
      </c>
      <c r="O216" s="48">
        <v>0</v>
      </c>
      <c r="P216" s="48">
        <v>0</v>
      </c>
      <c r="Q216" s="48">
        <v>0</v>
      </c>
      <c r="R216" s="48">
        <v>0</v>
      </c>
      <c r="S216" s="48"/>
      <c r="T216" s="48">
        <f t="shared" si="18"/>
        <v>0</v>
      </c>
      <c r="U216" s="48">
        <f t="shared" si="19"/>
        <v>0</v>
      </c>
      <c r="V216" s="49">
        <f>+Tabla_Auditorias[[#This Row],[AJUSTE
EGRESO
COSTO]]+Tabla_Auditorias[[#This Row],[AJUSTE EGRESO
MAL ESTADO]]+Tabla_Auditorias[[#This Row],[AJUSTE
INGRESO
COSTO]]</f>
        <v>0</v>
      </c>
      <c r="W216" s="48">
        <v>-26.08</v>
      </c>
      <c r="X216" s="48"/>
      <c r="Y216" s="48"/>
      <c r="Z216" s="48">
        <v>26.08</v>
      </c>
      <c r="AA216" s="50">
        <f>+SUM(Tabla_Auditorias[[#This Row],[AJUSTE
EGRESO
COSTO]:[AJUSTE
INGRESO
COSTO]])</f>
        <v>0</v>
      </c>
      <c r="AB216" s="36" t="str">
        <f t="shared" si="20"/>
        <v>BAJO</v>
      </c>
      <c r="AC216" s="37">
        <f t="shared" si="21"/>
        <v>0</v>
      </c>
      <c r="AD216" s="35">
        <v>0</v>
      </c>
      <c r="AE216" s="41" t="s">
        <v>49</v>
      </c>
      <c r="AF216" s="38" t="str">
        <f>IF(Tabla_Auditorias[[#This Row],[TOTAL
COSTO
NETO]]&lt;&gt;0,"Si","No")</f>
        <v>No</v>
      </c>
      <c r="AG216" s="39" t="s">
        <v>81</v>
      </c>
      <c r="AH216" s="40"/>
      <c r="AI216" s="51" t="str">
        <f t="shared" si="22"/>
        <v/>
      </c>
      <c r="AJ216" s="38" t="str">
        <f t="shared" si="23"/>
        <v>Pendiente</v>
      </c>
    </row>
    <row r="217" spans="1:36" s="31" customFormat="1" ht="25.5" customHeight="1" x14ac:dyDescent="0.2">
      <c r="A217" s="32">
        <v>213</v>
      </c>
      <c r="B217" s="33" t="s">
        <v>69</v>
      </c>
      <c r="C217" s="32" t="s">
        <v>51</v>
      </c>
      <c r="D217" s="32" t="s">
        <v>57</v>
      </c>
      <c r="E217" s="32" t="s">
        <v>53</v>
      </c>
      <c r="F217" s="32">
        <v>1705</v>
      </c>
      <c r="G217" s="33" t="s">
        <v>54</v>
      </c>
      <c r="H217" s="32" t="s">
        <v>47</v>
      </c>
      <c r="I217" s="32"/>
      <c r="J217" s="34">
        <v>45799</v>
      </c>
      <c r="K217" s="34">
        <v>45799</v>
      </c>
      <c r="L217" s="32" t="s">
        <v>48</v>
      </c>
      <c r="M217" s="48">
        <v>121373.62</v>
      </c>
      <c r="N217" s="48">
        <v>334.07</v>
      </c>
      <c r="O217" s="48">
        <v>-1087.92</v>
      </c>
      <c r="P217" s="48">
        <v>-58.52000000000001</v>
      </c>
      <c r="Q217" s="48">
        <v>-482.73</v>
      </c>
      <c r="R217" s="48">
        <v>0</v>
      </c>
      <c r="S217" s="48"/>
      <c r="T217" s="48">
        <f t="shared" si="18"/>
        <v>-1295.1000000000001</v>
      </c>
      <c r="U217" s="48">
        <f t="shared" si="19"/>
        <v>-1295.1000000000001</v>
      </c>
      <c r="V217" s="49">
        <f>+Tabla_Auditorias[[#This Row],[AJUSTE
EGRESO
COSTO]]+Tabla_Auditorias[[#This Row],[AJUSTE EGRESO
MAL ESTADO]]+Tabla_Auditorias[[#This Row],[AJUSTE
INGRESO
COSTO]]</f>
        <v>-939.58999999999992</v>
      </c>
      <c r="W217" s="48">
        <v>-1221.02</v>
      </c>
      <c r="X217" s="48"/>
      <c r="Y217" s="48"/>
      <c r="Z217" s="48">
        <v>281.43</v>
      </c>
      <c r="AA217" s="50">
        <f>+SUM(Tabla_Auditorias[[#This Row],[AJUSTE
EGRESO
COSTO]:[AJUSTE
INGRESO
COSTO]])</f>
        <v>-939.58999999999992</v>
      </c>
      <c r="AB217" s="36" t="str">
        <f t="shared" si="20"/>
        <v>ALTO</v>
      </c>
      <c r="AC217" s="37">
        <f t="shared" si="21"/>
        <v>37</v>
      </c>
      <c r="AD217" s="35">
        <v>0</v>
      </c>
      <c r="AE217" s="41" t="s">
        <v>49</v>
      </c>
      <c r="AF217" s="38" t="str">
        <f>IF(Tabla_Auditorias[[#This Row],[TOTAL
COSTO
NETO]]&lt;&gt;0,"Si","No")</f>
        <v>Si</v>
      </c>
      <c r="AG217" s="39" t="s">
        <v>258</v>
      </c>
      <c r="AH217" s="40"/>
      <c r="AI217" s="51">
        <f t="shared" si="22"/>
        <v>0</v>
      </c>
      <c r="AJ217" s="38" t="str">
        <f t="shared" si="23"/>
        <v>Pendiente</v>
      </c>
    </row>
    <row r="218" spans="1:36" s="31" customFormat="1" ht="25.5" customHeight="1" x14ac:dyDescent="0.2">
      <c r="A218" s="32">
        <v>214</v>
      </c>
      <c r="B218" s="33" t="s">
        <v>101</v>
      </c>
      <c r="C218" s="32" t="s">
        <v>51</v>
      </c>
      <c r="D218" s="32" t="s">
        <v>64</v>
      </c>
      <c r="E218" s="32" t="s">
        <v>53</v>
      </c>
      <c r="F218" s="32">
        <v>1724</v>
      </c>
      <c r="G218" s="33" t="s">
        <v>54</v>
      </c>
      <c r="H218" s="32" t="s">
        <v>47</v>
      </c>
      <c r="I218" s="32"/>
      <c r="J218" s="34">
        <v>45801</v>
      </c>
      <c r="K218" s="34">
        <v>45801</v>
      </c>
      <c r="L218" s="32" t="s">
        <v>48</v>
      </c>
      <c r="M218" s="48">
        <v>332952.13</v>
      </c>
      <c r="N218" s="48">
        <v>158.03</v>
      </c>
      <c r="O218" s="48">
        <v>0</v>
      </c>
      <c r="P218" s="48">
        <v>0</v>
      </c>
      <c r="Q218" s="48">
        <v>0</v>
      </c>
      <c r="R218" s="48">
        <v>0</v>
      </c>
      <c r="S218" s="48"/>
      <c r="T218" s="48">
        <f t="shared" si="18"/>
        <v>158.03</v>
      </c>
      <c r="U218" s="48">
        <f t="shared" si="19"/>
        <v>158.03</v>
      </c>
      <c r="V218" s="49">
        <f>+Tabla_Auditorias[[#This Row],[AJUSTE
EGRESO
COSTO]]+Tabla_Auditorias[[#This Row],[AJUSTE EGRESO
MAL ESTADO]]+Tabla_Auditorias[[#This Row],[AJUSTE
INGRESO
COSTO]]</f>
        <v>105.81</v>
      </c>
      <c r="W218" s="48">
        <v>0</v>
      </c>
      <c r="X218" s="48"/>
      <c r="Y218" s="48"/>
      <c r="Z218" s="48">
        <v>105.81</v>
      </c>
      <c r="AA218" s="50">
        <f>+SUM(Tabla_Auditorias[[#This Row],[AJUSTE
EGRESO
COSTO]:[AJUSTE
INGRESO
COSTO]])</f>
        <v>105.81</v>
      </c>
      <c r="AB218" s="36" t="str">
        <f t="shared" si="20"/>
        <v>BAJO</v>
      </c>
      <c r="AC218" s="37">
        <f t="shared" si="21"/>
        <v>10</v>
      </c>
      <c r="AD218" s="35">
        <v>0</v>
      </c>
      <c r="AE218" s="41" t="s">
        <v>49</v>
      </c>
      <c r="AF218" s="38" t="str">
        <f>IF(Tabla_Auditorias[[#This Row],[TOTAL
COSTO
NETO]]&lt;&gt;0,"Si","No")</f>
        <v>Si</v>
      </c>
      <c r="AG218" s="39" t="s">
        <v>259</v>
      </c>
      <c r="AH218" s="40"/>
      <c r="AI218" s="51" t="str">
        <f t="shared" si="22"/>
        <v/>
      </c>
      <c r="AJ218" s="38" t="str">
        <f t="shared" si="23"/>
        <v>No Aplica</v>
      </c>
    </row>
    <row r="219" spans="1:36" s="31" customFormat="1" ht="25.5" customHeight="1" x14ac:dyDescent="0.2">
      <c r="A219" s="32">
        <v>215</v>
      </c>
      <c r="B219" s="33" t="s">
        <v>260</v>
      </c>
      <c r="C219" s="32" t="s">
        <v>51</v>
      </c>
      <c r="D219" s="32" t="s">
        <v>261</v>
      </c>
      <c r="E219" s="32" t="s">
        <v>45</v>
      </c>
      <c r="F219" s="32">
        <v>3306</v>
      </c>
      <c r="G219" s="33" t="s">
        <v>46</v>
      </c>
      <c r="H219" s="32" t="s">
        <v>47</v>
      </c>
      <c r="I219" s="32"/>
      <c r="J219" s="34">
        <v>45802</v>
      </c>
      <c r="K219" s="34">
        <v>45802</v>
      </c>
      <c r="L219" s="32" t="s">
        <v>48</v>
      </c>
      <c r="M219" s="48">
        <v>990968.31101204793</v>
      </c>
      <c r="N219" s="48">
        <v>2701.55</v>
      </c>
      <c r="O219" s="48">
        <v>-5710.48</v>
      </c>
      <c r="P219" s="48">
        <v>1.1789831671554249</v>
      </c>
      <c r="Q219" s="48">
        <v>-1.74</v>
      </c>
      <c r="R219" s="48">
        <v>0</v>
      </c>
      <c r="S219" s="48"/>
      <c r="T219" s="48">
        <f t="shared" si="18"/>
        <v>-3009.4910168328438</v>
      </c>
      <c r="U219" s="48">
        <f t="shared" si="19"/>
        <v>-3009.4910168328438</v>
      </c>
      <c r="V219" s="49">
        <f>+Tabla_Auditorias[[#This Row],[AJUSTE
EGRESO
COSTO]]+Tabla_Auditorias[[#This Row],[AJUSTE EGRESO
MAL ESTADO]]+Tabla_Auditorias[[#This Row],[AJUSTE
INGRESO
COSTO]]</f>
        <v>-3009.5003421991755</v>
      </c>
      <c r="W219" s="48">
        <v>-5884.3302451331483</v>
      </c>
      <c r="X219" s="48"/>
      <c r="Y219" s="48"/>
      <c r="Z219" s="48">
        <v>2874.8299029339728</v>
      </c>
      <c r="AA219" s="50">
        <f>+SUM(Tabla_Auditorias[[#This Row],[AJUSTE
EGRESO
COSTO]:[AJUSTE
INGRESO
COSTO]])</f>
        <v>-3009.5003421991755</v>
      </c>
      <c r="AB219" s="36" t="str">
        <f t="shared" si="20"/>
        <v>ALTO</v>
      </c>
      <c r="AC219" s="37">
        <f t="shared" si="21"/>
        <v>45</v>
      </c>
      <c r="AD219" s="35">
        <v>0</v>
      </c>
      <c r="AE219" s="41" t="s">
        <v>49</v>
      </c>
      <c r="AF219" s="38" t="str">
        <f>IF(Tabla_Auditorias[[#This Row],[TOTAL
COSTO
NETO]]&lt;&gt;0,"Si","No")</f>
        <v>Si</v>
      </c>
      <c r="AG219" s="39" t="s">
        <v>262</v>
      </c>
      <c r="AH219" s="40"/>
      <c r="AI219" s="51">
        <f t="shared" si="22"/>
        <v>0</v>
      </c>
      <c r="AJ219" s="38" t="str">
        <f t="shared" si="23"/>
        <v>Pendiente</v>
      </c>
    </row>
    <row r="220" spans="1:36" s="31" customFormat="1" ht="25.5" customHeight="1" x14ac:dyDescent="0.2">
      <c r="A220" s="32">
        <v>216</v>
      </c>
      <c r="B220" s="33" t="s">
        <v>42</v>
      </c>
      <c r="C220" s="32" t="s">
        <v>43</v>
      </c>
      <c r="D220" s="32" t="s">
        <v>44</v>
      </c>
      <c r="E220" s="32" t="s">
        <v>45</v>
      </c>
      <c r="F220" s="32">
        <v>1506</v>
      </c>
      <c r="G220" s="33" t="s">
        <v>46</v>
      </c>
      <c r="H220" s="32" t="s">
        <v>47</v>
      </c>
      <c r="I220" s="32"/>
      <c r="J220" s="34">
        <v>45806</v>
      </c>
      <c r="K220" s="34">
        <v>45806</v>
      </c>
      <c r="L220" s="32" t="s">
        <v>48</v>
      </c>
      <c r="M220" s="48">
        <v>164372.85966666651</v>
      </c>
      <c r="N220" s="48">
        <v>173.04</v>
      </c>
      <c r="O220" s="48">
        <v>-871.60000000000025</v>
      </c>
      <c r="P220" s="48">
        <v>16.780000000000008</v>
      </c>
      <c r="Q220" s="48">
        <v>-452.44999999999987</v>
      </c>
      <c r="R220" s="48">
        <v>0</v>
      </c>
      <c r="S220" s="48"/>
      <c r="T220" s="48">
        <f t="shared" si="18"/>
        <v>-1134.2300000000002</v>
      </c>
      <c r="U220" s="48">
        <f t="shared" si="19"/>
        <v>-1134.2300000000002</v>
      </c>
      <c r="V220" s="49">
        <f>+Tabla_Auditorias[[#This Row],[AJUSTE
EGRESO
COSTO]]+Tabla_Auditorias[[#This Row],[AJUSTE EGRESO
MAL ESTADO]]+Tabla_Auditorias[[#This Row],[AJUSTE
INGRESO
COSTO]]</f>
        <v>-581.14546666666695</v>
      </c>
      <c r="W220" s="48">
        <v>-1209.888566666667</v>
      </c>
      <c r="X220" s="48"/>
      <c r="Y220" s="48"/>
      <c r="Z220" s="48">
        <v>628.74310000000003</v>
      </c>
      <c r="AA220" s="50">
        <f>+SUM(Tabla_Auditorias[[#This Row],[AJUSTE
EGRESO
COSTO]:[AJUSTE
INGRESO
COSTO]])</f>
        <v>-581.14546666666695</v>
      </c>
      <c r="AB220" s="36" t="str">
        <f t="shared" si="20"/>
        <v>ALTO</v>
      </c>
      <c r="AC220" s="37">
        <f t="shared" si="21"/>
        <v>37</v>
      </c>
      <c r="AD220" s="35">
        <v>0</v>
      </c>
      <c r="AE220" s="41" t="s">
        <v>49</v>
      </c>
      <c r="AF220" s="38" t="str">
        <f>IF(Tabla_Auditorias[[#This Row],[TOTAL
COSTO
NETO]]&lt;&gt;0,"Si","No")</f>
        <v>Si</v>
      </c>
      <c r="AG220" s="39" t="s">
        <v>263</v>
      </c>
      <c r="AH220" s="40"/>
      <c r="AI220" s="51">
        <f t="shared" si="22"/>
        <v>0</v>
      </c>
      <c r="AJ220" s="38" t="str">
        <f t="shared" si="23"/>
        <v>Pendiente</v>
      </c>
    </row>
    <row r="221" spans="1:36" s="31" customFormat="1" ht="25.5" customHeight="1" x14ac:dyDescent="0.2">
      <c r="A221" s="32">
        <v>217</v>
      </c>
      <c r="B221" s="33" t="s">
        <v>96</v>
      </c>
      <c r="C221" s="32" t="s">
        <v>51</v>
      </c>
      <c r="D221" s="32" t="s">
        <v>57</v>
      </c>
      <c r="E221" s="32" t="s">
        <v>45</v>
      </c>
      <c r="F221" s="32">
        <v>1711</v>
      </c>
      <c r="G221" s="33" t="s">
        <v>46</v>
      </c>
      <c r="H221" s="32" t="s">
        <v>47</v>
      </c>
      <c r="I221" s="32"/>
      <c r="J221" s="34">
        <v>45807</v>
      </c>
      <c r="K221" s="34">
        <v>45807</v>
      </c>
      <c r="L221" s="32" t="s">
        <v>48</v>
      </c>
      <c r="M221" s="48">
        <v>49518.384099999981</v>
      </c>
      <c r="N221" s="48">
        <v>23.91</v>
      </c>
      <c r="O221" s="48">
        <v>-1782.34</v>
      </c>
      <c r="P221" s="48">
        <v>0</v>
      </c>
      <c r="Q221" s="48">
        <v>-240.92</v>
      </c>
      <c r="R221" s="48">
        <v>-26.04</v>
      </c>
      <c r="S221" s="48"/>
      <c r="T221" s="48">
        <f t="shared" si="18"/>
        <v>-2025.3899999999999</v>
      </c>
      <c r="U221" s="48">
        <f t="shared" si="19"/>
        <v>-1999.35</v>
      </c>
      <c r="V221" s="49">
        <f>+Tabla_Auditorias[[#This Row],[AJUSTE
EGRESO
COSTO]]+Tabla_Auditorias[[#This Row],[AJUSTE EGRESO
MAL ESTADO]]+Tabla_Auditorias[[#This Row],[AJUSTE
INGRESO
COSTO]]</f>
        <v>-1007.767371123321</v>
      </c>
      <c r="W221" s="48">
        <v>-1018.650711123321</v>
      </c>
      <c r="X221" s="48"/>
      <c r="Y221" s="48"/>
      <c r="Z221" s="48">
        <v>10.88334</v>
      </c>
      <c r="AA221" s="50">
        <f>+SUM(Tabla_Auditorias[[#This Row],[AJUSTE
EGRESO
COSTO]:[AJUSTE
INGRESO
COSTO]])</f>
        <v>-1007.767371123321</v>
      </c>
      <c r="AB221" s="36" t="str">
        <f t="shared" si="20"/>
        <v>CRÍTICO</v>
      </c>
      <c r="AC221" s="37">
        <f t="shared" si="21"/>
        <v>67</v>
      </c>
      <c r="AD221" s="35">
        <v>0</v>
      </c>
      <c r="AE221" s="41" t="s">
        <v>49</v>
      </c>
      <c r="AF221" s="38" t="str">
        <f>IF(Tabla_Auditorias[[#This Row],[TOTAL
COSTO
NETO]]&lt;&gt;0,"Si","No")</f>
        <v>Si</v>
      </c>
      <c r="AG221" s="39" t="s">
        <v>264</v>
      </c>
      <c r="AH221" s="40"/>
      <c r="AI221" s="51">
        <f t="shared" si="22"/>
        <v>0</v>
      </c>
      <c r="AJ221" s="38" t="str">
        <f t="shared" si="23"/>
        <v>Pendiente</v>
      </c>
    </row>
    <row r="222" spans="1:36" s="31" customFormat="1" ht="25.5" customHeight="1" x14ac:dyDescent="0.2">
      <c r="A222" s="32">
        <v>218</v>
      </c>
      <c r="B222" s="33" t="s">
        <v>208</v>
      </c>
      <c r="C222" s="32" t="s">
        <v>43</v>
      </c>
      <c r="D222" s="32" t="s">
        <v>44</v>
      </c>
      <c r="E222" s="32" t="s">
        <v>58</v>
      </c>
      <c r="F222" s="32">
        <v>1521</v>
      </c>
      <c r="G222" s="33" t="s">
        <v>59</v>
      </c>
      <c r="H222" s="32" t="s">
        <v>47</v>
      </c>
      <c r="I222" s="32"/>
      <c r="J222" s="34">
        <v>45810</v>
      </c>
      <c r="K222" s="34">
        <v>45810</v>
      </c>
      <c r="L222" s="32" t="s">
        <v>48</v>
      </c>
      <c r="M222" s="48">
        <v>207736.80119999999</v>
      </c>
      <c r="N222" s="48">
        <v>0</v>
      </c>
      <c r="O222" s="48">
        <v>-322.13</v>
      </c>
      <c r="P222" s="48">
        <v>-19.6694</v>
      </c>
      <c r="Q222" s="48">
        <v>-24.16</v>
      </c>
      <c r="R222" s="48">
        <v>0</v>
      </c>
      <c r="S222" s="48"/>
      <c r="T222" s="48">
        <f t="shared" si="18"/>
        <v>-365.95940000000002</v>
      </c>
      <c r="U222" s="48">
        <f t="shared" si="19"/>
        <v>-365.95940000000002</v>
      </c>
      <c r="V222" s="49">
        <f>+Tabla_Auditorias[[#This Row],[AJUSTE
EGRESO
COSTO]]+Tabla_Auditorias[[#This Row],[AJUSTE EGRESO
MAL ESTADO]]+Tabla_Auditorias[[#This Row],[AJUSTE
INGRESO
COSTO]]</f>
        <v>-225.30834705882398</v>
      </c>
      <c r="W222" s="48">
        <v>-581.74944705882399</v>
      </c>
      <c r="X222" s="48"/>
      <c r="Y222" s="48"/>
      <c r="Z222" s="48">
        <v>356.44110000000001</v>
      </c>
      <c r="AA222" s="50">
        <f>+SUM(Tabla_Auditorias[[#This Row],[AJUSTE
EGRESO
COSTO]:[AJUSTE
INGRESO
COSTO]])</f>
        <v>-225.30834705882398</v>
      </c>
      <c r="AB222" s="36" t="str">
        <f t="shared" si="20"/>
        <v>MEDIO</v>
      </c>
      <c r="AC222" s="37">
        <f t="shared" si="21"/>
        <v>30</v>
      </c>
      <c r="AD222" s="35">
        <v>0</v>
      </c>
      <c r="AE222" s="41" t="s">
        <v>49</v>
      </c>
      <c r="AF222" s="38" t="str">
        <f>IF(Tabla_Auditorias[[#This Row],[TOTAL
COSTO
NETO]]&lt;&gt;0,"Si","No")</f>
        <v>Si</v>
      </c>
      <c r="AG222" s="39" t="s">
        <v>265</v>
      </c>
      <c r="AH222" s="40"/>
      <c r="AI222" s="51">
        <f t="shared" si="22"/>
        <v>0</v>
      </c>
      <c r="AJ222" s="38" t="str">
        <f t="shared" si="23"/>
        <v>Pendiente</v>
      </c>
    </row>
    <row r="223" spans="1:36" s="31" customFormat="1" ht="25.5" customHeight="1" x14ac:dyDescent="0.2">
      <c r="A223" s="32">
        <v>219</v>
      </c>
      <c r="B223" s="33" t="s">
        <v>105</v>
      </c>
      <c r="C223" s="32" t="s">
        <v>51</v>
      </c>
      <c r="D223" s="32" t="s">
        <v>57</v>
      </c>
      <c r="E223" s="32" t="s">
        <v>53</v>
      </c>
      <c r="F223" s="32">
        <v>1710</v>
      </c>
      <c r="G223" s="33" t="s">
        <v>54</v>
      </c>
      <c r="H223" s="32" t="s">
        <v>47</v>
      </c>
      <c r="I223" s="32"/>
      <c r="J223" s="34">
        <v>45814</v>
      </c>
      <c r="K223" s="34">
        <v>45814</v>
      </c>
      <c r="L223" s="32" t="s">
        <v>48</v>
      </c>
      <c r="M223" s="48">
        <v>96225.57</v>
      </c>
      <c r="N223" s="48">
        <v>0</v>
      </c>
      <c r="O223" s="48">
        <v>-2086.9499999999998</v>
      </c>
      <c r="P223" s="48">
        <v>-13.12</v>
      </c>
      <c r="Q223" s="48">
        <v>-1488.55</v>
      </c>
      <c r="R223" s="48">
        <v>0</v>
      </c>
      <c r="S223" s="48"/>
      <c r="T223" s="48">
        <f t="shared" si="18"/>
        <v>-3588.62</v>
      </c>
      <c r="U223" s="48">
        <f t="shared" si="19"/>
        <v>-3588.62</v>
      </c>
      <c r="V223" s="49">
        <f>+Tabla_Auditorias[[#This Row],[AJUSTE
EGRESO
COSTO]]+Tabla_Auditorias[[#This Row],[AJUSTE EGRESO
MAL ESTADO]]+Tabla_Auditorias[[#This Row],[AJUSTE
INGRESO
COSTO]]</f>
        <v>-2236.7799999999997</v>
      </c>
      <c r="W223" s="48">
        <v>-2539.04</v>
      </c>
      <c r="X223" s="48"/>
      <c r="Y223" s="48"/>
      <c r="Z223" s="48">
        <v>302.26</v>
      </c>
      <c r="AA223" s="50">
        <f>+SUM(Tabla_Auditorias[[#This Row],[AJUSTE
EGRESO
COSTO]:[AJUSTE
INGRESO
COSTO]])</f>
        <v>-2236.7799999999997</v>
      </c>
      <c r="AB223" s="36" t="str">
        <f t="shared" si="20"/>
        <v>ALTO</v>
      </c>
      <c r="AC223" s="37">
        <f t="shared" si="21"/>
        <v>60</v>
      </c>
      <c r="AD223" s="35">
        <v>0</v>
      </c>
      <c r="AE223" s="41" t="s">
        <v>49</v>
      </c>
      <c r="AF223" s="38" t="str">
        <f>IF(Tabla_Auditorias[[#This Row],[TOTAL
COSTO
NETO]]&lt;&gt;0,"Si","No")</f>
        <v>Si</v>
      </c>
      <c r="AG223" s="39" t="s">
        <v>266</v>
      </c>
      <c r="AH223" s="40"/>
      <c r="AI223" s="51">
        <f t="shared" si="22"/>
        <v>0</v>
      </c>
      <c r="AJ223" s="38" t="str">
        <f t="shared" si="23"/>
        <v>Pendiente</v>
      </c>
    </row>
    <row r="224" spans="1:36" s="31" customFormat="1" ht="25.5" customHeight="1" x14ac:dyDescent="0.2">
      <c r="A224" s="32">
        <v>220</v>
      </c>
      <c r="B224" s="33" t="s">
        <v>91</v>
      </c>
      <c r="C224" s="32" t="s">
        <v>43</v>
      </c>
      <c r="D224" s="32" t="s">
        <v>44</v>
      </c>
      <c r="E224" s="32" t="s">
        <v>53</v>
      </c>
      <c r="F224" s="32">
        <v>1518</v>
      </c>
      <c r="G224" s="33" t="s">
        <v>54</v>
      </c>
      <c r="H224" s="32" t="s">
        <v>47</v>
      </c>
      <c r="I224" s="32"/>
      <c r="J224" s="34">
        <v>45814</v>
      </c>
      <c r="K224" s="34">
        <v>45814</v>
      </c>
      <c r="L224" s="32" t="s">
        <v>48</v>
      </c>
      <c r="M224" s="48">
        <v>104138.85</v>
      </c>
      <c r="N224" s="48">
        <v>91.12</v>
      </c>
      <c r="O224" s="48">
        <v>-304.22000000000003</v>
      </c>
      <c r="P224" s="48">
        <v>-283.7700000000001</v>
      </c>
      <c r="Q224" s="48">
        <v>0</v>
      </c>
      <c r="R224" s="48">
        <v>0</v>
      </c>
      <c r="S224" s="48"/>
      <c r="T224" s="48">
        <f t="shared" si="18"/>
        <v>-496.87000000000012</v>
      </c>
      <c r="U224" s="48">
        <f t="shared" si="19"/>
        <v>-496.87000000000012</v>
      </c>
      <c r="V224" s="49">
        <f>+Tabla_Auditorias[[#This Row],[AJUSTE
EGRESO
COSTO]]+Tabla_Auditorias[[#This Row],[AJUSTE EGRESO
MAL ESTADO]]+Tabla_Auditorias[[#This Row],[AJUSTE
INGRESO
COSTO]]</f>
        <v>-162.76999999999998</v>
      </c>
      <c r="W224" s="48">
        <v>-609.87</v>
      </c>
      <c r="X224" s="48"/>
      <c r="Y224" s="48"/>
      <c r="Z224" s="48">
        <v>447.1</v>
      </c>
      <c r="AA224" s="50">
        <f>+SUM(Tabla_Auditorias[[#This Row],[AJUSTE
EGRESO
COSTO]:[AJUSTE
INGRESO
COSTO]])</f>
        <v>-162.76999999999998</v>
      </c>
      <c r="AB224" s="36" t="str">
        <f t="shared" si="20"/>
        <v>MEDIO</v>
      </c>
      <c r="AC224" s="37">
        <f t="shared" si="21"/>
        <v>25</v>
      </c>
      <c r="AD224" s="35">
        <v>0</v>
      </c>
      <c r="AE224" s="41" t="s">
        <v>49</v>
      </c>
      <c r="AF224" s="38" t="str">
        <f>IF(Tabla_Auditorias[[#This Row],[TOTAL
COSTO
NETO]]&lt;&gt;0,"Si","No")</f>
        <v>Si</v>
      </c>
      <c r="AG224" s="39" t="s">
        <v>267</v>
      </c>
      <c r="AH224" s="40"/>
      <c r="AI224" s="51">
        <f t="shared" si="22"/>
        <v>0</v>
      </c>
      <c r="AJ224" s="38" t="str">
        <f t="shared" si="23"/>
        <v>Pendiente</v>
      </c>
    </row>
    <row r="225" spans="1:36" s="31" customFormat="1" ht="25.5" customHeight="1" x14ac:dyDescent="0.2">
      <c r="A225" s="32">
        <v>221</v>
      </c>
      <c r="B225" s="33" t="s">
        <v>103</v>
      </c>
      <c r="C225" s="32" t="s">
        <v>43</v>
      </c>
      <c r="D225" s="32" t="s">
        <v>44</v>
      </c>
      <c r="E225" s="32" t="s">
        <v>53</v>
      </c>
      <c r="F225" s="32">
        <v>1503</v>
      </c>
      <c r="G225" s="33" t="s">
        <v>54</v>
      </c>
      <c r="H225" s="32" t="s">
        <v>47</v>
      </c>
      <c r="I225" s="32"/>
      <c r="J225" s="34">
        <v>45814</v>
      </c>
      <c r="K225" s="34">
        <v>45814</v>
      </c>
      <c r="L225" s="32" t="s">
        <v>48</v>
      </c>
      <c r="M225" s="48">
        <v>34873.040000000001</v>
      </c>
      <c r="N225" s="48">
        <v>306.69</v>
      </c>
      <c r="O225" s="48">
        <v>-204.66</v>
      </c>
      <c r="P225" s="48">
        <v>-30.56999999999999</v>
      </c>
      <c r="Q225" s="48">
        <v>-351.53</v>
      </c>
      <c r="R225" s="48">
        <v>0</v>
      </c>
      <c r="S225" s="48"/>
      <c r="T225" s="48">
        <f t="shared" si="18"/>
        <v>-280.06999999999994</v>
      </c>
      <c r="U225" s="48">
        <f t="shared" si="19"/>
        <v>-280.06999999999994</v>
      </c>
      <c r="V225" s="49">
        <f>+Tabla_Auditorias[[#This Row],[AJUSTE
EGRESO
COSTO]]+Tabla_Auditorias[[#This Row],[AJUSTE EGRESO
MAL ESTADO]]+Tabla_Auditorias[[#This Row],[AJUSTE
INGRESO
COSTO]]</f>
        <v>-171.45999999999998</v>
      </c>
      <c r="W225" s="48">
        <v>-488.37</v>
      </c>
      <c r="X225" s="48"/>
      <c r="Y225" s="48"/>
      <c r="Z225" s="48">
        <v>316.91000000000003</v>
      </c>
      <c r="AA225" s="50">
        <f>+SUM(Tabla_Auditorias[[#This Row],[AJUSTE
EGRESO
COSTO]:[AJUSTE
INGRESO
COSTO]])</f>
        <v>-171.45999999999998</v>
      </c>
      <c r="AB225" s="36" t="str">
        <f t="shared" si="20"/>
        <v>MEDIO</v>
      </c>
      <c r="AC225" s="37">
        <f t="shared" si="21"/>
        <v>30</v>
      </c>
      <c r="AD225" s="35">
        <v>0</v>
      </c>
      <c r="AE225" s="41" t="s">
        <v>49</v>
      </c>
      <c r="AF225" s="38" t="str">
        <f>IF(Tabla_Auditorias[[#This Row],[TOTAL
COSTO
NETO]]&lt;&gt;0,"Si","No")</f>
        <v>Si</v>
      </c>
      <c r="AG225" s="39" t="s">
        <v>268</v>
      </c>
      <c r="AH225" s="40"/>
      <c r="AI225" s="51">
        <f t="shared" si="22"/>
        <v>0</v>
      </c>
      <c r="AJ225" s="38" t="str">
        <f t="shared" si="23"/>
        <v>Pendiente</v>
      </c>
    </row>
    <row r="226" spans="1:36" s="31" customFormat="1" ht="25.5" customHeight="1" x14ac:dyDescent="0.2">
      <c r="A226" s="32">
        <v>222</v>
      </c>
      <c r="B226" s="33" t="s">
        <v>79</v>
      </c>
      <c r="C226" s="32" t="s">
        <v>43</v>
      </c>
      <c r="D226" s="32" t="s">
        <v>44</v>
      </c>
      <c r="E226" s="32" t="s">
        <v>45</v>
      </c>
      <c r="F226" s="32">
        <v>1511</v>
      </c>
      <c r="G226" s="33" t="s">
        <v>46</v>
      </c>
      <c r="H226" s="32" t="s">
        <v>47</v>
      </c>
      <c r="I226" s="32"/>
      <c r="J226" s="34">
        <v>45820</v>
      </c>
      <c r="K226" s="34">
        <v>45820</v>
      </c>
      <c r="L226" s="32" t="s">
        <v>48</v>
      </c>
      <c r="M226" s="48">
        <v>141076.34190000009</v>
      </c>
      <c r="N226" s="48">
        <v>0</v>
      </c>
      <c r="O226" s="48">
        <v>0</v>
      </c>
      <c r="P226" s="48">
        <v>0</v>
      </c>
      <c r="Q226" s="48">
        <v>0</v>
      </c>
      <c r="R226" s="48">
        <v>0</v>
      </c>
      <c r="S226" s="48"/>
      <c r="T226" s="48">
        <f t="shared" si="18"/>
        <v>0</v>
      </c>
      <c r="U226" s="48">
        <f t="shared" si="19"/>
        <v>0</v>
      </c>
      <c r="V226" s="49">
        <f>+Tabla_Auditorias[[#This Row],[AJUSTE
EGRESO
COSTO]]+Tabla_Auditorias[[#This Row],[AJUSTE EGRESO
MAL ESTADO]]+Tabla_Auditorias[[#This Row],[AJUSTE
INGRESO
COSTO]]</f>
        <v>-0.44789999999999708</v>
      </c>
      <c r="W226" s="48">
        <v>-45.342399999999998</v>
      </c>
      <c r="X226" s="48"/>
      <c r="Y226" s="48"/>
      <c r="Z226" s="48">
        <v>44.894500000000001</v>
      </c>
      <c r="AA226" s="50">
        <f>+SUM(Tabla_Auditorias[[#This Row],[AJUSTE
EGRESO
COSTO]:[AJUSTE
INGRESO
COSTO]])</f>
        <v>-0.44789999999999708</v>
      </c>
      <c r="AB226" s="36" t="str">
        <f t="shared" si="20"/>
        <v>BAJO</v>
      </c>
      <c r="AC226" s="37">
        <f t="shared" si="21"/>
        <v>0</v>
      </c>
      <c r="AD226" s="35">
        <v>0</v>
      </c>
      <c r="AE226" s="41" t="s">
        <v>49</v>
      </c>
      <c r="AF226" s="38" t="str">
        <f>IF(Tabla_Auditorias[[#This Row],[TOTAL
COSTO
NETO]]&lt;&gt;0,"Si","No")</f>
        <v>Si</v>
      </c>
      <c r="AG226" s="39" t="s">
        <v>269</v>
      </c>
      <c r="AH226" s="40"/>
      <c r="AI226" s="51">
        <f t="shared" si="22"/>
        <v>0</v>
      </c>
      <c r="AJ226" s="38" t="str">
        <f t="shared" si="23"/>
        <v>Pendiente</v>
      </c>
    </row>
    <row r="227" spans="1:36" s="31" customFormat="1" ht="25.5" customHeight="1" x14ac:dyDescent="0.2">
      <c r="A227" s="32">
        <v>223</v>
      </c>
      <c r="B227" s="33" t="s">
        <v>94</v>
      </c>
      <c r="C227" s="32" t="s">
        <v>43</v>
      </c>
      <c r="D227" s="32" t="s">
        <v>44</v>
      </c>
      <c r="E227" s="32" t="s">
        <v>53</v>
      </c>
      <c r="F227" s="32">
        <v>1502</v>
      </c>
      <c r="G227" s="33" t="s">
        <v>54</v>
      </c>
      <c r="H227" s="32" t="s">
        <v>47</v>
      </c>
      <c r="I227" s="32"/>
      <c r="J227" s="34">
        <v>45821</v>
      </c>
      <c r="K227" s="34">
        <v>45821</v>
      </c>
      <c r="L227" s="32" t="s">
        <v>48</v>
      </c>
      <c r="M227" s="48">
        <v>202275.84</v>
      </c>
      <c r="N227" s="48">
        <v>0</v>
      </c>
      <c r="O227" s="48">
        <v>0</v>
      </c>
      <c r="P227" s="48">
        <v>0</v>
      </c>
      <c r="Q227" s="48">
        <v>0</v>
      </c>
      <c r="R227" s="48">
        <v>0</v>
      </c>
      <c r="S227" s="48"/>
      <c r="T227" s="48">
        <f t="shared" si="18"/>
        <v>0</v>
      </c>
      <c r="U227" s="48">
        <f t="shared" si="19"/>
        <v>0</v>
      </c>
      <c r="V227" s="49">
        <f>+Tabla_Auditorias[[#This Row],[AJUSTE
EGRESO
COSTO]]+Tabla_Auditorias[[#This Row],[AJUSTE EGRESO
MAL ESTADO]]+Tabla_Auditorias[[#This Row],[AJUSTE
INGRESO
COSTO]]</f>
        <v>0</v>
      </c>
      <c r="W227" s="48">
        <v>0</v>
      </c>
      <c r="X227" s="48"/>
      <c r="Y227" s="48"/>
      <c r="Z227" s="48">
        <v>0</v>
      </c>
      <c r="AA227" s="50">
        <f>+SUM(Tabla_Auditorias[[#This Row],[AJUSTE
EGRESO
COSTO]:[AJUSTE
INGRESO
COSTO]])</f>
        <v>0</v>
      </c>
      <c r="AB227" s="36" t="str">
        <f t="shared" si="20"/>
        <v>BAJO</v>
      </c>
      <c r="AC227" s="37">
        <f t="shared" si="21"/>
        <v>0</v>
      </c>
      <c r="AD227" s="35">
        <v>0</v>
      </c>
      <c r="AE227" s="41" t="s">
        <v>49</v>
      </c>
      <c r="AF227" s="38" t="str">
        <f>IF(Tabla_Auditorias[[#This Row],[TOTAL
COSTO
NETO]]&lt;&gt;0,"Si","No")</f>
        <v>No</v>
      </c>
      <c r="AG227" s="39" t="s">
        <v>183</v>
      </c>
      <c r="AH227" s="40"/>
      <c r="AI227" s="51" t="str">
        <f t="shared" si="22"/>
        <v/>
      </c>
      <c r="AJ227" s="38" t="str">
        <f t="shared" si="23"/>
        <v>Pendiente</v>
      </c>
    </row>
    <row r="228" spans="1:36" s="31" customFormat="1" ht="25.5" customHeight="1" x14ac:dyDescent="0.2">
      <c r="A228" s="32">
        <v>224</v>
      </c>
      <c r="B228" s="33" t="s">
        <v>139</v>
      </c>
      <c r="C228" s="32" t="s">
        <v>51</v>
      </c>
      <c r="D228" s="32" t="s">
        <v>52</v>
      </c>
      <c r="E228" s="32" t="s">
        <v>45</v>
      </c>
      <c r="F228" s="32">
        <v>1730</v>
      </c>
      <c r="G228" s="33" t="s">
        <v>46</v>
      </c>
      <c r="H228" s="32" t="s">
        <v>47</v>
      </c>
      <c r="I228" s="32"/>
      <c r="J228" s="34">
        <v>45825</v>
      </c>
      <c r="K228" s="34">
        <v>45825</v>
      </c>
      <c r="L228" s="32" t="s">
        <v>48</v>
      </c>
      <c r="M228" s="48">
        <v>48445.732699999993</v>
      </c>
      <c r="N228" s="48">
        <v>0</v>
      </c>
      <c r="O228" s="48">
        <v>-49.42</v>
      </c>
      <c r="P228" s="48">
        <v>-37.240000000000052</v>
      </c>
      <c r="Q228" s="48">
        <v>0</v>
      </c>
      <c r="R228" s="48">
        <v>0</v>
      </c>
      <c r="S228" s="48"/>
      <c r="T228" s="48">
        <f t="shared" si="18"/>
        <v>-86.660000000000053</v>
      </c>
      <c r="U228" s="48">
        <f t="shared" si="19"/>
        <v>-86.660000000000053</v>
      </c>
      <c r="V228" s="49">
        <f>+Tabla_Auditorias[[#This Row],[AJUSTE
EGRESO
COSTO]]+Tabla_Auditorias[[#This Row],[AJUSTE EGRESO
MAL ESTADO]]+Tabla_Auditorias[[#This Row],[AJUSTE
INGRESO
COSTO]]</f>
        <v>-65.120300000000043</v>
      </c>
      <c r="W228" s="48">
        <v>-1066.0197000000001</v>
      </c>
      <c r="X228" s="48"/>
      <c r="Y228" s="48"/>
      <c r="Z228" s="48">
        <v>1000.8994</v>
      </c>
      <c r="AA228" s="50">
        <f>+SUM(Tabla_Auditorias[[#This Row],[AJUSTE
EGRESO
COSTO]:[AJUSTE
INGRESO
COSTO]])</f>
        <v>-65.120300000000043</v>
      </c>
      <c r="AB228" s="36" t="str">
        <f t="shared" si="20"/>
        <v>MEDIO</v>
      </c>
      <c r="AC228" s="37">
        <f t="shared" si="21"/>
        <v>20</v>
      </c>
      <c r="AD228" s="35">
        <v>0</v>
      </c>
      <c r="AE228" s="41" t="s">
        <v>49</v>
      </c>
      <c r="AF228" s="38" t="str">
        <f>IF(Tabla_Auditorias[[#This Row],[TOTAL
COSTO
NETO]]&lt;&gt;0,"Si","No")</f>
        <v>Si</v>
      </c>
      <c r="AG228" s="39" t="s">
        <v>270</v>
      </c>
      <c r="AH228" s="40"/>
      <c r="AI228" s="51">
        <f t="shared" si="22"/>
        <v>0</v>
      </c>
      <c r="AJ228" s="38" t="str">
        <f t="shared" si="23"/>
        <v>Pendiente</v>
      </c>
    </row>
    <row r="229" spans="1:36" s="31" customFormat="1" ht="25.5" customHeight="1" x14ac:dyDescent="0.2">
      <c r="A229" s="32">
        <v>225</v>
      </c>
      <c r="B229" s="33" t="s">
        <v>76</v>
      </c>
      <c r="C229" s="32" t="s">
        <v>51</v>
      </c>
      <c r="D229" s="32" t="s">
        <v>52</v>
      </c>
      <c r="E229" s="32" t="s">
        <v>45</v>
      </c>
      <c r="F229" s="32">
        <v>1733</v>
      </c>
      <c r="G229" s="33" t="s">
        <v>46</v>
      </c>
      <c r="H229" s="32" t="s">
        <v>47</v>
      </c>
      <c r="I229" s="32"/>
      <c r="J229" s="34">
        <v>45826</v>
      </c>
      <c r="K229" s="34">
        <v>45826</v>
      </c>
      <c r="L229" s="32" t="s">
        <v>48</v>
      </c>
      <c r="M229" s="48">
        <v>44829.771299999979</v>
      </c>
      <c r="N229" s="48">
        <v>0</v>
      </c>
      <c r="O229" s="48">
        <v>0</v>
      </c>
      <c r="P229" s="48">
        <v>0</v>
      </c>
      <c r="Q229" s="48">
        <v>0</v>
      </c>
      <c r="R229" s="48">
        <v>0</v>
      </c>
      <c r="S229" s="48"/>
      <c r="T229" s="48">
        <f t="shared" si="18"/>
        <v>0</v>
      </c>
      <c r="U229" s="48">
        <f t="shared" si="19"/>
        <v>0</v>
      </c>
      <c r="V229" s="49">
        <f>+Tabla_Auditorias[[#This Row],[AJUSTE
EGRESO
COSTO]]+Tabla_Auditorias[[#This Row],[AJUSTE EGRESO
MAL ESTADO]]+Tabla_Auditorias[[#This Row],[AJUSTE
INGRESO
COSTO]]</f>
        <v>0</v>
      </c>
      <c r="W229" s="48">
        <v>-642.36</v>
      </c>
      <c r="X229" s="48"/>
      <c r="Y229" s="48"/>
      <c r="Z229" s="48">
        <v>642.36</v>
      </c>
      <c r="AA229" s="50">
        <f>+SUM(Tabla_Auditorias[[#This Row],[AJUSTE
EGRESO
COSTO]:[AJUSTE
INGRESO
COSTO]])</f>
        <v>0</v>
      </c>
      <c r="AB229" s="36" t="str">
        <f t="shared" si="20"/>
        <v>BAJO</v>
      </c>
      <c r="AC229" s="37">
        <f t="shared" si="21"/>
        <v>0</v>
      </c>
      <c r="AD229" s="35">
        <v>0</v>
      </c>
      <c r="AE229" s="41" t="s">
        <v>49</v>
      </c>
      <c r="AF229" s="38" t="str">
        <f>IF(Tabla_Auditorias[[#This Row],[TOTAL
COSTO
NETO]]&lt;&gt;0,"Si","No")</f>
        <v>No</v>
      </c>
      <c r="AG229" s="39" t="s">
        <v>251</v>
      </c>
      <c r="AH229" s="40"/>
      <c r="AI229" s="51" t="str">
        <f t="shared" si="22"/>
        <v/>
      </c>
      <c r="AJ229" s="38" t="str">
        <f t="shared" si="23"/>
        <v>Pendiente</v>
      </c>
    </row>
    <row r="230" spans="1:36" s="31" customFormat="1" ht="25.5" customHeight="1" x14ac:dyDescent="0.2">
      <c r="A230" s="32">
        <v>226</v>
      </c>
      <c r="B230" s="33" t="s">
        <v>175</v>
      </c>
      <c r="C230" s="32" t="s">
        <v>51</v>
      </c>
      <c r="D230" s="32" t="s">
        <v>52</v>
      </c>
      <c r="E230" s="32" t="s">
        <v>58</v>
      </c>
      <c r="F230" s="32">
        <v>1738</v>
      </c>
      <c r="G230" s="33" t="s">
        <v>59</v>
      </c>
      <c r="H230" s="32" t="s">
        <v>47</v>
      </c>
      <c r="I230" s="32"/>
      <c r="J230" s="34">
        <v>45826</v>
      </c>
      <c r="K230" s="34">
        <v>45826</v>
      </c>
      <c r="L230" s="32" t="s">
        <v>48</v>
      </c>
      <c r="M230" s="48">
        <v>37404.644099999998</v>
      </c>
      <c r="N230" s="48">
        <v>0</v>
      </c>
      <c r="O230" s="48">
        <v>0</v>
      </c>
      <c r="P230" s="48">
        <v>0</v>
      </c>
      <c r="Q230" s="48">
        <v>0</v>
      </c>
      <c r="R230" s="48">
        <v>0</v>
      </c>
      <c r="S230" s="48"/>
      <c r="T230" s="48">
        <f t="shared" si="18"/>
        <v>0</v>
      </c>
      <c r="U230" s="48">
        <f t="shared" si="19"/>
        <v>0</v>
      </c>
      <c r="V230" s="49">
        <f>+Tabla_Auditorias[[#This Row],[AJUSTE
EGRESO
COSTO]]+Tabla_Auditorias[[#This Row],[AJUSTE EGRESO
MAL ESTADO]]+Tabla_Auditorias[[#This Row],[AJUSTE
INGRESO
COSTO]]</f>
        <v>0</v>
      </c>
      <c r="W230" s="48">
        <v>0</v>
      </c>
      <c r="X230" s="48"/>
      <c r="Y230" s="48"/>
      <c r="Z230" s="48">
        <v>0</v>
      </c>
      <c r="AA230" s="50">
        <f>+SUM(Tabla_Auditorias[[#This Row],[AJUSTE
EGRESO
COSTO]:[AJUSTE
INGRESO
COSTO]])</f>
        <v>0</v>
      </c>
      <c r="AB230" s="36" t="str">
        <f t="shared" si="20"/>
        <v>BAJO</v>
      </c>
      <c r="AC230" s="37">
        <f t="shared" si="21"/>
        <v>0</v>
      </c>
      <c r="AD230" s="35">
        <v>0</v>
      </c>
      <c r="AE230" s="41" t="s">
        <v>49</v>
      </c>
      <c r="AF230" s="38" t="str">
        <f>IF(Tabla_Auditorias[[#This Row],[TOTAL
COSTO
NETO]]&lt;&gt;0,"Si","No")</f>
        <v>No</v>
      </c>
      <c r="AG230" s="39" t="s">
        <v>81</v>
      </c>
      <c r="AH230" s="40"/>
      <c r="AI230" s="51" t="str">
        <f t="shared" si="22"/>
        <v/>
      </c>
      <c r="AJ230" s="38" t="str">
        <f t="shared" si="23"/>
        <v>Pendiente</v>
      </c>
    </row>
    <row r="231" spans="1:36" s="31" customFormat="1" ht="25.5" customHeight="1" x14ac:dyDescent="0.2">
      <c r="A231" s="32">
        <v>227</v>
      </c>
      <c r="B231" s="33" t="s">
        <v>175</v>
      </c>
      <c r="C231" s="32" t="s">
        <v>51</v>
      </c>
      <c r="D231" s="32" t="s">
        <v>52</v>
      </c>
      <c r="E231" s="32" t="s">
        <v>58</v>
      </c>
      <c r="F231" s="32">
        <v>1738</v>
      </c>
      <c r="G231" s="33" t="s">
        <v>59</v>
      </c>
      <c r="H231" s="32" t="s">
        <v>47</v>
      </c>
      <c r="I231" s="32"/>
      <c r="J231" s="34">
        <v>45826</v>
      </c>
      <c r="K231" s="34">
        <v>45826</v>
      </c>
      <c r="L231" s="32" t="s">
        <v>48</v>
      </c>
      <c r="M231" s="48">
        <v>37404.644099999998</v>
      </c>
      <c r="N231" s="48">
        <v>0</v>
      </c>
      <c r="O231" s="48">
        <v>0</v>
      </c>
      <c r="P231" s="48">
        <v>0</v>
      </c>
      <c r="Q231" s="48">
        <v>0</v>
      </c>
      <c r="R231" s="48">
        <v>0</v>
      </c>
      <c r="S231" s="48"/>
      <c r="T231" s="48">
        <f t="shared" si="18"/>
        <v>0</v>
      </c>
      <c r="U231" s="48">
        <f t="shared" si="19"/>
        <v>0</v>
      </c>
      <c r="V231" s="49">
        <f>+Tabla_Auditorias[[#This Row],[AJUSTE
EGRESO
COSTO]]+Tabla_Auditorias[[#This Row],[AJUSTE EGRESO
MAL ESTADO]]+Tabla_Auditorias[[#This Row],[AJUSTE
INGRESO
COSTO]]</f>
        <v>0</v>
      </c>
      <c r="W231" s="48">
        <v>0</v>
      </c>
      <c r="X231" s="48"/>
      <c r="Y231" s="48"/>
      <c r="Z231" s="48">
        <v>0</v>
      </c>
      <c r="AA231" s="50">
        <f>+SUM(Tabla_Auditorias[[#This Row],[AJUSTE
EGRESO
COSTO]:[AJUSTE
INGRESO
COSTO]])</f>
        <v>0</v>
      </c>
      <c r="AB231" s="36" t="str">
        <f t="shared" si="20"/>
        <v>BAJO</v>
      </c>
      <c r="AC231" s="37">
        <f t="shared" si="21"/>
        <v>0</v>
      </c>
      <c r="AD231" s="35">
        <v>0</v>
      </c>
      <c r="AE231" s="41" t="s">
        <v>49</v>
      </c>
      <c r="AF231" s="38" t="str">
        <f>IF(Tabla_Auditorias[[#This Row],[TOTAL
COSTO
NETO]]&lt;&gt;0,"Si","No")</f>
        <v>No</v>
      </c>
      <c r="AG231" s="39" t="s">
        <v>81</v>
      </c>
      <c r="AH231" s="40"/>
      <c r="AI231" s="51" t="str">
        <f t="shared" si="22"/>
        <v/>
      </c>
      <c r="AJ231" s="38" t="str">
        <f t="shared" si="23"/>
        <v>Pendiente</v>
      </c>
    </row>
    <row r="232" spans="1:36" s="31" customFormat="1" ht="25.5" customHeight="1" x14ac:dyDescent="0.2">
      <c r="A232" s="32">
        <v>228</v>
      </c>
      <c r="B232" s="33" t="s">
        <v>63</v>
      </c>
      <c r="C232" s="32" t="s">
        <v>51</v>
      </c>
      <c r="D232" s="32" t="s">
        <v>64</v>
      </c>
      <c r="E232" s="32" t="s">
        <v>53</v>
      </c>
      <c r="F232" s="32">
        <v>1729</v>
      </c>
      <c r="G232" s="33" t="s">
        <v>54</v>
      </c>
      <c r="H232" s="32" t="s">
        <v>47</v>
      </c>
      <c r="I232" s="32"/>
      <c r="J232" s="34">
        <v>45828</v>
      </c>
      <c r="K232" s="34">
        <v>45828</v>
      </c>
      <c r="L232" s="32" t="s">
        <v>48</v>
      </c>
      <c r="M232" s="48">
        <v>233058.71</v>
      </c>
      <c r="N232" s="48">
        <v>0</v>
      </c>
      <c r="O232" s="48">
        <v>-92.75</v>
      </c>
      <c r="P232" s="48">
        <v>0</v>
      </c>
      <c r="Q232" s="48">
        <v>0</v>
      </c>
      <c r="R232" s="48">
        <v>51.24</v>
      </c>
      <c r="S232" s="48"/>
      <c r="T232" s="48">
        <f t="shared" si="18"/>
        <v>-41.51</v>
      </c>
      <c r="U232" s="48">
        <f t="shared" si="19"/>
        <v>-92.75</v>
      </c>
      <c r="V232" s="49">
        <f>+Tabla_Auditorias[[#This Row],[AJUSTE
EGRESO
COSTO]]+Tabla_Auditorias[[#This Row],[AJUSTE EGRESO
MAL ESTADO]]+Tabla_Auditorias[[#This Row],[AJUSTE
INGRESO
COSTO]]</f>
        <v>-62.1</v>
      </c>
      <c r="W232" s="48">
        <v>-62.1</v>
      </c>
      <c r="X232" s="48"/>
      <c r="Y232" s="48"/>
      <c r="Z232" s="48">
        <v>0</v>
      </c>
      <c r="AA232" s="50">
        <f>+SUM(Tabla_Auditorias[[#This Row],[AJUSTE
EGRESO
COSTO]:[AJUSTE
INGRESO
COSTO]])</f>
        <v>-62.1</v>
      </c>
      <c r="AB232" s="36" t="str">
        <f t="shared" si="20"/>
        <v>MEDIO</v>
      </c>
      <c r="AC232" s="37">
        <f t="shared" si="21"/>
        <v>20</v>
      </c>
      <c r="AD232" s="35">
        <v>0</v>
      </c>
      <c r="AE232" s="41" t="s">
        <v>49</v>
      </c>
      <c r="AF232" s="38" t="str">
        <f>IF(Tabla_Auditorias[[#This Row],[TOTAL
COSTO
NETO]]&lt;&gt;0,"Si","No")</f>
        <v>Si</v>
      </c>
      <c r="AG232" s="39" t="s">
        <v>271</v>
      </c>
      <c r="AH232" s="40"/>
      <c r="AI232" s="51">
        <f t="shared" si="22"/>
        <v>0</v>
      </c>
      <c r="AJ232" s="38" t="str">
        <f t="shared" si="23"/>
        <v>Pendiente</v>
      </c>
    </row>
    <row r="233" spans="1:36" s="31" customFormat="1" ht="25.5" customHeight="1" x14ac:dyDescent="0.2">
      <c r="A233" s="32">
        <v>229</v>
      </c>
      <c r="B233" s="33" t="s">
        <v>160</v>
      </c>
      <c r="C233" s="32" t="s">
        <v>51</v>
      </c>
      <c r="D233" s="32" t="s">
        <v>52</v>
      </c>
      <c r="E233" s="32" t="s">
        <v>53</v>
      </c>
      <c r="F233" s="32">
        <v>1739</v>
      </c>
      <c r="G233" s="33" t="s">
        <v>54</v>
      </c>
      <c r="H233" s="32" t="s">
        <v>47</v>
      </c>
      <c r="I233" s="32"/>
      <c r="J233" s="34">
        <v>45828</v>
      </c>
      <c r="K233" s="34">
        <v>45828</v>
      </c>
      <c r="L233" s="32" t="s">
        <v>48</v>
      </c>
      <c r="M233" s="48">
        <v>25028.02</v>
      </c>
      <c r="N233" s="48">
        <v>0</v>
      </c>
      <c r="O233" s="48">
        <v>0</v>
      </c>
      <c r="P233" s="48">
        <v>0</v>
      </c>
      <c r="Q233" s="48">
        <v>0</v>
      </c>
      <c r="R233" s="48">
        <v>0</v>
      </c>
      <c r="S233" s="48"/>
      <c r="T233" s="48">
        <f t="shared" si="18"/>
        <v>0</v>
      </c>
      <c r="U233" s="48">
        <f t="shared" si="19"/>
        <v>0</v>
      </c>
      <c r="V233" s="49">
        <f>+Tabla_Auditorias[[#This Row],[AJUSTE
EGRESO
COSTO]]+Tabla_Auditorias[[#This Row],[AJUSTE EGRESO
MAL ESTADO]]+Tabla_Auditorias[[#This Row],[AJUSTE
INGRESO
COSTO]]</f>
        <v>0</v>
      </c>
      <c r="W233" s="48">
        <v>0</v>
      </c>
      <c r="X233" s="48"/>
      <c r="Y233" s="48"/>
      <c r="Z233" s="48">
        <v>0</v>
      </c>
      <c r="AA233" s="50">
        <f>+SUM(Tabla_Auditorias[[#This Row],[AJUSTE
EGRESO
COSTO]:[AJUSTE
INGRESO
COSTO]])</f>
        <v>0</v>
      </c>
      <c r="AB233" s="36" t="str">
        <f t="shared" si="20"/>
        <v>BAJO</v>
      </c>
      <c r="AC233" s="37">
        <f t="shared" si="21"/>
        <v>0</v>
      </c>
      <c r="AD233" s="35">
        <v>0</v>
      </c>
      <c r="AE233" s="41" t="s">
        <v>49</v>
      </c>
      <c r="AF233" s="38" t="str">
        <f>IF(Tabla_Auditorias[[#This Row],[TOTAL
COSTO
NETO]]&lt;&gt;0,"Si","No")</f>
        <v>No</v>
      </c>
      <c r="AG233" s="39" t="s">
        <v>183</v>
      </c>
      <c r="AH233" s="40"/>
      <c r="AI233" s="51" t="str">
        <f t="shared" si="22"/>
        <v/>
      </c>
      <c r="AJ233" s="38" t="str">
        <f t="shared" si="23"/>
        <v>Pendiente</v>
      </c>
    </row>
    <row r="234" spans="1:36" s="31" customFormat="1" ht="25.5" customHeight="1" x14ac:dyDescent="0.2">
      <c r="A234" s="32">
        <v>230</v>
      </c>
      <c r="B234" s="33" t="s">
        <v>85</v>
      </c>
      <c r="C234" s="32" t="s">
        <v>43</v>
      </c>
      <c r="D234" s="32" t="s">
        <v>44</v>
      </c>
      <c r="E234" s="32" t="s">
        <v>53</v>
      </c>
      <c r="F234" s="32">
        <v>1510</v>
      </c>
      <c r="G234" s="33" t="s">
        <v>54</v>
      </c>
      <c r="H234" s="32" t="s">
        <v>47</v>
      </c>
      <c r="I234" s="32"/>
      <c r="J234" s="34">
        <v>45831</v>
      </c>
      <c r="K234" s="34">
        <v>45831</v>
      </c>
      <c r="L234" s="32" t="s">
        <v>48</v>
      </c>
      <c r="M234" s="48">
        <v>77586.5</v>
      </c>
      <c r="N234" s="48">
        <v>0</v>
      </c>
      <c r="O234" s="48">
        <v>-7.24</v>
      </c>
      <c r="P234" s="48">
        <v>0</v>
      </c>
      <c r="Q234" s="48">
        <v>0</v>
      </c>
      <c r="R234" s="48">
        <v>0</v>
      </c>
      <c r="S234" s="48"/>
      <c r="T234" s="48">
        <f t="shared" si="18"/>
        <v>-7.24</v>
      </c>
      <c r="U234" s="48">
        <f t="shared" si="19"/>
        <v>-7.24</v>
      </c>
      <c r="V234" s="49">
        <f>+Tabla_Auditorias[[#This Row],[AJUSTE
EGRESO
COSTO]]+Tabla_Auditorias[[#This Row],[AJUSTE EGRESO
MAL ESTADO]]+Tabla_Auditorias[[#This Row],[AJUSTE
INGRESO
COSTO]]</f>
        <v>-3.28</v>
      </c>
      <c r="W234" s="48">
        <v>-3.28</v>
      </c>
      <c r="X234" s="48"/>
      <c r="Y234" s="48"/>
      <c r="Z234" s="48">
        <v>0</v>
      </c>
      <c r="AA234" s="50">
        <f>+SUM(Tabla_Auditorias[[#This Row],[AJUSTE
EGRESO
COSTO]:[AJUSTE
INGRESO
COSTO]])</f>
        <v>-3.28</v>
      </c>
      <c r="AB234" s="36" t="str">
        <f t="shared" si="20"/>
        <v>MEDIO</v>
      </c>
      <c r="AC234" s="37">
        <f t="shared" si="21"/>
        <v>20</v>
      </c>
      <c r="AD234" s="35">
        <v>0</v>
      </c>
      <c r="AE234" s="41" t="s">
        <v>49</v>
      </c>
      <c r="AF234" s="38" t="str">
        <f>IF(Tabla_Auditorias[[#This Row],[TOTAL
COSTO
NETO]]&lt;&gt;0,"Si","No")</f>
        <v>Si</v>
      </c>
      <c r="AG234" s="39" t="s">
        <v>272</v>
      </c>
      <c r="AH234" s="40"/>
      <c r="AI234" s="51">
        <f t="shared" si="22"/>
        <v>0</v>
      </c>
      <c r="AJ234" s="38" t="str">
        <f t="shared" si="23"/>
        <v>Pendiente</v>
      </c>
    </row>
    <row r="235" spans="1:36" s="31" customFormat="1" ht="25.5" customHeight="1" x14ac:dyDescent="0.2">
      <c r="A235" s="32">
        <v>231</v>
      </c>
      <c r="B235" s="33" t="s">
        <v>85</v>
      </c>
      <c r="C235" s="32" t="s">
        <v>43</v>
      </c>
      <c r="D235" s="32" t="s">
        <v>44</v>
      </c>
      <c r="E235" s="32" t="s">
        <v>53</v>
      </c>
      <c r="F235" s="32">
        <v>1510</v>
      </c>
      <c r="G235" s="33" t="s">
        <v>54</v>
      </c>
      <c r="H235" s="32" t="s">
        <v>47</v>
      </c>
      <c r="I235" s="32"/>
      <c r="J235" s="34">
        <v>45831</v>
      </c>
      <c r="K235" s="34">
        <v>45831</v>
      </c>
      <c r="L235" s="32" t="s">
        <v>48</v>
      </c>
      <c r="M235" s="48">
        <v>77586.5</v>
      </c>
      <c r="N235" s="48">
        <v>0</v>
      </c>
      <c r="O235" s="48">
        <v>-7.24</v>
      </c>
      <c r="P235" s="48">
        <v>0</v>
      </c>
      <c r="Q235" s="48">
        <v>0</v>
      </c>
      <c r="R235" s="48">
        <v>0</v>
      </c>
      <c r="S235" s="48"/>
      <c r="T235" s="48">
        <f t="shared" si="18"/>
        <v>-7.24</v>
      </c>
      <c r="U235" s="48">
        <f t="shared" si="19"/>
        <v>-7.24</v>
      </c>
      <c r="V235" s="49">
        <f>+Tabla_Auditorias[[#This Row],[AJUSTE
EGRESO
COSTO]]+Tabla_Auditorias[[#This Row],[AJUSTE EGRESO
MAL ESTADO]]+Tabla_Auditorias[[#This Row],[AJUSTE
INGRESO
COSTO]]</f>
        <v>-3.28</v>
      </c>
      <c r="W235" s="48">
        <v>-3.28</v>
      </c>
      <c r="X235" s="48"/>
      <c r="Y235" s="48"/>
      <c r="Z235" s="48">
        <v>0</v>
      </c>
      <c r="AA235" s="50">
        <f>+SUM(Tabla_Auditorias[[#This Row],[AJUSTE
EGRESO
COSTO]:[AJUSTE
INGRESO
COSTO]])</f>
        <v>-3.28</v>
      </c>
      <c r="AB235" s="36" t="str">
        <f t="shared" si="20"/>
        <v>MEDIO</v>
      </c>
      <c r="AC235" s="37">
        <f t="shared" si="21"/>
        <v>20</v>
      </c>
      <c r="AD235" s="35">
        <v>0</v>
      </c>
      <c r="AE235" s="41" t="s">
        <v>49</v>
      </c>
      <c r="AF235" s="38" t="str">
        <f>IF(Tabla_Auditorias[[#This Row],[TOTAL
COSTO
NETO]]&lt;&gt;0,"Si","No")</f>
        <v>Si</v>
      </c>
      <c r="AG235" s="39" t="s">
        <v>273</v>
      </c>
      <c r="AH235" s="40"/>
      <c r="AI235" s="51">
        <f t="shared" si="22"/>
        <v>0</v>
      </c>
      <c r="AJ235" s="38" t="str">
        <f t="shared" si="23"/>
        <v>Pendiente</v>
      </c>
    </row>
    <row r="236" spans="1:36" s="31" customFormat="1" ht="25.5" customHeight="1" x14ac:dyDescent="0.2">
      <c r="A236" s="32">
        <v>232</v>
      </c>
      <c r="B236" s="33" t="s">
        <v>159</v>
      </c>
      <c r="C236" s="32" t="s">
        <v>51</v>
      </c>
      <c r="D236" s="32" t="s">
        <v>57</v>
      </c>
      <c r="E236" s="32" t="s">
        <v>53</v>
      </c>
      <c r="F236" s="32">
        <v>1743</v>
      </c>
      <c r="G236" s="33" t="s">
        <v>54</v>
      </c>
      <c r="H236" s="32" t="s">
        <v>47</v>
      </c>
      <c r="I236" s="32"/>
      <c r="J236" s="34">
        <v>45831</v>
      </c>
      <c r="K236" s="34">
        <v>45831</v>
      </c>
      <c r="L236" s="32" t="s">
        <v>48</v>
      </c>
      <c r="M236" s="48">
        <v>109158.25</v>
      </c>
      <c r="N236" s="48">
        <v>0</v>
      </c>
      <c r="O236" s="48">
        <v>0</v>
      </c>
      <c r="P236" s="48">
        <v>0</v>
      </c>
      <c r="Q236" s="48">
        <v>0</v>
      </c>
      <c r="R236" s="48">
        <v>0</v>
      </c>
      <c r="S236" s="48"/>
      <c r="T236" s="48">
        <f t="shared" si="18"/>
        <v>0</v>
      </c>
      <c r="U236" s="48">
        <f t="shared" si="19"/>
        <v>0</v>
      </c>
      <c r="V236" s="49">
        <f>+Tabla_Auditorias[[#This Row],[AJUSTE
EGRESO
COSTO]]+Tabla_Auditorias[[#This Row],[AJUSTE EGRESO
MAL ESTADO]]+Tabla_Auditorias[[#This Row],[AJUSTE
INGRESO
COSTO]]</f>
        <v>0</v>
      </c>
      <c r="W236" s="48">
        <v>0</v>
      </c>
      <c r="X236" s="48"/>
      <c r="Y236" s="48"/>
      <c r="Z236" s="48">
        <v>0</v>
      </c>
      <c r="AA236" s="50">
        <f>+SUM(Tabla_Auditorias[[#This Row],[AJUSTE
EGRESO
COSTO]:[AJUSTE
INGRESO
COSTO]])</f>
        <v>0</v>
      </c>
      <c r="AB236" s="36" t="str">
        <f t="shared" si="20"/>
        <v>BAJO</v>
      </c>
      <c r="AC236" s="37">
        <f t="shared" si="21"/>
        <v>0</v>
      </c>
      <c r="AD236" s="35">
        <v>0</v>
      </c>
      <c r="AE236" s="41" t="s">
        <v>49</v>
      </c>
      <c r="AF236" s="38" t="str">
        <f>IF(Tabla_Auditorias[[#This Row],[TOTAL
COSTO
NETO]]&lt;&gt;0,"Si","No")</f>
        <v>No</v>
      </c>
      <c r="AG236" s="39" t="s">
        <v>274</v>
      </c>
      <c r="AH236" s="40"/>
      <c r="AI236" s="51" t="str">
        <f t="shared" si="22"/>
        <v/>
      </c>
      <c r="AJ236" s="38" t="str">
        <f t="shared" si="23"/>
        <v>Pendiente</v>
      </c>
    </row>
    <row r="237" spans="1:36" s="31" customFormat="1" ht="25.5" customHeight="1" x14ac:dyDescent="0.2">
      <c r="A237" s="32">
        <v>233</v>
      </c>
      <c r="B237" s="33" t="s">
        <v>203</v>
      </c>
      <c r="C237" s="32" t="s">
        <v>43</v>
      </c>
      <c r="D237" s="32" t="s">
        <v>44</v>
      </c>
      <c r="E237" s="32" t="s">
        <v>58</v>
      </c>
      <c r="F237" s="32">
        <v>1520</v>
      </c>
      <c r="G237" s="33" t="s">
        <v>59</v>
      </c>
      <c r="H237" s="32" t="s">
        <v>47</v>
      </c>
      <c r="I237" s="32"/>
      <c r="J237" s="34">
        <v>45832</v>
      </c>
      <c r="K237" s="34">
        <v>45832</v>
      </c>
      <c r="L237" s="32" t="s">
        <v>48</v>
      </c>
      <c r="M237" s="48">
        <v>197079.57610000001</v>
      </c>
      <c r="N237" s="48">
        <v>66.48</v>
      </c>
      <c r="O237" s="48">
        <v>-186.73</v>
      </c>
      <c r="P237" s="48">
        <v>13.42</v>
      </c>
      <c r="Q237" s="48">
        <v>-56.42</v>
      </c>
      <c r="R237" s="48">
        <v>0</v>
      </c>
      <c r="S237" s="48"/>
      <c r="T237" s="48">
        <f t="shared" si="18"/>
        <v>-163.25</v>
      </c>
      <c r="U237" s="48">
        <f t="shared" si="19"/>
        <v>-163.25</v>
      </c>
      <c r="V237" s="49">
        <f>+Tabla_Auditorias[[#This Row],[AJUSTE
EGRESO
COSTO]]+Tabla_Auditorias[[#This Row],[AJUSTE EGRESO
MAL ESTADO]]+Tabla_Auditorias[[#This Row],[AJUSTE
INGRESO
COSTO]]</f>
        <v>-64.16474999999997</v>
      </c>
      <c r="W237" s="48">
        <v>-362.01934999999997</v>
      </c>
      <c r="X237" s="48"/>
      <c r="Y237" s="48"/>
      <c r="Z237" s="48">
        <v>297.8546</v>
      </c>
      <c r="AA237" s="50">
        <f>+SUM(Tabla_Auditorias[[#This Row],[AJUSTE
EGRESO
COSTO]:[AJUSTE
INGRESO
COSTO]])</f>
        <v>-64.16474999999997</v>
      </c>
      <c r="AB237" s="36" t="str">
        <f t="shared" si="20"/>
        <v>MEDIO</v>
      </c>
      <c r="AC237" s="37">
        <f t="shared" si="21"/>
        <v>25</v>
      </c>
      <c r="AD237" s="35">
        <v>0</v>
      </c>
      <c r="AE237" s="41" t="s">
        <v>49</v>
      </c>
      <c r="AF237" s="38" t="str">
        <f>IF(Tabla_Auditorias[[#This Row],[TOTAL
COSTO
NETO]]&lt;&gt;0,"Si","No")</f>
        <v>Si</v>
      </c>
      <c r="AG237" s="39" t="s">
        <v>275</v>
      </c>
      <c r="AH237" s="40"/>
      <c r="AI237" s="51">
        <f t="shared" si="22"/>
        <v>0</v>
      </c>
      <c r="AJ237" s="38" t="str">
        <f t="shared" si="23"/>
        <v>Pendiente</v>
      </c>
    </row>
    <row r="238" spans="1:36" s="31" customFormat="1" ht="25.5" customHeight="1" x14ac:dyDescent="0.2">
      <c r="A238" s="32">
        <v>234</v>
      </c>
      <c r="B238" s="33" t="s">
        <v>97</v>
      </c>
      <c r="C238" s="32" t="s">
        <v>51</v>
      </c>
      <c r="D238" s="32" t="s">
        <v>57</v>
      </c>
      <c r="E238" s="32" t="s">
        <v>53</v>
      </c>
      <c r="F238" s="32">
        <v>1701</v>
      </c>
      <c r="G238" s="33" t="s">
        <v>54</v>
      </c>
      <c r="H238" s="32" t="s">
        <v>47</v>
      </c>
      <c r="I238" s="32"/>
      <c r="J238" s="34">
        <v>45834</v>
      </c>
      <c r="K238" s="34">
        <v>45834</v>
      </c>
      <c r="L238" s="32" t="s">
        <v>48</v>
      </c>
      <c r="M238" s="48">
        <v>120162.34</v>
      </c>
      <c r="N238" s="48">
        <v>0</v>
      </c>
      <c r="O238" s="48">
        <v>0</v>
      </c>
      <c r="P238" s="48">
        <v>0</v>
      </c>
      <c r="Q238" s="48">
        <v>0</v>
      </c>
      <c r="R238" s="48">
        <v>0</v>
      </c>
      <c r="S238" s="48"/>
      <c r="T238" s="48">
        <f t="shared" si="18"/>
        <v>0</v>
      </c>
      <c r="U238" s="48">
        <f t="shared" si="19"/>
        <v>0</v>
      </c>
      <c r="V238" s="49">
        <f>+Tabla_Auditorias[[#This Row],[AJUSTE
EGRESO
COSTO]]+Tabla_Auditorias[[#This Row],[AJUSTE EGRESO
MAL ESTADO]]+Tabla_Auditorias[[#This Row],[AJUSTE
INGRESO
COSTO]]</f>
        <v>0</v>
      </c>
      <c r="W238" s="48">
        <v>0</v>
      </c>
      <c r="X238" s="48"/>
      <c r="Y238" s="48"/>
      <c r="Z238" s="48">
        <v>0</v>
      </c>
      <c r="AA238" s="50">
        <f>+SUM(Tabla_Auditorias[[#This Row],[AJUSTE
EGRESO
COSTO]:[AJUSTE
INGRESO
COSTO]])</f>
        <v>0</v>
      </c>
      <c r="AB238" s="36" t="str">
        <f t="shared" si="20"/>
        <v>BAJO</v>
      </c>
      <c r="AC238" s="37">
        <f t="shared" si="21"/>
        <v>0</v>
      </c>
      <c r="AD238" s="35">
        <v>0</v>
      </c>
      <c r="AE238" s="41" t="s">
        <v>49</v>
      </c>
      <c r="AF238" s="38" t="str">
        <f>IF(Tabla_Auditorias[[#This Row],[TOTAL
COSTO
NETO]]&lt;&gt;0,"Si","No")</f>
        <v>No</v>
      </c>
      <c r="AG238" s="39" t="s">
        <v>274</v>
      </c>
      <c r="AH238" s="40"/>
      <c r="AI238" s="51" t="str">
        <f t="shared" si="22"/>
        <v/>
      </c>
      <c r="AJ238" s="38" t="str">
        <f t="shared" si="23"/>
        <v>Pendiente</v>
      </c>
    </row>
    <row r="239" spans="1:36" s="31" customFormat="1" ht="25.5" customHeight="1" x14ac:dyDescent="0.2">
      <c r="A239" s="32">
        <v>235</v>
      </c>
      <c r="B239" s="33" t="s">
        <v>93</v>
      </c>
      <c r="C239" s="32" t="s">
        <v>51</v>
      </c>
      <c r="D239" s="32" t="s">
        <v>64</v>
      </c>
      <c r="E239" s="32" t="s">
        <v>45</v>
      </c>
      <c r="F239" s="32">
        <v>1723</v>
      </c>
      <c r="G239" s="33" t="s">
        <v>46</v>
      </c>
      <c r="H239" s="32" t="s">
        <v>47</v>
      </c>
      <c r="I239" s="32"/>
      <c r="J239" s="34">
        <v>45838</v>
      </c>
      <c r="K239" s="34">
        <v>45838</v>
      </c>
      <c r="L239" s="32" t="s">
        <v>48</v>
      </c>
      <c r="M239" s="48">
        <v>448211.30969999952</v>
      </c>
      <c r="N239" s="48">
        <v>0</v>
      </c>
      <c r="O239" s="48">
        <v>0</v>
      </c>
      <c r="P239" s="48">
        <v>0</v>
      </c>
      <c r="Q239" s="48">
        <v>0</v>
      </c>
      <c r="R239" s="48">
        <v>0</v>
      </c>
      <c r="S239" s="48"/>
      <c r="T239" s="48">
        <f t="shared" si="18"/>
        <v>0</v>
      </c>
      <c r="U239" s="48">
        <f t="shared" si="19"/>
        <v>0</v>
      </c>
      <c r="V239" s="49">
        <f>+Tabla_Auditorias[[#This Row],[AJUSTE
EGRESO
COSTO]]+Tabla_Auditorias[[#This Row],[AJUSTE EGRESO
MAL ESTADO]]+Tabla_Auditorias[[#This Row],[AJUSTE
INGRESO
COSTO]]</f>
        <v>0</v>
      </c>
      <c r="W239" s="48">
        <v>0</v>
      </c>
      <c r="X239" s="48"/>
      <c r="Y239" s="48"/>
      <c r="Z239" s="48">
        <v>0</v>
      </c>
      <c r="AA239" s="50">
        <f>+SUM(Tabla_Auditorias[[#This Row],[AJUSTE
EGRESO
COSTO]:[AJUSTE
INGRESO
COSTO]])</f>
        <v>0</v>
      </c>
      <c r="AB239" s="36" t="str">
        <f t="shared" si="20"/>
        <v>BAJO</v>
      </c>
      <c r="AC239" s="37">
        <f t="shared" si="21"/>
        <v>0</v>
      </c>
      <c r="AD239" s="35">
        <v>0</v>
      </c>
      <c r="AE239" s="41" t="s">
        <v>49</v>
      </c>
      <c r="AF239" s="38" t="str">
        <f>IF(Tabla_Auditorias[[#This Row],[TOTAL
COSTO
NETO]]&lt;&gt;0,"Si","No")</f>
        <v>No</v>
      </c>
      <c r="AG239" s="39" t="s">
        <v>276</v>
      </c>
      <c r="AH239" s="40"/>
      <c r="AI239" s="51" t="str">
        <f t="shared" si="22"/>
        <v/>
      </c>
      <c r="AJ239" s="38" t="str">
        <f t="shared" si="23"/>
        <v>Pendiente</v>
      </c>
    </row>
    <row r="240" spans="1:36" s="31" customFormat="1" ht="25.5" customHeight="1" x14ac:dyDescent="0.2">
      <c r="A240" s="32">
        <v>236</v>
      </c>
      <c r="B240" s="33" t="s">
        <v>227</v>
      </c>
      <c r="C240" s="32" t="s">
        <v>88</v>
      </c>
      <c r="D240" s="32" t="s">
        <v>228</v>
      </c>
      <c r="E240" s="32" t="s">
        <v>53</v>
      </c>
      <c r="F240" s="32">
        <v>1450</v>
      </c>
      <c r="G240" s="33" t="s">
        <v>54</v>
      </c>
      <c r="H240" s="32" t="s">
        <v>47</v>
      </c>
      <c r="I240" s="32"/>
      <c r="J240" s="34">
        <v>45845</v>
      </c>
      <c r="K240" s="34">
        <v>45845</v>
      </c>
      <c r="L240" s="32" t="s">
        <v>48</v>
      </c>
      <c r="M240" s="48">
        <v>27537.26</v>
      </c>
      <c r="N240" s="48">
        <v>1229.52</v>
      </c>
      <c r="O240" s="48">
        <v>-10063.950000000001</v>
      </c>
      <c r="P240" s="48">
        <v>0</v>
      </c>
      <c r="Q240" s="48">
        <v>-367.49</v>
      </c>
      <c r="R240" s="48">
        <v>0</v>
      </c>
      <c r="S240" s="48"/>
      <c r="T240" s="48">
        <f t="shared" si="18"/>
        <v>-9201.92</v>
      </c>
      <c r="U240" s="48">
        <f t="shared" si="19"/>
        <v>-9201.92</v>
      </c>
      <c r="V240" s="49">
        <f>+Tabla_Auditorias[[#This Row],[AJUSTE
EGRESO
COSTO]]+Tabla_Auditorias[[#This Row],[AJUSTE EGRESO
MAL ESTADO]]+Tabla_Auditorias[[#This Row],[AJUSTE
INGRESO
COSTO]]</f>
        <v>-3839.1600000000003</v>
      </c>
      <c r="W240" s="48">
        <v>-4352.8500000000004</v>
      </c>
      <c r="X240" s="48"/>
      <c r="Y240" s="48"/>
      <c r="Z240" s="48">
        <v>513.69000000000005</v>
      </c>
      <c r="AA240" s="50">
        <f>+SUM(Tabla_Auditorias[[#This Row],[AJUSTE
EGRESO
COSTO]:[AJUSTE
INGRESO
COSTO]])</f>
        <v>-3839.1600000000003</v>
      </c>
      <c r="AB240" s="36" t="str">
        <f t="shared" si="20"/>
        <v>CRÍTICO</v>
      </c>
      <c r="AC240" s="37">
        <f t="shared" si="21"/>
        <v>85</v>
      </c>
      <c r="AD240" s="35">
        <v>0</v>
      </c>
      <c r="AE240" s="41" t="s">
        <v>49</v>
      </c>
      <c r="AF240" s="38" t="str">
        <f>IF(Tabla_Auditorias[[#This Row],[TOTAL
COSTO
NETO]]&lt;&gt;0,"Si","No")</f>
        <v>Si</v>
      </c>
      <c r="AG240" s="39" t="s">
        <v>277</v>
      </c>
      <c r="AH240" s="40"/>
      <c r="AI240" s="51">
        <f t="shared" si="22"/>
        <v>0</v>
      </c>
      <c r="AJ240" s="38" t="str">
        <f t="shared" si="23"/>
        <v>Pendiente</v>
      </c>
    </row>
    <row r="241" spans="1:36" s="31" customFormat="1" ht="25.5" customHeight="1" x14ac:dyDescent="0.2">
      <c r="A241" s="32">
        <v>237</v>
      </c>
      <c r="B241" s="33" t="s">
        <v>50</v>
      </c>
      <c r="C241" s="32" t="s">
        <v>51</v>
      </c>
      <c r="D241" s="32" t="s">
        <v>52</v>
      </c>
      <c r="E241" s="32" t="s">
        <v>53</v>
      </c>
      <c r="F241" s="32">
        <v>1732</v>
      </c>
      <c r="G241" s="33" t="s">
        <v>54</v>
      </c>
      <c r="H241" s="32" t="s">
        <v>47</v>
      </c>
      <c r="I241" s="32"/>
      <c r="J241" s="34">
        <v>45845</v>
      </c>
      <c r="K241" s="34">
        <v>45845</v>
      </c>
      <c r="L241" s="32" t="s">
        <v>48</v>
      </c>
      <c r="M241" s="48">
        <v>38153.550000000003</v>
      </c>
      <c r="N241" s="48">
        <v>0</v>
      </c>
      <c r="O241" s="48">
        <v>0</v>
      </c>
      <c r="P241" s="48">
        <v>0</v>
      </c>
      <c r="Q241" s="48">
        <v>0</v>
      </c>
      <c r="R241" s="48">
        <v>0</v>
      </c>
      <c r="S241" s="48"/>
      <c r="T241" s="48">
        <f t="shared" si="18"/>
        <v>0</v>
      </c>
      <c r="U241" s="48">
        <f t="shared" si="19"/>
        <v>0</v>
      </c>
      <c r="V241" s="49">
        <f>+Tabla_Auditorias[[#This Row],[AJUSTE
EGRESO
COSTO]]+Tabla_Auditorias[[#This Row],[AJUSTE EGRESO
MAL ESTADO]]+Tabla_Auditorias[[#This Row],[AJUSTE
INGRESO
COSTO]]</f>
        <v>0</v>
      </c>
      <c r="W241" s="48">
        <v>0</v>
      </c>
      <c r="X241" s="48"/>
      <c r="Y241" s="48"/>
      <c r="Z241" s="48">
        <v>0</v>
      </c>
      <c r="AA241" s="50">
        <f>+SUM(Tabla_Auditorias[[#This Row],[AJUSTE
EGRESO
COSTO]:[AJUSTE
INGRESO
COSTO]])</f>
        <v>0</v>
      </c>
      <c r="AB241" s="36" t="str">
        <f t="shared" si="20"/>
        <v>BAJO</v>
      </c>
      <c r="AC241" s="37">
        <f t="shared" si="21"/>
        <v>0</v>
      </c>
      <c r="AD241" s="35">
        <v>0</v>
      </c>
      <c r="AE241" s="41" t="s">
        <v>49</v>
      </c>
      <c r="AF241" s="38" t="str">
        <f>IF(Tabla_Auditorias[[#This Row],[TOTAL
COSTO
NETO]]&lt;&gt;0,"Si","No")</f>
        <v>No</v>
      </c>
      <c r="AG241" s="39" t="s">
        <v>274</v>
      </c>
      <c r="AH241" s="40"/>
      <c r="AI241" s="51" t="str">
        <f t="shared" si="22"/>
        <v/>
      </c>
      <c r="AJ241" s="38" t="str">
        <f t="shared" si="23"/>
        <v>Pendiente</v>
      </c>
    </row>
    <row r="242" spans="1:36" s="31" customFormat="1" ht="25.5" customHeight="1" x14ac:dyDescent="0.2">
      <c r="A242" s="32">
        <v>238</v>
      </c>
      <c r="B242" s="33" t="s">
        <v>222</v>
      </c>
      <c r="C242" s="32" t="s">
        <v>43</v>
      </c>
      <c r="D242" s="32" t="s">
        <v>44</v>
      </c>
      <c r="E242" s="32" t="s">
        <v>58</v>
      </c>
      <c r="F242" s="32">
        <v>1501</v>
      </c>
      <c r="G242" s="33" t="s">
        <v>59</v>
      </c>
      <c r="H242" s="32" t="s">
        <v>47</v>
      </c>
      <c r="I242" s="32"/>
      <c r="J242" s="34">
        <v>45849</v>
      </c>
      <c r="K242" s="34">
        <v>45849</v>
      </c>
      <c r="L242" s="32" t="s">
        <v>48</v>
      </c>
      <c r="M242" s="48">
        <v>261117.28</v>
      </c>
      <c r="N242" s="48">
        <v>170.1</v>
      </c>
      <c r="O242" s="48">
        <v>-99.63</v>
      </c>
      <c r="P242" s="48">
        <v>-11.58</v>
      </c>
      <c r="Q242" s="48">
        <v>0</v>
      </c>
      <c r="R242" s="48">
        <v>0</v>
      </c>
      <c r="S242" s="48"/>
      <c r="T242" s="48">
        <f t="shared" si="18"/>
        <v>58.89</v>
      </c>
      <c r="U242" s="48">
        <f t="shared" si="19"/>
        <v>58.89</v>
      </c>
      <c r="V242" s="49">
        <f>+Tabla_Auditorias[[#This Row],[AJUSTE
EGRESO
COSTO]]+Tabla_Auditorias[[#This Row],[AJUSTE EGRESO
MAL ESTADO]]+Tabla_Auditorias[[#This Row],[AJUSTE
INGRESO
COSTO]]</f>
        <v>-38.029999999999973</v>
      </c>
      <c r="W242" s="48">
        <v>-374.94</v>
      </c>
      <c r="X242" s="48"/>
      <c r="Y242" s="48"/>
      <c r="Z242" s="48">
        <v>336.91</v>
      </c>
      <c r="AA242" s="50">
        <f>+SUM(Tabla_Auditorias[[#This Row],[AJUSTE
EGRESO
COSTO]:[AJUSTE
INGRESO
COSTO]])</f>
        <v>-38.029999999999973</v>
      </c>
      <c r="AB242" s="36" t="str">
        <f t="shared" si="20"/>
        <v>MEDIO</v>
      </c>
      <c r="AC242" s="37">
        <f t="shared" si="21"/>
        <v>20</v>
      </c>
      <c r="AD242" s="35">
        <v>0</v>
      </c>
      <c r="AE242" s="41" t="s">
        <v>49</v>
      </c>
      <c r="AF242" s="38" t="str">
        <f>IF(Tabla_Auditorias[[#This Row],[TOTAL
COSTO
NETO]]&lt;&gt;0,"Si","No")</f>
        <v>Si</v>
      </c>
      <c r="AG242" s="39" t="s">
        <v>278</v>
      </c>
      <c r="AH242" s="40"/>
      <c r="AI242" s="51">
        <f t="shared" si="22"/>
        <v>0</v>
      </c>
      <c r="AJ242" s="38" t="str">
        <f t="shared" si="23"/>
        <v>Pendiente</v>
      </c>
    </row>
    <row r="243" spans="1:36" s="31" customFormat="1" ht="25.5" customHeight="1" x14ac:dyDescent="0.2">
      <c r="A243" s="32">
        <v>239</v>
      </c>
      <c r="B243" s="33" t="s">
        <v>134</v>
      </c>
      <c r="C243" s="32" t="s">
        <v>43</v>
      </c>
      <c r="D243" s="32" t="s">
        <v>44</v>
      </c>
      <c r="E243" s="32" t="s">
        <v>45</v>
      </c>
      <c r="F243" s="32">
        <v>1509</v>
      </c>
      <c r="G243" s="33" t="s">
        <v>46</v>
      </c>
      <c r="H243" s="32" t="s">
        <v>47</v>
      </c>
      <c r="I243" s="32"/>
      <c r="J243" s="34">
        <v>45849</v>
      </c>
      <c r="K243" s="34">
        <v>45849</v>
      </c>
      <c r="L243" s="32" t="s">
        <v>48</v>
      </c>
      <c r="M243" s="48">
        <v>447917.58119999908</v>
      </c>
      <c r="N243" s="48">
        <v>896.58</v>
      </c>
      <c r="O243" s="48">
        <v>-1682.02</v>
      </c>
      <c r="P243" s="48">
        <v>-56.970000000000013</v>
      </c>
      <c r="Q243" s="48">
        <v>-74.02000000000001</v>
      </c>
      <c r="R243" s="48">
        <v>0</v>
      </c>
      <c r="S243" s="48"/>
      <c r="T243" s="48">
        <f t="shared" si="18"/>
        <v>-916.43</v>
      </c>
      <c r="U243" s="48">
        <f t="shared" si="19"/>
        <v>-916.43</v>
      </c>
      <c r="V243" s="49">
        <f>+Tabla_Auditorias[[#This Row],[AJUSTE
EGRESO
COSTO]]+Tabla_Auditorias[[#This Row],[AJUSTE EGRESO
MAL ESTADO]]+Tabla_Auditorias[[#This Row],[AJUSTE
INGRESO
COSTO]]</f>
        <v>259.7799</v>
      </c>
      <c r="W243" s="48">
        <v>-2123.3004000000001</v>
      </c>
      <c r="X243" s="48"/>
      <c r="Y243" s="48"/>
      <c r="Z243" s="48">
        <v>2383.0803000000001</v>
      </c>
      <c r="AA243" s="50">
        <f>+SUM(Tabla_Auditorias[[#This Row],[AJUSTE
EGRESO
COSTO]:[AJUSTE
INGRESO
COSTO]])</f>
        <v>259.7799</v>
      </c>
      <c r="AB243" s="36" t="str">
        <f t="shared" si="20"/>
        <v>ALTO</v>
      </c>
      <c r="AC243" s="37">
        <f t="shared" si="21"/>
        <v>37</v>
      </c>
      <c r="AD243" s="35">
        <v>0</v>
      </c>
      <c r="AE243" s="41" t="s">
        <v>49</v>
      </c>
      <c r="AF243" s="38" t="str">
        <f>IF(Tabla_Auditorias[[#This Row],[TOTAL
COSTO
NETO]]&lt;&gt;0,"Si","No")</f>
        <v>Si</v>
      </c>
      <c r="AG243" s="39" t="s">
        <v>279</v>
      </c>
      <c r="AH243" s="40"/>
      <c r="AI243" s="51" t="str">
        <f t="shared" si="22"/>
        <v/>
      </c>
      <c r="AJ243" s="38" t="str">
        <f t="shared" si="23"/>
        <v>No Aplica</v>
      </c>
    </row>
    <row r="244" spans="1:36" s="31" customFormat="1" ht="25.5" customHeight="1" x14ac:dyDescent="0.2">
      <c r="A244" s="32">
        <v>240</v>
      </c>
      <c r="B244" s="33" t="s">
        <v>77</v>
      </c>
      <c r="C244" s="32" t="s">
        <v>43</v>
      </c>
      <c r="D244" s="32" t="s">
        <v>44</v>
      </c>
      <c r="E244" s="32" t="s">
        <v>58</v>
      </c>
      <c r="F244" s="32">
        <v>1508</v>
      </c>
      <c r="G244" s="33" t="s">
        <v>59</v>
      </c>
      <c r="H244" s="32" t="s">
        <v>280</v>
      </c>
      <c r="I244" s="32"/>
      <c r="J244" s="34">
        <v>45850</v>
      </c>
      <c r="K244" s="34">
        <v>45850</v>
      </c>
      <c r="L244" s="32" t="s">
        <v>48</v>
      </c>
      <c r="M244" s="48">
        <v>130562.13</v>
      </c>
      <c r="N244" s="48">
        <v>31</v>
      </c>
      <c r="O244" s="48">
        <v>-129.93</v>
      </c>
      <c r="P244" s="48">
        <v>-176.16</v>
      </c>
      <c r="Q244" s="48">
        <v>0</v>
      </c>
      <c r="R244" s="48">
        <v>0</v>
      </c>
      <c r="S244" s="48"/>
      <c r="T244" s="48">
        <f t="shared" si="18"/>
        <v>-275.09000000000003</v>
      </c>
      <c r="U244" s="48">
        <f t="shared" si="19"/>
        <v>-275.09000000000003</v>
      </c>
      <c r="V244" s="49">
        <f>+Tabla_Auditorias[[#This Row],[AJUSTE
EGRESO
COSTO]]+Tabla_Auditorias[[#This Row],[AJUSTE EGRESO
MAL ESTADO]]+Tabla_Auditorias[[#This Row],[AJUSTE
INGRESO
COSTO]]</f>
        <v>-30.039999999999964</v>
      </c>
      <c r="W244" s="48">
        <v>-3578.77</v>
      </c>
      <c r="X244" s="48"/>
      <c r="Y244" s="48"/>
      <c r="Z244" s="48">
        <v>3548.73</v>
      </c>
      <c r="AA244" s="50">
        <f>+SUM(Tabla_Auditorias[[#This Row],[AJUSTE
EGRESO
COSTO]:[AJUSTE
INGRESO
COSTO]])</f>
        <v>-30.039999999999964</v>
      </c>
      <c r="AB244" s="36" t="str">
        <f t="shared" si="20"/>
        <v>MEDIO</v>
      </c>
      <c r="AC244" s="37">
        <f t="shared" si="21"/>
        <v>25</v>
      </c>
      <c r="AD244" s="35">
        <v>0</v>
      </c>
      <c r="AE244" s="41" t="s">
        <v>49</v>
      </c>
      <c r="AF244" s="38" t="str">
        <f>IF(Tabla_Auditorias[[#This Row],[TOTAL
COSTO
NETO]]&lt;&gt;0,"Si","No")</f>
        <v>Si</v>
      </c>
      <c r="AG244" s="39" t="s">
        <v>281</v>
      </c>
      <c r="AH244" s="40"/>
      <c r="AI244" s="51">
        <f t="shared" si="22"/>
        <v>0</v>
      </c>
      <c r="AJ244" s="38" t="str">
        <f t="shared" si="23"/>
        <v>Pendiente</v>
      </c>
    </row>
    <row r="245" spans="1:36" s="31" customFormat="1" ht="25.5" customHeight="1" x14ac:dyDescent="0.2">
      <c r="A245" s="32">
        <v>241</v>
      </c>
      <c r="B245" s="33" t="s">
        <v>85</v>
      </c>
      <c r="C245" s="32" t="s">
        <v>43</v>
      </c>
      <c r="D245" s="32" t="s">
        <v>44</v>
      </c>
      <c r="E245" s="32" t="s">
        <v>53</v>
      </c>
      <c r="F245" s="32">
        <v>1510</v>
      </c>
      <c r="G245" s="33" t="s">
        <v>54</v>
      </c>
      <c r="H245" s="32" t="s">
        <v>280</v>
      </c>
      <c r="I245" s="32"/>
      <c r="J245" s="34">
        <v>45852</v>
      </c>
      <c r="K245" s="34">
        <v>45852</v>
      </c>
      <c r="L245" s="32" t="s">
        <v>48</v>
      </c>
      <c r="M245" s="48">
        <v>6523.72</v>
      </c>
      <c r="N245" s="48">
        <v>0</v>
      </c>
      <c r="O245" s="48">
        <v>0</v>
      </c>
      <c r="P245" s="48">
        <v>0</v>
      </c>
      <c r="Q245" s="48">
        <v>0</v>
      </c>
      <c r="R245" s="48">
        <v>0</v>
      </c>
      <c r="S245" s="48"/>
      <c r="T245" s="48">
        <f t="shared" si="18"/>
        <v>0</v>
      </c>
      <c r="U245" s="48">
        <f t="shared" si="19"/>
        <v>0</v>
      </c>
      <c r="V245" s="49">
        <f>+Tabla_Auditorias[[#This Row],[AJUSTE
EGRESO
COSTO]]+Tabla_Auditorias[[#This Row],[AJUSTE EGRESO
MAL ESTADO]]+Tabla_Auditorias[[#This Row],[AJUSTE
INGRESO
COSTO]]</f>
        <v>0</v>
      </c>
      <c r="W245" s="48">
        <v>0</v>
      </c>
      <c r="X245" s="48"/>
      <c r="Y245" s="48"/>
      <c r="Z245" s="48">
        <v>0</v>
      </c>
      <c r="AA245" s="50">
        <f>+SUM(Tabla_Auditorias[[#This Row],[AJUSTE
EGRESO
COSTO]:[AJUSTE
INGRESO
COSTO]])</f>
        <v>0</v>
      </c>
      <c r="AB245" s="36" t="str">
        <f t="shared" si="20"/>
        <v>BAJO</v>
      </c>
      <c r="AC245" s="37">
        <f t="shared" si="21"/>
        <v>0</v>
      </c>
      <c r="AD245" s="35">
        <v>0</v>
      </c>
      <c r="AE245" s="41" t="s">
        <v>49</v>
      </c>
      <c r="AF245" s="38" t="str">
        <f>IF(Tabla_Auditorias[[#This Row],[TOTAL
COSTO
NETO]]&lt;&gt;0,"Si","No")</f>
        <v>No</v>
      </c>
      <c r="AG245" s="39" t="s">
        <v>274</v>
      </c>
      <c r="AH245" s="40"/>
      <c r="AI245" s="51" t="str">
        <f t="shared" si="22"/>
        <v/>
      </c>
      <c r="AJ245" s="38" t="str">
        <f t="shared" si="23"/>
        <v>Pendiente</v>
      </c>
    </row>
    <row r="246" spans="1:36" s="31" customFormat="1" ht="25.5" customHeight="1" x14ac:dyDescent="0.2">
      <c r="A246" s="32">
        <v>242</v>
      </c>
      <c r="B246" s="33" t="s">
        <v>94</v>
      </c>
      <c r="C246" s="32" t="s">
        <v>43</v>
      </c>
      <c r="D246" s="32" t="s">
        <v>44</v>
      </c>
      <c r="E246" s="32" t="s">
        <v>53</v>
      </c>
      <c r="F246" s="32">
        <v>1502</v>
      </c>
      <c r="G246" s="33" t="s">
        <v>54</v>
      </c>
      <c r="H246" s="32" t="s">
        <v>280</v>
      </c>
      <c r="I246" s="32"/>
      <c r="J246" s="34">
        <v>45852</v>
      </c>
      <c r="K246" s="34">
        <v>45852</v>
      </c>
      <c r="L246" s="32" t="s">
        <v>48</v>
      </c>
      <c r="M246" s="48">
        <v>25133.52</v>
      </c>
      <c r="N246" s="48">
        <v>0</v>
      </c>
      <c r="O246" s="48">
        <v>0</v>
      </c>
      <c r="P246" s="48">
        <v>0</v>
      </c>
      <c r="Q246" s="48">
        <v>0</v>
      </c>
      <c r="R246" s="48">
        <v>0</v>
      </c>
      <c r="S246" s="48"/>
      <c r="T246" s="48">
        <f t="shared" si="18"/>
        <v>0</v>
      </c>
      <c r="U246" s="48">
        <f t="shared" si="19"/>
        <v>0</v>
      </c>
      <c r="V246" s="49">
        <f>+Tabla_Auditorias[[#This Row],[AJUSTE
EGRESO
COSTO]]+Tabla_Auditorias[[#This Row],[AJUSTE EGRESO
MAL ESTADO]]+Tabla_Auditorias[[#This Row],[AJUSTE
INGRESO
COSTO]]</f>
        <v>0</v>
      </c>
      <c r="W246" s="48">
        <v>0</v>
      </c>
      <c r="X246" s="48"/>
      <c r="Y246" s="48"/>
      <c r="Z246" s="48">
        <v>0</v>
      </c>
      <c r="AA246" s="50">
        <f>+SUM(Tabla_Auditorias[[#This Row],[AJUSTE
EGRESO
COSTO]:[AJUSTE
INGRESO
COSTO]])</f>
        <v>0</v>
      </c>
      <c r="AB246" s="36" t="str">
        <f t="shared" si="20"/>
        <v>BAJO</v>
      </c>
      <c r="AC246" s="37">
        <f t="shared" si="21"/>
        <v>0</v>
      </c>
      <c r="AD246" s="35">
        <v>0</v>
      </c>
      <c r="AE246" s="41" t="s">
        <v>49</v>
      </c>
      <c r="AF246" s="38" t="str">
        <f>IF(Tabla_Auditorias[[#This Row],[TOTAL
COSTO
NETO]]&lt;&gt;0,"Si","No")</f>
        <v>No</v>
      </c>
      <c r="AG246" s="39" t="s">
        <v>274</v>
      </c>
      <c r="AH246" s="40"/>
      <c r="AI246" s="51" t="str">
        <f t="shared" si="22"/>
        <v/>
      </c>
      <c r="AJ246" s="38" t="str">
        <f t="shared" si="23"/>
        <v>Pendiente</v>
      </c>
    </row>
    <row r="247" spans="1:36" s="31" customFormat="1" ht="25.5" customHeight="1" x14ac:dyDescent="0.2">
      <c r="A247" s="32">
        <v>243</v>
      </c>
      <c r="B247" s="33" t="s">
        <v>85</v>
      </c>
      <c r="C247" s="32" t="s">
        <v>43</v>
      </c>
      <c r="D247" s="32" t="s">
        <v>44</v>
      </c>
      <c r="E247" s="32" t="s">
        <v>53</v>
      </c>
      <c r="F247" s="32">
        <v>1510</v>
      </c>
      <c r="G247" s="33" t="s">
        <v>54</v>
      </c>
      <c r="H247" s="32" t="s">
        <v>280</v>
      </c>
      <c r="I247" s="32"/>
      <c r="J247" s="34">
        <v>45852</v>
      </c>
      <c r="K247" s="34">
        <v>45852</v>
      </c>
      <c r="L247" s="32" t="s">
        <v>48</v>
      </c>
      <c r="M247" s="48">
        <v>6523.72</v>
      </c>
      <c r="N247" s="48">
        <v>0</v>
      </c>
      <c r="O247" s="48">
        <v>0</v>
      </c>
      <c r="P247" s="48">
        <v>0</v>
      </c>
      <c r="Q247" s="48">
        <v>0</v>
      </c>
      <c r="R247" s="48">
        <v>0</v>
      </c>
      <c r="S247" s="48"/>
      <c r="T247" s="48">
        <f t="shared" si="18"/>
        <v>0</v>
      </c>
      <c r="U247" s="48">
        <f t="shared" si="19"/>
        <v>0</v>
      </c>
      <c r="V247" s="49">
        <f>+Tabla_Auditorias[[#This Row],[AJUSTE
EGRESO
COSTO]]+Tabla_Auditorias[[#This Row],[AJUSTE EGRESO
MAL ESTADO]]+Tabla_Auditorias[[#This Row],[AJUSTE
INGRESO
COSTO]]</f>
        <v>0</v>
      </c>
      <c r="W247" s="48">
        <v>0</v>
      </c>
      <c r="X247" s="48"/>
      <c r="Y247" s="48"/>
      <c r="Z247" s="48">
        <v>0</v>
      </c>
      <c r="AA247" s="50">
        <f>+SUM(Tabla_Auditorias[[#This Row],[AJUSTE
EGRESO
COSTO]:[AJUSTE
INGRESO
COSTO]])</f>
        <v>0</v>
      </c>
      <c r="AB247" s="36" t="str">
        <f t="shared" si="20"/>
        <v>BAJO</v>
      </c>
      <c r="AC247" s="37">
        <f t="shared" si="21"/>
        <v>0</v>
      </c>
      <c r="AD247" s="35">
        <v>0</v>
      </c>
      <c r="AE247" s="41" t="s">
        <v>49</v>
      </c>
      <c r="AF247" s="38" t="str">
        <f>IF(Tabla_Auditorias[[#This Row],[TOTAL
COSTO
NETO]]&lt;&gt;0,"Si","No")</f>
        <v>No</v>
      </c>
      <c r="AG247" s="39" t="s">
        <v>282</v>
      </c>
      <c r="AH247" s="40"/>
      <c r="AI247" s="51" t="str">
        <f t="shared" si="22"/>
        <v/>
      </c>
      <c r="AJ247" s="38" t="str">
        <f t="shared" si="23"/>
        <v>Pendiente</v>
      </c>
    </row>
    <row r="248" spans="1:36" s="31" customFormat="1" ht="25.5" customHeight="1" x14ac:dyDescent="0.2">
      <c r="A248" s="32">
        <v>244</v>
      </c>
      <c r="B248" s="33" t="s">
        <v>283</v>
      </c>
      <c r="C248" s="32" t="s">
        <v>51</v>
      </c>
      <c r="D248" s="32" t="s">
        <v>57</v>
      </c>
      <c r="E248" s="32" t="s">
        <v>53</v>
      </c>
      <c r="F248" s="32">
        <v>1721</v>
      </c>
      <c r="G248" s="33" t="s">
        <v>54</v>
      </c>
      <c r="H248" s="32" t="s">
        <v>47</v>
      </c>
      <c r="I248" s="32"/>
      <c r="J248" s="34">
        <v>45853</v>
      </c>
      <c r="K248" s="34">
        <v>45853</v>
      </c>
      <c r="L248" s="32" t="s">
        <v>48</v>
      </c>
      <c r="M248" s="48">
        <v>81902.070000000007</v>
      </c>
      <c r="N248" s="48">
        <v>11.06</v>
      </c>
      <c r="O248" s="48">
        <v>-3.43</v>
      </c>
      <c r="P248" s="48">
        <v>0</v>
      </c>
      <c r="Q248" s="48">
        <v>-758.21</v>
      </c>
      <c r="R248" s="48">
        <v>0</v>
      </c>
      <c r="S248" s="48"/>
      <c r="T248" s="48">
        <f t="shared" si="18"/>
        <v>-750.58</v>
      </c>
      <c r="U248" s="48">
        <f t="shared" si="19"/>
        <v>-750.58</v>
      </c>
      <c r="V248" s="49">
        <f>+Tabla_Auditorias[[#This Row],[AJUSTE
EGRESO
COSTO]]+Tabla_Auditorias[[#This Row],[AJUSTE EGRESO
MAL ESTADO]]+Tabla_Auditorias[[#This Row],[AJUSTE
INGRESO
COSTO]]</f>
        <v>-530.88</v>
      </c>
      <c r="W248" s="48">
        <v>-535.48</v>
      </c>
      <c r="X248" s="48"/>
      <c r="Y248" s="48"/>
      <c r="Z248" s="48">
        <v>4.5999999999999996</v>
      </c>
      <c r="AA248" s="50">
        <f>+SUM(Tabla_Auditorias[[#This Row],[AJUSTE
EGRESO
COSTO]:[AJUSTE
INGRESO
COSTO]])</f>
        <v>-530.88</v>
      </c>
      <c r="AB248" s="36" t="str">
        <f t="shared" si="20"/>
        <v>ALTO</v>
      </c>
      <c r="AC248" s="37">
        <f t="shared" si="21"/>
        <v>37</v>
      </c>
      <c r="AD248" s="35">
        <v>0</v>
      </c>
      <c r="AE248" s="41" t="s">
        <v>49</v>
      </c>
      <c r="AF248" s="38" t="str">
        <f>IF(Tabla_Auditorias[[#This Row],[TOTAL
COSTO
NETO]]&lt;&gt;0,"Si","No")</f>
        <v>Si</v>
      </c>
      <c r="AG248" s="39" t="s">
        <v>284</v>
      </c>
      <c r="AH248" s="40"/>
      <c r="AI248" s="51">
        <f t="shared" si="22"/>
        <v>0</v>
      </c>
      <c r="AJ248" s="38" t="str">
        <f t="shared" si="23"/>
        <v>Pendiente</v>
      </c>
    </row>
    <row r="249" spans="1:36" s="31" customFormat="1" ht="25.5" customHeight="1" x14ac:dyDescent="0.2">
      <c r="A249" s="32">
        <v>245</v>
      </c>
      <c r="B249" s="33" t="s">
        <v>42</v>
      </c>
      <c r="C249" s="32" t="s">
        <v>43</v>
      </c>
      <c r="D249" s="32" t="s">
        <v>44</v>
      </c>
      <c r="E249" s="32" t="s">
        <v>45</v>
      </c>
      <c r="F249" s="32">
        <v>1506</v>
      </c>
      <c r="G249" s="33" t="s">
        <v>46</v>
      </c>
      <c r="H249" s="32" t="s">
        <v>47</v>
      </c>
      <c r="I249" s="32"/>
      <c r="J249" s="34">
        <v>45856</v>
      </c>
      <c r="K249" s="34">
        <v>45856</v>
      </c>
      <c r="L249" s="32" t="s">
        <v>48</v>
      </c>
      <c r="M249" s="48">
        <v>121437.70940000001</v>
      </c>
      <c r="N249" s="48">
        <v>274.3</v>
      </c>
      <c r="O249" s="48">
        <v>-935.82000000000016</v>
      </c>
      <c r="P249" s="48">
        <v>29.27</v>
      </c>
      <c r="Q249" s="48">
        <v>-584.6099999999999</v>
      </c>
      <c r="R249" s="48">
        <v>-1432.5609999999999</v>
      </c>
      <c r="S249" s="48"/>
      <c r="T249" s="48">
        <f t="shared" si="18"/>
        <v>-2649.4210000000003</v>
      </c>
      <c r="U249" s="48">
        <f t="shared" si="19"/>
        <v>-1216.8600000000001</v>
      </c>
      <c r="V249" s="49">
        <f>+Tabla_Auditorias[[#This Row],[AJUSTE
EGRESO
COSTO]]+Tabla_Auditorias[[#This Row],[AJUSTE EGRESO
MAL ESTADO]]+Tabla_Auditorias[[#This Row],[AJUSTE
INGRESO
COSTO]]</f>
        <v>-653.69250000000011</v>
      </c>
      <c r="W249" s="48">
        <v>-1317.9501</v>
      </c>
      <c r="X249" s="48"/>
      <c r="Y249" s="48"/>
      <c r="Z249" s="48">
        <v>664.25759999999991</v>
      </c>
      <c r="AA249" s="50">
        <f>+SUM(Tabla_Auditorias[[#This Row],[AJUSTE
EGRESO
COSTO]:[AJUSTE
INGRESO
COSTO]])</f>
        <v>-653.69250000000011</v>
      </c>
      <c r="AB249" s="36" t="str">
        <f t="shared" si="20"/>
        <v>ALTO</v>
      </c>
      <c r="AC249" s="37">
        <f t="shared" si="21"/>
        <v>37</v>
      </c>
      <c r="AD249" s="35">
        <v>0</v>
      </c>
      <c r="AE249" s="41" t="s">
        <v>49</v>
      </c>
      <c r="AF249" s="38" t="str">
        <f>IF(Tabla_Auditorias[[#This Row],[TOTAL
COSTO
NETO]]&lt;&gt;0,"Si","No")</f>
        <v>Si</v>
      </c>
      <c r="AG249" s="39" t="s">
        <v>285</v>
      </c>
      <c r="AH249" s="40"/>
      <c r="AI249" s="51">
        <f t="shared" si="22"/>
        <v>0</v>
      </c>
      <c r="AJ249" s="38" t="str">
        <f t="shared" si="23"/>
        <v>Pendiente</v>
      </c>
    </row>
    <row r="250" spans="1:36" s="31" customFormat="1" ht="25.5" customHeight="1" x14ac:dyDescent="0.2">
      <c r="A250" s="32">
        <v>246</v>
      </c>
      <c r="B250" s="33" t="s">
        <v>220</v>
      </c>
      <c r="C250" s="32" t="s">
        <v>51</v>
      </c>
      <c r="D250" s="32" t="s">
        <v>52</v>
      </c>
      <c r="E250" s="32" t="s">
        <v>45</v>
      </c>
      <c r="F250" s="32">
        <v>1744</v>
      </c>
      <c r="G250" s="33" t="s">
        <v>46</v>
      </c>
      <c r="H250" s="32" t="s">
        <v>47</v>
      </c>
      <c r="I250" s="32"/>
      <c r="J250" s="34">
        <v>45857</v>
      </c>
      <c r="K250" s="34">
        <v>45857</v>
      </c>
      <c r="L250" s="32" t="s">
        <v>48</v>
      </c>
      <c r="M250" s="48">
        <v>17165.350600000002</v>
      </c>
      <c r="N250" s="48">
        <v>0</v>
      </c>
      <c r="O250" s="48">
        <v>0</v>
      </c>
      <c r="P250" s="48">
        <v>0</v>
      </c>
      <c r="Q250" s="48">
        <v>0</v>
      </c>
      <c r="R250" s="48">
        <v>0</v>
      </c>
      <c r="S250" s="48"/>
      <c r="T250" s="48">
        <f t="shared" si="18"/>
        <v>0</v>
      </c>
      <c r="U250" s="48">
        <f t="shared" si="19"/>
        <v>0</v>
      </c>
      <c r="V250" s="49">
        <f>+Tabla_Auditorias[[#This Row],[AJUSTE
EGRESO
COSTO]]+Tabla_Auditorias[[#This Row],[AJUSTE EGRESO
MAL ESTADO]]+Tabla_Auditorias[[#This Row],[AJUSTE
INGRESO
COSTO]]</f>
        <v>0</v>
      </c>
      <c r="W250" s="48">
        <v>0</v>
      </c>
      <c r="X250" s="48"/>
      <c r="Y250" s="48"/>
      <c r="Z250" s="48">
        <v>0</v>
      </c>
      <c r="AA250" s="50">
        <f>+SUM(Tabla_Auditorias[[#This Row],[AJUSTE
EGRESO
COSTO]:[AJUSTE
INGRESO
COSTO]])</f>
        <v>0</v>
      </c>
      <c r="AB250" s="36" t="str">
        <f t="shared" si="20"/>
        <v>BAJO</v>
      </c>
      <c r="AC250" s="37">
        <f t="shared" si="21"/>
        <v>0</v>
      </c>
      <c r="AD250" s="35">
        <v>0</v>
      </c>
      <c r="AE250" s="41" t="s">
        <v>49</v>
      </c>
      <c r="AF250" s="38" t="str">
        <f>IF(Tabla_Auditorias[[#This Row],[TOTAL
COSTO
NETO]]&lt;&gt;0,"Si","No")</f>
        <v>No</v>
      </c>
      <c r="AG250" s="39" t="s">
        <v>286</v>
      </c>
      <c r="AH250" s="40"/>
      <c r="AI250" s="51" t="str">
        <f t="shared" si="22"/>
        <v/>
      </c>
      <c r="AJ250" s="38" t="str">
        <f t="shared" si="23"/>
        <v>Pendiente</v>
      </c>
    </row>
    <row r="251" spans="1:36" s="31" customFormat="1" ht="25.5" customHeight="1" x14ac:dyDescent="0.2">
      <c r="A251" s="32">
        <v>247</v>
      </c>
      <c r="B251" s="33" t="s">
        <v>102</v>
      </c>
      <c r="C251" s="32" t="s">
        <v>51</v>
      </c>
      <c r="D251" s="32" t="s">
        <v>57</v>
      </c>
      <c r="E251" s="32" t="s">
        <v>53</v>
      </c>
      <c r="F251" s="32">
        <v>1709</v>
      </c>
      <c r="G251" s="33" t="s">
        <v>46</v>
      </c>
      <c r="H251" s="32" t="s">
        <v>47</v>
      </c>
      <c r="I251" s="32"/>
      <c r="J251" s="34">
        <v>45860</v>
      </c>
      <c r="K251" s="34">
        <v>45860</v>
      </c>
      <c r="L251" s="32" t="s">
        <v>48</v>
      </c>
      <c r="M251" s="48">
        <v>3921.01</v>
      </c>
      <c r="N251" s="48">
        <v>38.29</v>
      </c>
      <c r="O251" s="48">
        <v>-76.33</v>
      </c>
      <c r="P251" s="48">
        <v>21.2</v>
      </c>
      <c r="Q251" s="48">
        <v>-165.61</v>
      </c>
      <c r="R251" s="48">
        <v>0</v>
      </c>
      <c r="S251" s="48"/>
      <c r="T251" s="48">
        <f t="shared" si="18"/>
        <v>-182.45000000000002</v>
      </c>
      <c r="U251" s="48">
        <f t="shared" si="19"/>
        <v>-182.45000000000002</v>
      </c>
      <c r="V251" s="49">
        <f>+Tabla_Auditorias[[#This Row],[AJUSTE
EGRESO
COSTO]]+Tabla_Auditorias[[#This Row],[AJUSTE EGRESO
MAL ESTADO]]+Tabla_Auditorias[[#This Row],[AJUSTE
INGRESO
COSTO]]</f>
        <v>-88.839999999999975</v>
      </c>
      <c r="W251" s="48">
        <v>-261.39</v>
      </c>
      <c r="X251" s="48"/>
      <c r="Y251" s="48"/>
      <c r="Z251" s="48">
        <v>172.55</v>
      </c>
      <c r="AA251" s="50">
        <f>+SUM(Tabla_Auditorias[[#This Row],[AJUSTE
EGRESO
COSTO]:[AJUSTE
INGRESO
COSTO]])</f>
        <v>-88.839999999999975</v>
      </c>
      <c r="AB251" s="36" t="str">
        <f t="shared" si="20"/>
        <v>ALTO</v>
      </c>
      <c r="AC251" s="37">
        <f t="shared" si="21"/>
        <v>40</v>
      </c>
      <c r="AD251" s="35">
        <v>0</v>
      </c>
      <c r="AE251" s="41" t="s">
        <v>49</v>
      </c>
      <c r="AF251" s="38" t="str">
        <f>IF(Tabla_Auditorias[[#This Row],[TOTAL
COSTO
NETO]]&lt;&gt;0,"Si","No")</f>
        <v>Si</v>
      </c>
      <c r="AG251" s="39" t="s">
        <v>287</v>
      </c>
      <c r="AH251" s="40"/>
      <c r="AI251" s="51">
        <f t="shared" si="22"/>
        <v>0</v>
      </c>
      <c r="AJ251" s="38" t="str">
        <f t="shared" si="23"/>
        <v>Pendiente</v>
      </c>
    </row>
    <row r="252" spans="1:36" s="31" customFormat="1" ht="25.5" customHeight="1" x14ac:dyDescent="0.2">
      <c r="A252" s="32">
        <v>248</v>
      </c>
      <c r="B252" s="33" t="s">
        <v>91</v>
      </c>
      <c r="C252" s="32" t="s">
        <v>43</v>
      </c>
      <c r="D252" s="32" t="s">
        <v>44</v>
      </c>
      <c r="E252" s="32" t="s">
        <v>53</v>
      </c>
      <c r="F252" s="32">
        <v>1518</v>
      </c>
      <c r="G252" s="33" t="s">
        <v>54</v>
      </c>
      <c r="H252" s="32" t="s">
        <v>47</v>
      </c>
      <c r="I252" s="32"/>
      <c r="J252" s="34">
        <v>45861</v>
      </c>
      <c r="K252" s="34">
        <v>45861</v>
      </c>
      <c r="L252" s="32" t="s">
        <v>48</v>
      </c>
      <c r="M252" s="48">
        <v>95199.28</v>
      </c>
      <c r="N252" s="48">
        <v>-75.69</v>
      </c>
      <c r="O252" s="48">
        <v>10.06</v>
      </c>
      <c r="P252" s="48">
        <v>0</v>
      </c>
      <c r="Q252" s="48">
        <v>0</v>
      </c>
      <c r="R252" s="48">
        <v>0</v>
      </c>
      <c r="S252" s="48"/>
      <c r="T252" s="48">
        <f t="shared" si="18"/>
        <v>-65.63</v>
      </c>
      <c r="U252" s="48">
        <f t="shared" si="19"/>
        <v>-65.63</v>
      </c>
      <c r="V252" s="49">
        <f>+Tabla_Auditorias[[#This Row],[AJUSTE
EGRESO
COSTO]]+Tabla_Auditorias[[#This Row],[AJUSTE EGRESO
MAL ESTADO]]+Tabla_Auditorias[[#This Row],[AJUSTE
INGRESO
COSTO]]</f>
        <v>-43.669999999999995</v>
      </c>
      <c r="W252" s="48">
        <v>-50.41</v>
      </c>
      <c r="X252" s="48"/>
      <c r="Y252" s="48"/>
      <c r="Z252" s="48">
        <v>6.74</v>
      </c>
      <c r="AA252" s="50">
        <f>+SUM(Tabla_Auditorias[[#This Row],[AJUSTE
EGRESO
COSTO]:[AJUSTE
INGRESO
COSTO]])</f>
        <v>-43.669999999999995</v>
      </c>
      <c r="AB252" s="36" t="str">
        <f t="shared" si="20"/>
        <v>MEDIO</v>
      </c>
      <c r="AC252" s="37">
        <f t="shared" si="21"/>
        <v>20</v>
      </c>
      <c r="AD252" s="35">
        <v>0</v>
      </c>
      <c r="AE252" s="41" t="s">
        <v>49</v>
      </c>
      <c r="AF252" s="38" t="str">
        <f>IF(Tabla_Auditorias[[#This Row],[TOTAL
COSTO
NETO]]&lt;&gt;0,"Si","No")</f>
        <v>Si</v>
      </c>
      <c r="AG252" s="39" t="s">
        <v>288</v>
      </c>
      <c r="AH252" s="40"/>
      <c r="AI252" s="51">
        <f t="shared" si="22"/>
        <v>0</v>
      </c>
      <c r="AJ252" s="38" t="str">
        <f t="shared" si="23"/>
        <v>Pendiente</v>
      </c>
    </row>
    <row r="253" spans="1:36" s="31" customFormat="1" ht="25.5" customHeight="1" x14ac:dyDescent="0.2">
      <c r="A253" s="32">
        <v>249</v>
      </c>
      <c r="B253" s="33" t="s">
        <v>118</v>
      </c>
      <c r="C253" s="32" t="s">
        <v>43</v>
      </c>
      <c r="D253" s="32" t="s">
        <v>44</v>
      </c>
      <c r="E253" s="32" t="s">
        <v>53</v>
      </c>
      <c r="F253" s="32">
        <v>1507</v>
      </c>
      <c r="G253" s="33" t="s">
        <v>54</v>
      </c>
      <c r="H253" s="32" t="s">
        <v>47</v>
      </c>
      <c r="I253" s="32"/>
      <c r="J253" s="34">
        <v>45861</v>
      </c>
      <c r="K253" s="34">
        <v>45861</v>
      </c>
      <c r="L253" s="32" t="s">
        <v>48</v>
      </c>
      <c r="M253" s="48">
        <v>63231.74</v>
      </c>
      <c r="N253" s="48">
        <v>61.4</v>
      </c>
      <c r="O253" s="48">
        <v>-2.14</v>
      </c>
      <c r="P253" s="48">
        <v>-61.4</v>
      </c>
      <c r="Q253" s="48">
        <v>0</v>
      </c>
      <c r="R253" s="48">
        <v>0</v>
      </c>
      <c r="S253" s="48"/>
      <c r="T253" s="48">
        <f t="shared" si="18"/>
        <v>-2.1400000000000006</v>
      </c>
      <c r="U253" s="48">
        <f t="shared" si="19"/>
        <v>-2.1400000000000006</v>
      </c>
      <c r="V253" s="49">
        <f>+Tabla_Auditorias[[#This Row],[AJUSTE
EGRESO
COSTO]]+Tabla_Auditorias[[#This Row],[AJUSTE EGRESO
MAL ESTADO]]+Tabla_Auditorias[[#This Row],[AJUSTE
INGRESO
COSTO]]</f>
        <v>-1.4399999999999977</v>
      </c>
      <c r="W253" s="48">
        <v>-24.2</v>
      </c>
      <c r="X253" s="48"/>
      <c r="Y253" s="48"/>
      <c r="Z253" s="48">
        <v>22.76</v>
      </c>
      <c r="AA253" s="50">
        <f>+SUM(Tabla_Auditorias[[#This Row],[AJUSTE
EGRESO
COSTO]:[AJUSTE
INGRESO
COSTO]])</f>
        <v>-1.4399999999999977</v>
      </c>
      <c r="AB253" s="36" t="str">
        <f t="shared" si="20"/>
        <v>MEDIO</v>
      </c>
      <c r="AC253" s="37">
        <f t="shared" si="21"/>
        <v>20</v>
      </c>
      <c r="AD253" s="35">
        <v>0</v>
      </c>
      <c r="AE253" s="41" t="s">
        <v>49</v>
      </c>
      <c r="AF253" s="38" t="str">
        <f>IF(Tabla_Auditorias[[#This Row],[TOTAL
COSTO
NETO]]&lt;&gt;0,"Si","No")</f>
        <v>Si</v>
      </c>
      <c r="AG253" s="39" t="s">
        <v>289</v>
      </c>
      <c r="AH253" s="40"/>
      <c r="AI253" s="51">
        <f t="shared" si="22"/>
        <v>0</v>
      </c>
      <c r="AJ253" s="38" t="str">
        <f t="shared" si="23"/>
        <v>Pendiente</v>
      </c>
    </row>
    <row r="254" spans="1:36" s="31" customFormat="1" ht="25.5" customHeight="1" x14ac:dyDescent="0.2">
      <c r="A254" s="32">
        <v>250</v>
      </c>
      <c r="B254" s="33" t="s">
        <v>159</v>
      </c>
      <c r="C254" s="32" t="s">
        <v>51</v>
      </c>
      <c r="D254" s="32" t="s">
        <v>57</v>
      </c>
      <c r="E254" s="32" t="s">
        <v>53</v>
      </c>
      <c r="F254" s="32">
        <v>1743</v>
      </c>
      <c r="G254" s="33" t="s">
        <v>54</v>
      </c>
      <c r="H254" s="32" t="s">
        <v>280</v>
      </c>
      <c r="I254" s="32"/>
      <c r="J254" s="34">
        <v>45861</v>
      </c>
      <c r="K254" s="34">
        <v>45861</v>
      </c>
      <c r="L254" s="32" t="s">
        <v>48</v>
      </c>
      <c r="M254" s="48">
        <v>10689.71</v>
      </c>
      <c r="N254" s="48">
        <v>0</v>
      </c>
      <c r="O254" s="48">
        <v>0</v>
      </c>
      <c r="P254" s="48">
        <v>0</v>
      </c>
      <c r="Q254" s="48">
        <v>0</v>
      </c>
      <c r="R254" s="48">
        <v>0</v>
      </c>
      <c r="S254" s="48"/>
      <c r="T254" s="48">
        <f t="shared" si="18"/>
        <v>0</v>
      </c>
      <c r="U254" s="48">
        <f t="shared" si="19"/>
        <v>0</v>
      </c>
      <c r="V254" s="49">
        <f>+Tabla_Auditorias[[#This Row],[AJUSTE
EGRESO
COSTO]]+Tabla_Auditorias[[#This Row],[AJUSTE EGRESO
MAL ESTADO]]+Tabla_Auditorias[[#This Row],[AJUSTE
INGRESO
COSTO]]</f>
        <v>0</v>
      </c>
      <c r="W254" s="48">
        <v>0</v>
      </c>
      <c r="X254" s="48"/>
      <c r="Y254" s="48"/>
      <c r="Z254" s="48">
        <v>0</v>
      </c>
      <c r="AA254" s="50">
        <f>+SUM(Tabla_Auditorias[[#This Row],[AJUSTE
EGRESO
COSTO]:[AJUSTE
INGRESO
COSTO]])</f>
        <v>0</v>
      </c>
      <c r="AB254" s="36" t="str">
        <f t="shared" si="20"/>
        <v>BAJO</v>
      </c>
      <c r="AC254" s="37">
        <f t="shared" si="21"/>
        <v>0</v>
      </c>
      <c r="AD254" s="35">
        <v>0</v>
      </c>
      <c r="AE254" s="41" t="s">
        <v>49</v>
      </c>
      <c r="AF254" s="38" t="str">
        <f>IF(Tabla_Auditorias[[#This Row],[TOTAL
COSTO
NETO]]&lt;&gt;0,"Si","No")</f>
        <v>No</v>
      </c>
      <c r="AG254" s="39" t="s">
        <v>290</v>
      </c>
      <c r="AH254" s="40"/>
      <c r="AI254" s="51" t="str">
        <f t="shared" si="22"/>
        <v/>
      </c>
      <c r="AJ254" s="38" t="str">
        <f t="shared" si="23"/>
        <v>Pendiente</v>
      </c>
    </row>
    <row r="255" spans="1:36" s="31" customFormat="1" ht="25.5" customHeight="1" x14ac:dyDescent="0.2">
      <c r="A255" s="32">
        <v>251</v>
      </c>
      <c r="B255" s="33" t="s">
        <v>291</v>
      </c>
      <c r="C255" s="32" t="s">
        <v>153</v>
      </c>
      <c r="D255" s="32" t="s">
        <v>89</v>
      </c>
      <c r="E255" s="32" t="s">
        <v>53</v>
      </c>
      <c r="F255" s="32">
        <v>3043</v>
      </c>
      <c r="G255" s="33" t="s">
        <v>54</v>
      </c>
      <c r="H255" s="32" t="s">
        <v>47</v>
      </c>
      <c r="I255" s="32"/>
      <c r="J255" s="34">
        <v>45861</v>
      </c>
      <c r="K255" s="34">
        <v>45861</v>
      </c>
      <c r="L255" s="32" t="s">
        <v>48</v>
      </c>
      <c r="M255" s="48">
        <v>13397</v>
      </c>
      <c r="N255" s="48">
        <v>0</v>
      </c>
      <c r="O255" s="48">
        <v>0</v>
      </c>
      <c r="P255" s="48">
        <v>0</v>
      </c>
      <c r="Q255" s="48">
        <v>0</v>
      </c>
      <c r="R255" s="48">
        <v>0</v>
      </c>
      <c r="S255" s="48"/>
      <c r="T255" s="48">
        <f t="shared" si="18"/>
        <v>0</v>
      </c>
      <c r="U255" s="48">
        <f t="shared" si="19"/>
        <v>0</v>
      </c>
      <c r="V255" s="49">
        <f>+Tabla_Auditorias[[#This Row],[AJUSTE
EGRESO
COSTO]]+Tabla_Auditorias[[#This Row],[AJUSTE EGRESO
MAL ESTADO]]+Tabla_Auditorias[[#This Row],[AJUSTE
INGRESO
COSTO]]</f>
        <v>0.30999999999994543</v>
      </c>
      <c r="W255" s="48">
        <v>-758.61</v>
      </c>
      <c r="X255" s="48"/>
      <c r="Y255" s="48"/>
      <c r="Z255" s="48">
        <v>758.92</v>
      </c>
      <c r="AA255" s="50">
        <f>+SUM(Tabla_Auditorias[[#This Row],[AJUSTE
EGRESO
COSTO]:[AJUSTE
INGRESO
COSTO]])</f>
        <v>0.30999999999994543</v>
      </c>
      <c r="AB255" s="36" t="str">
        <f t="shared" si="20"/>
        <v>BAJO</v>
      </c>
      <c r="AC255" s="37">
        <f t="shared" si="21"/>
        <v>0</v>
      </c>
      <c r="AD255" s="35">
        <v>0</v>
      </c>
      <c r="AE255" s="41" t="s">
        <v>49</v>
      </c>
      <c r="AF255" s="38" t="str">
        <f>IF(Tabla_Auditorias[[#This Row],[TOTAL
COSTO
NETO]]&lt;&gt;0,"Si","No")</f>
        <v>Si</v>
      </c>
      <c r="AG255" s="39" t="s">
        <v>292</v>
      </c>
      <c r="AH255" s="40"/>
      <c r="AI255" s="51" t="str">
        <f t="shared" si="22"/>
        <v/>
      </c>
      <c r="AJ255" s="38" t="str">
        <f t="shared" si="23"/>
        <v>No Aplica</v>
      </c>
    </row>
    <row r="256" spans="1:36" s="31" customFormat="1" ht="25.5" customHeight="1" x14ac:dyDescent="0.2">
      <c r="A256" s="32">
        <v>252</v>
      </c>
      <c r="B256" s="33" t="s">
        <v>65</v>
      </c>
      <c r="C256" s="32" t="s">
        <v>51</v>
      </c>
      <c r="D256" s="32" t="s">
        <v>57</v>
      </c>
      <c r="E256" s="32" t="s">
        <v>58</v>
      </c>
      <c r="F256" s="32">
        <v>1707</v>
      </c>
      <c r="G256" s="33" t="s">
        <v>59</v>
      </c>
      <c r="H256" s="32" t="s">
        <v>280</v>
      </c>
      <c r="I256" s="32"/>
      <c r="J256" s="34">
        <v>45866</v>
      </c>
      <c r="K256" s="34">
        <v>45866</v>
      </c>
      <c r="L256" s="32" t="s">
        <v>48</v>
      </c>
      <c r="M256" s="48">
        <v>5455.001146190476</v>
      </c>
      <c r="N256" s="48">
        <v>0</v>
      </c>
      <c r="O256" s="48">
        <v>0</v>
      </c>
      <c r="P256" s="48">
        <v>0</v>
      </c>
      <c r="Q256" s="48">
        <v>0</v>
      </c>
      <c r="R256" s="48">
        <v>0</v>
      </c>
      <c r="S256" s="48"/>
      <c r="T256" s="48">
        <f t="shared" si="18"/>
        <v>0</v>
      </c>
      <c r="U256" s="48">
        <f t="shared" si="19"/>
        <v>0</v>
      </c>
      <c r="V256" s="49">
        <f>+Tabla_Auditorias[[#This Row],[AJUSTE
EGRESO
COSTO]]+Tabla_Auditorias[[#This Row],[AJUSTE EGRESO
MAL ESTADO]]+Tabla_Auditorias[[#This Row],[AJUSTE
INGRESO
COSTO]]</f>
        <v>0</v>
      </c>
      <c r="W256" s="48">
        <v>0</v>
      </c>
      <c r="X256" s="48"/>
      <c r="Y256" s="48"/>
      <c r="Z256" s="48">
        <v>0</v>
      </c>
      <c r="AA256" s="50">
        <f>+SUM(Tabla_Auditorias[[#This Row],[AJUSTE
EGRESO
COSTO]:[AJUSTE
INGRESO
COSTO]])</f>
        <v>0</v>
      </c>
      <c r="AB256" s="36" t="str">
        <f t="shared" si="20"/>
        <v>BAJO</v>
      </c>
      <c r="AC256" s="37">
        <f t="shared" si="21"/>
        <v>0</v>
      </c>
      <c r="AD256" s="35">
        <v>0</v>
      </c>
      <c r="AE256" s="41" t="s">
        <v>49</v>
      </c>
      <c r="AF256" s="38" t="str">
        <f>IF(Tabla_Auditorias[[#This Row],[TOTAL
COSTO
NETO]]&lt;&gt;0,"Si","No")</f>
        <v>No</v>
      </c>
      <c r="AG256" s="39" t="s">
        <v>293</v>
      </c>
      <c r="AH256" s="40"/>
      <c r="AI256" s="51" t="str">
        <f t="shared" si="22"/>
        <v/>
      </c>
      <c r="AJ256" s="38" t="str">
        <f t="shared" si="23"/>
        <v>Pendiente</v>
      </c>
    </row>
    <row r="257" spans="1:36" s="31" customFormat="1" ht="25.5" customHeight="1" x14ac:dyDescent="0.2">
      <c r="A257" s="32">
        <v>253</v>
      </c>
      <c r="B257" s="33" t="s">
        <v>77</v>
      </c>
      <c r="C257" s="32" t="s">
        <v>43</v>
      </c>
      <c r="D257" s="32" t="s">
        <v>44</v>
      </c>
      <c r="E257" s="32" t="s">
        <v>58</v>
      </c>
      <c r="F257" s="32">
        <v>1508</v>
      </c>
      <c r="G257" s="33" t="s">
        <v>46</v>
      </c>
      <c r="H257" s="32" t="s">
        <v>280</v>
      </c>
      <c r="I257" s="32"/>
      <c r="J257" s="34">
        <v>45866</v>
      </c>
      <c r="K257" s="34">
        <v>45866</v>
      </c>
      <c r="L257" s="32" t="s">
        <v>48</v>
      </c>
      <c r="M257" s="48">
        <v>156464.51590000009</v>
      </c>
      <c r="N257" s="48">
        <v>95.78</v>
      </c>
      <c r="O257" s="48">
        <v>-95.78</v>
      </c>
      <c r="P257" s="48">
        <v>0</v>
      </c>
      <c r="Q257" s="48">
        <v>0</v>
      </c>
      <c r="R257" s="48">
        <v>0</v>
      </c>
      <c r="S257" s="48"/>
      <c r="T257" s="48">
        <f t="shared" si="18"/>
        <v>0</v>
      </c>
      <c r="U257" s="48">
        <f t="shared" si="19"/>
        <v>0</v>
      </c>
      <c r="V257" s="49">
        <f>+Tabla_Auditorias[[#This Row],[AJUSTE
EGRESO
COSTO]]+Tabla_Auditorias[[#This Row],[AJUSTE EGRESO
MAL ESTADO]]+Tabla_Auditorias[[#This Row],[AJUSTE
INGRESO
COSTO]]</f>
        <v>0</v>
      </c>
      <c r="W257" s="48">
        <v>-58.300800000000002</v>
      </c>
      <c r="X257" s="48"/>
      <c r="Y257" s="48"/>
      <c r="Z257" s="48">
        <v>58.300800000000002</v>
      </c>
      <c r="AA257" s="50">
        <f>+SUM(Tabla_Auditorias[[#This Row],[AJUSTE
EGRESO
COSTO]:[AJUSTE
INGRESO
COSTO]])</f>
        <v>0</v>
      </c>
      <c r="AB257" s="36" t="str">
        <f t="shared" si="20"/>
        <v>BAJO</v>
      </c>
      <c r="AC257" s="37">
        <f t="shared" si="21"/>
        <v>10</v>
      </c>
      <c r="AD257" s="35">
        <v>0</v>
      </c>
      <c r="AE257" s="41" t="s">
        <v>49</v>
      </c>
      <c r="AF257" s="38" t="str">
        <f>IF(Tabla_Auditorias[[#This Row],[TOTAL
COSTO
NETO]]&lt;&gt;0,"Si","No")</f>
        <v>No</v>
      </c>
      <c r="AG257" s="39" t="s">
        <v>294</v>
      </c>
      <c r="AH257" s="40"/>
      <c r="AI257" s="51" t="str">
        <f t="shared" si="22"/>
        <v/>
      </c>
      <c r="AJ257" s="38" t="str">
        <f t="shared" si="23"/>
        <v>Pendiente</v>
      </c>
    </row>
    <row r="258" spans="1:36" s="31" customFormat="1" ht="25.5" customHeight="1" x14ac:dyDescent="0.2">
      <c r="A258" s="32">
        <v>254</v>
      </c>
      <c r="B258" s="33" t="s">
        <v>101</v>
      </c>
      <c r="C258" s="32" t="s">
        <v>51</v>
      </c>
      <c r="D258" s="32" t="s">
        <v>64</v>
      </c>
      <c r="E258" s="32" t="s">
        <v>53</v>
      </c>
      <c r="F258" s="32">
        <v>1724</v>
      </c>
      <c r="G258" s="33" t="s">
        <v>54</v>
      </c>
      <c r="H258" s="32" t="s">
        <v>47</v>
      </c>
      <c r="I258" s="32"/>
      <c r="J258" s="34">
        <v>45867</v>
      </c>
      <c r="K258" s="34">
        <v>45867</v>
      </c>
      <c r="L258" s="32" t="s">
        <v>48</v>
      </c>
      <c r="M258" s="48">
        <v>313010.09000000003</v>
      </c>
      <c r="N258" s="48">
        <v>0</v>
      </c>
      <c r="O258" s="48">
        <v>-270.95</v>
      </c>
      <c r="P258" s="48">
        <v>0</v>
      </c>
      <c r="Q258" s="48">
        <v>-26.63</v>
      </c>
      <c r="R258" s="48">
        <v>0</v>
      </c>
      <c r="S258" s="48"/>
      <c r="T258" s="48">
        <f t="shared" si="18"/>
        <v>-297.58</v>
      </c>
      <c r="U258" s="48">
        <f t="shared" si="19"/>
        <v>-297.58</v>
      </c>
      <c r="V258" s="49">
        <f>+Tabla_Auditorias[[#This Row],[AJUSTE
EGRESO
COSTO]]+Tabla_Auditorias[[#This Row],[AJUSTE EGRESO
MAL ESTADO]]+Tabla_Auditorias[[#This Row],[AJUSTE
INGRESO
COSTO]]</f>
        <v>-181.41</v>
      </c>
      <c r="W258" s="48">
        <v>-181.41</v>
      </c>
      <c r="X258" s="48"/>
      <c r="Y258" s="48"/>
      <c r="Z258" s="48">
        <v>0</v>
      </c>
      <c r="AA258" s="50">
        <f>+SUM(Tabla_Auditorias[[#This Row],[AJUSTE
EGRESO
COSTO]:[AJUSTE
INGRESO
COSTO]])</f>
        <v>-181.41</v>
      </c>
      <c r="AB258" s="36" t="str">
        <f t="shared" si="20"/>
        <v>MEDIO</v>
      </c>
      <c r="AC258" s="37">
        <f t="shared" si="21"/>
        <v>30</v>
      </c>
      <c r="AD258" s="35">
        <v>0</v>
      </c>
      <c r="AE258" s="41" t="s">
        <v>49</v>
      </c>
      <c r="AF258" s="38" t="str">
        <f>IF(Tabla_Auditorias[[#This Row],[TOTAL
COSTO
NETO]]&lt;&gt;0,"Si","No")</f>
        <v>Si</v>
      </c>
      <c r="AG258" s="39" t="s">
        <v>295</v>
      </c>
      <c r="AH258" s="40"/>
      <c r="AI258" s="51">
        <f t="shared" si="22"/>
        <v>0</v>
      </c>
      <c r="AJ258" s="38" t="str">
        <f t="shared" si="23"/>
        <v>Pendiente</v>
      </c>
    </row>
    <row r="259" spans="1:36" s="31" customFormat="1" ht="25.5" customHeight="1" x14ac:dyDescent="0.2">
      <c r="A259" s="32">
        <v>255</v>
      </c>
      <c r="B259" s="33" t="s">
        <v>107</v>
      </c>
      <c r="C259" s="32" t="s">
        <v>51</v>
      </c>
      <c r="D259" s="32" t="s">
        <v>57</v>
      </c>
      <c r="E259" s="32" t="s">
        <v>53</v>
      </c>
      <c r="F259" s="32">
        <v>1508</v>
      </c>
      <c r="G259" s="33" t="s">
        <v>54</v>
      </c>
      <c r="H259" s="32" t="s">
        <v>47</v>
      </c>
      <c r="I259" s="32"/>
      <c r="J259" s="34">
        <v>45868</v>
      </c>
      <c r="K259" s="34">
        <v>45868</v>
      </c>
      <c r="L259" s="32" t="s">
        <v>48</v>
      </c>
      <c r="M259" s="48">
        <v>72394.328699999998</v>
      </c>
      <c r="N259" s="48">
        <v>0</v>
      </c>
      <c r="O259" s="48">
        <v>0</v>
      </c>
      <c r="P259" s="48">
        <v>0</v>
      </c>
      <c r="Q259" s="48">
        <v>0</v>
      </c>
      <c r="R259" s="48">
        <v>0</v>
      </c>
      <c r="S259" s="48"/>
      <c r="T259" s="48">
        <f t="shared" si="18"/>
        <v>0</v>
      </c>
      <c r="U259" s="48">
        <f t="shared" si="19"/>
        <v>0</v>
      </c>
      <c r="V259" s="49">
        <f>+Tabla_Auditorias[[#This Row],[AJUSTE
EGRESO
COSTO]]+Tabla_Auditorias[[#This Row],[AJUSTE EGRESO
MAL ESTADO]]+Tabla_Auditorias[[#This Row],[AJUSTE
INGRESO
COSTO]]</f>
        <v>0</v>
      </c>
      <c r="W259" s="48">
        <v>0</v>
      </c>
      <c r="X259" s="48"/>
      <c r="Y259" s="48"/>
      <c r="Z259" s="48">
        <v>0</v>
      </c>
      <c r="AA259" s="50">
        <f>+SUM(Tabla_Auditorias[[#This Row],[AJUSTE
EGRESO
COSTO]:[AJUSTE
INGRESO
COSTO]])</f>
        <v>0</v>
      </c>
      <c r="AB259" s="36" t="str">
        <f t="shared" si="20"/>
        <v>BAJO</v>
      </c>
      <c r="AC259" s="37">
        <f t="shared" si="21"/>
        <v>0</v>
      </c>
      <c r="AD259" s="35">
        <v>0</v>
      </c>
      <c r="AE259" s="41" t="s">
        <v>49</v>
      </c>
      <c r="AF259" s="38" t="str">
        <f>IF(Tabla_Auditorias[[#This Row],[TOTAL
COSTO
NETO]]&lt;&gt;0,"Si","No")</f>
        <v>No</v>
      </c>
      <c r="AG259" s="39" t="s">
        <v>296</v>
      </c>
      <c r="AH259" s="40"/>
      <c r="AI259" s="51" t="str">
        <f t="shared" si="22"/>
        <v/>
      </c>
      <c r="AJ259" s="38" t="str">
        <f t="shared" si="23"/>
        <v>Pendiente</v>
      </c>
    </row>
    <row r="260" spans="1:36" s="31" customFormat="1" ht="25.5" customHeight="1" x14ac:dyDescent="0.2">
      <c r="A260" s="32">
        <v>256</v>
      </c>
      <c r="B260" s="33" t="s">
        <v>56</v>
      </c>
      <c r="C260" s="32" t="s">
        <v>51</v>
      </c>
      <c r="D260" s="32" t="s">
        <v>57</v>
      </c>
      <c r="E260" s="32" t="s">
        <v>58</v>
      </c>
      <c r="F260" s="32">
        <v>1727</v>
      </c>
      <c r="G260" s="33" t="s">
        <v>59</v>
      </c>
      <c r="H260" s="32" t="s">
        <v>47</v>
      </c>
      <c r="I260" s="32"/>
      <c r="J260" s="34">
        <v>45869</v>
      </c>
      <c r="K260" s="34">
        <v>45869</v>
      </c>
      <c r="L260" s="32" t="s">
        <v>48</v>
      </c>
      <c r="M260" s="48">
        <v>120516.98</v>
      </c>
      <c r="N260" s="48">
        <v>76</v>
      </c>
      <c r="O260" s="48">
        <v>-1487.25</v>
      </c>
      <c r="P260" s="48">
        <v>29.36</v>
      </c>
      <c r="Q260" s="48">
        <v>-7270.04</v>
      </c>
      <c r="R260" s="48">
        <v>0</v>
      </c>
      <c r="S260" s="48"/>
      <c r="T260" s="48">
        <f t="shared" si="18"/>
        <v>-8651.93</v>
      </c>
      <c r="U260" s="48">
        <f t="shared" si="19"/>
        <v>-8651.93</v>
      </c>
      <c r="V260" s="49">
        <f>+Tabla_Auditorias[[#This Row],[AJUSTE
EGRESO
COSTO]]+Tabla_Auditorias[[#This Row],[AJUSTE EGRESO
MAL ESTADO]]+Tabla_Auditorias[[#This Row],[AJUSTE
INGRESO
COSTO]]</f>
        <v>-5956.5999999999995</v>
      </c>
      <c r="W260" s="48">
        <v>-7778.86</v>
      </c>
      <c r="X260" s="48"/>
      <c r="Y260" s="48"/>
      <c r="Z260" s="48">
        <v>1822.26</v>
      </c>
      <c r="AA260" s="50">
        <f>+SUM(Tabla_Auditorias[[#This Row],[AJUSTE
EGRESO
COSTO]:[AJUSTE
INGRESO
COSTO]])</f>
        <v>-5956.5999999999995</v>
      </c>
      <c r="AB260" s="36" t="str">
        <f t="shared" si="20"/>
        <v>ALTO</v>
      </c>
      <c r="AC260" s="37">
        <f t="shared" si="21"/>
        <v>60</v>
      </c>
      <c r="AD260" s="35">
        <v>0</v>
      </c>
      <c r="AE260" s="41" t="s">
        <v>49</v>
      </c>
      <c r="AF260" s="38" t="str">
        <f>IF(Tabla_Auditorias[[#This Row],[TOTAL
COSTO
NETO]]&lt;&gt;0,"Si","No")</f>
        <v>Si</v>
      </c>
      <c r="AG260" s="39" t="s">
        <v>297</v>
      </c>
      <c r="AH260" s="40"/>
      <c r="AI260" s="51">
        <f t="shared" si="22"/>
        <v>0</v>
      </c>
      <c r="AJ260" s="38" t="str">
        <f t="shared" si="23"/>
        <v>Pendiente</v>
      </c>
    </row>
    <row r="261" spans="1:36" s="31" customFormat="1" ht="25.5" customHeight="1" x14ac:dyDescent="0.2">
      <c r="A261" s="32">
        <v>257</v>
      </c>
      <c r="B261" s="33" t="s">
        <v>298</v>
      </c>
      <c r="C261" s="32" t="s">
        <v>51</v>
      </c>
      <c r="D261" s="32" t="s">
        <v>57</v>
      </c>
      <c r="E261" s="32" t="s">
        <v>45</v>
      </c>
      <c r="F261" s="32">
        <v>1746</v>
      </c>
      <c r="G261" s="33" t="s">
        <v>46</v>
      </c>
      <c r="H261" s="32" t="s">
        <v>47</v>
      </c>
      <c r="I261" s="32"/>
      <c r="J261" s="34">
        <v>45869</v>
      </c>
      <c r="K261" s="34">
        <v>45869</v>
      </c>
      <c r="L261" s="32" t="s">
        <v>48</v>
      </c>
      <c r="M261" s="48">
        <v>38526.080000000002</v>
      </c>
      <c r="N261" s="48">
        <v>0</v>
      </c>
      <c r="O261" s="48">
        <v>0</v>
      </c>
      <c r="P261" s="48">
        <v>0</v>
      </c>
      <c r="Q261" s="48">
        <v>0</v>
      </c>
      <c r="R261" s="48">
        <v>0</v>
      </c>
      <c r="S261" s="48"/>
      <c r="T261" s="48">
        <f t="shared" ref="T261:T324" si="24">N261+O261+P261+Q261+R261+S261</f>
        <v>0</v>
      </c>
      <c r="U261" s="48">
        <f t="shared" ref="U261:U324" si="25">N261+O261+P261+Q261+S261</f>
        <v>0</v>
      </c>
      <c r="V261" s="49">
        <f>+Tabla_Auditorias[[#This Row],[AJUSTE
EGRESO
COSTO]]+Tabla_Auditorias[[#This Row],[AJUSTE EGRESO
MAL ESTADO]]+Tabla_Auditorias[[#This Row],[AJUSTE
INGRESO
COSTO]]</f>
        <v>0</v>
      </c>
      <c r="W261" s="48">
        <v>0</v>
      </c>
      <c r="X261" s="48"/>
      <c r="Y261" s="48"/>
      <c r="Z261" s="48">
        <v>0</v>
      </c>
      <c r="AA261" s="50">
        <f>+SUM(Tabla_Auditorias[[#This Row],[AJUSTE
EGRESO
COSTO]:[AJUSTE
INGRESO
COSTO]])</f>
        <v>0</v>
      </c>
      <c r="AB261" s="36" t="str">
        <f t="shared" ref="AB261:AB324" si="26">IFERROR(IF(AC261&lt;=10,"BAJO",IF(AC261&lt;=35,"MEDIO",IF(AC261&lt;=65,"ALTO","CRÍTICO"))),"BAJO")</f>
        <v>BAJO</v>
      </c>
      <c r="AC261" s="37">
        <f t="shared" ref="AC261:AC324" si="27">IFERROR(IF(M261=0,0,IF(ABS(O261)/M261=0,0,IF(ABS(O261)/M261&lt;=0.01,10,IF(ABS(O261)/M261&lt;=0.03,25,IF(ABS(O261)/M261&lt;=0.05,40,50)))))+IF(ABS(U261)=0,0,IF(ABS(U261)&lt;=200,10,IF(ABS(U261)&lt;=500,15,IF(ABS(U261)&lt;=2000,22,30))))+0+IF(OR(Q261&lt;0,R261&lt;0),5,0),0)</f>
        <v>0</v>
      </c>
      <c r="AD261" s="35">
        <v>0</v>
      </c>
      <c r="AE261" s="41" t="s">
        <v>49</v>
      </c>
      <c r="AF261" s="38" t="str">
        <f>IF(Tabla_Auditorias[[#This Row],[TOTAL
COSTO
NETO]]&lt;&gt;0,"Si","No")</f>
        <v>No</v>
      </c>
      <c r="AG261" s="39" t="s">
        <v>299</v>
      </c>
      <c r="AH261" s="40"/>
      <c r="AI261" s="51" t="str">
        <f t="shared" ref="AI261:AI324" si="28">IFERROR(IF(V261&lt;0,ABS(AH261/V261),""),"")</f>
        <v/>
      </c>
      <c r="AJ261" s="38" t="str">
        <f t="shared" ref="AJ261:AJ324" si="29">IF(V261&gt;0,"No Aplica",IF(AND(V261&lt;0,AH261=0),"Pendiente",IF(AND(AH261&gt;0,AH261&gt;=ABS(V261)),"Cobrado Total",IF(AND(AH261&gt;0,AH261&lt;ABS(V261)),"Cobrado Parcial","Pendiente"))))</f>
        <v>Pendiente</v>
      </c>
    </row>
    <row r="262" spans="1:36" s="31" customFormat="1" ht="25.5" customHeight="1" x14ac:dyDescent="0.2">
      <c r="A262" s="32">
        <v>258</v>
      </c>
      <c r="B262" s="33" t="s">
        <v>74</v>
      </c>
      <c r="C262" s="32" t="s">
        <v>51</v>
      </c>
      <c r="D262" s="32" t="s">
        <v>57</v>
      </c>
      <c r="E262" s="32" t="s">
        <v>58</v>
      </c>
      <c r="F262" s="32">
        <v>1700</v>
      </c>
      <c r="G262" s="33" t="s">
        <v>59</v>
      </c>
      <c r="H262" s="32" t="s">
        <v>280</v>
      </c>
      <c r="I262" s="32"/>
      <c r="J262" s="34">
        <v>45874</v>
      </c>
      <c r="K262" s="34">
        <v>45874</v>
      </c>
      <c r="L262" s="32" t="s">
        <v>48</v>
      </c>
      <c r="M262" s="48"/>
      <c r="N262" s="48">
        <v>0</v>
      </c>
      <c r="O262" s="48">
        <v>0</v>
      </c>
      <c r="P262" s="48">
        <v>0</v>
      </c>
      <c r="Q262" s="48">
        <v>0</v>
      </c>
      <c r="R262" s="48">
        <v>0</v>
      </c>
      <c r="S262" s="48"/>
      <c r="T262" s="48">
        <f t="shared" si="24"/>
        <v>0</v>
      </c>
      <c r="U262" s="48">
        <f t="shared" si="25"/>
        <v>0</v>
      </c>
      <c r="V262" s="49">
        <f>+Tabla_Auditorias[[#This Row],[AJUSTE
EGRESO
COSTO]]+Tabla_Auditorias[[#This Row],[AJUSTE EGRESO
MAL ESTADO]]+Tabla_Auditorias[[#This Row],[AJUSTE
INGRESO
COSTO]]</f>
        <v>0</v>
      </c>
      <c r="W262" s="48"/>
      <c r="X262" s="48"/>
      <c r="Y262" s="48"/>
      <c r="Z262" s="48"/>
      <c r="AA262" s="50">
        <f>+SUM(Tabla_Auditorias[[#This Row],[AJUSTE
EGRESO
COSTO]:[AJUSTE
INGRESO
COSTO]])</f>
        <v>0</v>
      </c>
      <c r="AB262" s="36" t="str">
        <f t="shared" si="26"/>
        <v>BAJO</v>
      </c>
      <c r="AC262" s="37">
        <f t="shared" si="27"/>
        <v>0</v>
      </c>
      <c r="AD262" s="35">
        <v>0</v>
      </c>
      <c r="AE262" s="41" t="s">
        <v>49</v>
      </c>
      <c r="AF262" s="38" t="str">
        <f>IF(Tabla_Auditorias[[#This Row],[TOTAL
COSTO
NETO]]&lt;&gt;0,"Si","No")</f>
        <v>No</v>
      </c>
      <c r="AG262" s="39"/>
      <c r="AH262" s="40"/>
      <c r="AI262" s="51" t="str">
        <f t="shared" si="28"/>
        <v/>
      </c>
      <c r="AJ262" s="38" t="str">
        <f t="shared" si="29"/>
        <v>Pendiente</v>
      </c>
    </row>
    <row r="263" spans="1:36" s="31" customFormat="1" ht="25.5" customHeight="1" x14ac:dyDescent="0.2">
      <c r="A263" s="32">
        <v>259</v>
      </c>
      <c r="B263" s="33" t="s">
        <v>63</v>
      </c>
      <c r="C263" s="32" t="s">
        <v>51</v>
      </c>
      <c r="D263" s="32" t="s">
        <v>64</v>
      </c>
      <c r="E263" s="32" t="s">
        <v>53</v>
      </c>
      <c r="F263" s="32">
        <v>1729</v>
      </c>
      <c r="G263" s="33" t="s">
        <v>54</v>
      </c>
      <c r="H263" s="32" t="s">
        <v>47</v>
      </c>
      <c r="I263" s="32"/>
      <c r="J263" s="34">
        <v>45877</v>
      </c>
      <c r="K263" s="34">
        <v>45877</v>
      </c>
      <c r="L263" s="32" t="s">
        <v>48</v>
      </c>
      <c r="M263" s="48">
        <v>219379.1</v>
      </c>
      <c r="N263" s="48">
        <v>0</v>
      </c>
      <c r="O263" s="48">
        <v>0</v>
      </c>
      <c r="P263" s="48">
        <v>0</v>
      </c>
      <c r="Q263" s="48">
        <v>0</v>
      </c>
      <c r="R263" s="48">
        <v>0</v>
      </c>
      <c r="S263" s="48"/>
      <c r="T263" s="48">
        <f t="shared" si="24"/>
        <v>0</v>
      </c>
      <c r="U263" s="48">
        <f t="shared" si="25"/>
        <v>0</v>
      </c>
      <c r="V263" s="49">
        <f>+Tabla_Auditorias[[#This Row],[AJUSTE
EGRESO
COSTO]]+Tabla_Auditorias[[#This Row],[AJUSTE EGRESO
MAL ESTADO]]+Tabla_Auditorias[[#This Row],[AJUSTE
INGRESO
COSTO]]</f>
        <v>0</v>
      </c>
      <c r="W263" s="48">
        <v>0</v>
      </c>
      <c r="X263" s="48"/>
      <c r="Y263" s="48"/>
      <c r="Z263" s="48">
        <v>0</v>
      </c>
      <c r="AA263" s="50">
        <f>+SUM(Tabla_Auditorias[[#This Row],[AJUSTE
EGRESO
COSTO]:[AJUSTE
INGRESO
COSTO]])</f>
        <v>0</v>
      </c>
      <c r="AB263" s="36" t="str">
        <f t="shared" si="26"/>
        <v>BAJO</v>
      </c>
      <c r="AC263" s="37">
        <f t="shared" si="27"/>
        <v>0</v>
      </c>
      <c r="AD263" s="35">
        <v>0</v>
      </c>
      <c r="AE263" s="41" t="s">
        <v>49</v>
      </c>
      <c r="AF263" s="38" t="str">
        <f>IF(Tabla_Auditorias[[#This Row],[TOTAL
COSTO
NETO]]&lt;&gt;0,"Si","No")</f>
        <v>No</v>
      </c>
      <c r="AG263" s="39" t="s">
        <v>221</v>
      </c>
      <c r="AH263" s="40"/>
      <c r="AI263" s="51" t="str">
        <f t="shared" si="28"/>
        <v/>
      </c>
      <c r="AJ263" s="38" t="str">
        <f t="shared" si="29"/>
        <v>Pendiente</v>
      </c>
    </row>
    <row r="264" spans="1:36" s="31" customFormat="1" ht="25.5" customHeight="1" x14ac:dyDescent="0.2">
      <c r="A264" s="32">
        <v>260</v>
      </c>
      <c r="B264" s="33" t="s">
        <v>94</v>
      </c>
      <c r="C264" s="32" t="s">
        <v>43</v>
      </c>
      <c r="D264" s="32" t="s">
        <v>44</v>
      </c>
      <c r="E264" s="32" t="s">
        <v>53</v>
      </c>
      <c r="F264" s="32">
        <v>1502</v>
      </c>
      <c r="G264" s="33" t="s">
        <v>54</v>
      </c>
      <c r="H264" s="32" t="s">
        <v>47</v>
      </c>
      <c r="I264" s="32"/>
      <c r="J264" s="34">
        <v>45878</v>
      </c>
      <c r="K264" s="34">
        <v>45878</v>
      </c>
      <c r="L264" s="32" t="s">
        <v>48</v>
      </c>
      <c r="M264" s="48">
        <v>186759.44</v>
      </c>
      <c r="N264" s="48">
        <v>0</v>
      </c>
      <c r="O264" s="48">
        <v>0</v>
      </c>
      <c r="P264" s="48">
        <v>0</v>
      </c>
      <c r="Q264" s="48">
        <v>0</v>
      </c>
      <c r="R264" s="48">
        <v>0</v>
      </c>
      <c r="S264" s="48"/>
      <c r="T264" s="48">
        <f t="shared" si="24"/>
        <v>0</v>
      </c>
      <c r="U264" s="48">
        <f t="shared" si="25"/>
        <v>0</v>
      </c>
      <c r="V264" s="49">
        <f>+Tabla_Auditorias[[#This Row],[AJUSTE
EGRESO
COSTO]]+Tabla_Auditorias[[#This Row],[AJUSTE EGRESO
MAL ESTADO]]+Tabla_Auditorias[[#This Row],[AJUSTE
INGRESO
COSTO]]</f>
        <v>0</v>
      </c>
      <c r="W264" s="48">
        <v>0</v>
      </c>
      <c r="X264" s="48"/>
      <c r="Y264" s="48"/>
      <c r="Z264" s="48">
        <v>0</v>
      </c>
      <c r="AA264" s="50">
        <f>+SUM(Tabla_Auditorias[[#This Row],[AJUSTE
EGRESO
COSTO]:[AJUSTE
INGRESO
COSTO]])</f>
        <v>0</v>
      </c>
      <c r="AB264" s="36" t="str">
        <f t="shared" si="26"/>
        <v>BAJO</v>
      </c>
      <c r="AC264" s="37">
        <f t="shared" si="27"/>
        <v>0</v>
      </c>
      <c r="AD264" s="35">
        <v>0</v>
      </c>
      <c r="AE264" s="41" t="s">
        <v>49</v>
      </c>
      <c r="AF264" s="38" t="str">
        <f>IF(Tabla_Auditorias[[#This Row],[TOTAL
COSTO
NETO]]&lt;&gt;0,"Si","No")</f>
        <v>No</v>
      </c>
      <c r="AG264" s="39" t="s">
        <v>300</v>
      </c>
      <c r="AH264" s="40"/>
      <c r="AI264" s="51" t="str">
        <f t="shared" si="28"/>
        <v/>
      </c>
      <c r="AJ264" s="38" t="str">
        <f t="shared" si="29"/>
        <v>Pendiente</v>
      </c>
    </row>
    <row r="265" spans="1:36" s="31" customFormat="1" ht="25.5" customHeight="1" x14ac:dyDescent="0.2">
      <c r="A265" s="32">
        <v>261</v>
      </c>
      <c r="B265" s="33" t="s">
        <v>65</v>
      </c>
      <c r="C265" s="32" t="s">
        <v>51</v>
      </c>
      <c r="D265" s="32" t="s">
        <v>57</v>
      </c>
      <c r="E265" s="32" t="s">
        <v>58</v>
      </c>
      <c r="F265" s="32">
        <v>1707</v>
      </c>
      <c r="G265" s="33" t="s">
        <v>59</v>
      </c>
      <c r="H265" s="32" t="s">
        <v>47</v>
      </c>
      <c r="I265" s="32"/>
      <c r="J265" s="34">
        <v>45884</v>
      </c>
      <c r="K265" s="34">
        <v>45884</v>
      </c>
      <c r="L265" s="32" t="s">
        <v>48</v>
      </c>
      <c r="M265" s="48">
        <v>108757.35</v>
      </c>
      <c r="N265" s="48">
        <v>19.37</v>
      </c>
      <c r="O265" s="48">
        <v>-1110.3</v>
      </c>
      <c r="P265" s="48">
        <v>73.14</v>
      </c>
      <c r="Q265" s="48">
        <v>-9.16</v>
      </c>
      <c r="R265" s="48">
        <v>-640.74</v>
      </c>
      <c r="S265" s="48"/>
      <c r="T265" s="48">
        <f t="shared" si="24"/>
        <v>-1667.69</v>
      </c>
      <c r="U265" s="48">
        <f t="shared" si="25"/>
        <v>-1026.95</v>
      </c>
      <c r="V265" s="49">
        <f>+Tabla_Auditorias[[#This Row],[AJUSTE
EGRESO
COSTO]]+Tabla_Auditorias[[#This Row],[AJUSTE EGRESO
MAL ESTADO]]+Tabla_Auditorias[[#This Row],[AJUSTE
INGRESO
COSTO]]</f>
        <v>-467.91999999999996</v>
      </c>
      <c r="W265" s="48">
        <v>-641.17999999999995</v>
      </c>
      <c r="X265" s="48"/>
      <c r="Y265" s="48"/>
      <c r="Z265" s="48">
        <v>173.26</v>
      </c>
      <c r="AA265" s="50">
        <f>+SUM(Tabla_Auditorias[[#This Row],[AJUSTE
EGRESO
COSTO]:[AJUSTE
INGRESO
COSTO]])</f>
        <v>-467.91999999999996</v>
      </c>
      <c r="AB265" s="36" t="str">
        <f t="shared" si="26"/>
        <v>ALTO</v>
      </c>
      <c r="AC265" s="37">
        <f t="shared" si="27"/>
        <v>52</v>
      </c>
      <c r="AD265" s="35">
        <v>0</v>
      </c>
      <c r="AE265" s="41" t="s">
        <v>49</v>
      </c>
      <c r="AF265" s="38" t="str">
        <f>IF(Tabla_Auditorias[[#This Row],[TOTAL
COSTO
NETO]]&lt;&gt;0,"Si","No")</f>
        <v>Si</v>
      </c>
      <c r="AG265" s="39" t="s">
        <v>301</v>
      </c>
      <c r="AH265" s="40"/>
      <c r="AI265" s="51">
        <f t="shared" si="28"/>
        <v>0</v>
      </c>
      <c r="AJ265" s="38" t="str">
        <f t="shared" si="29"/>
        <v>Pendiente</v>
      </c>
    </row>
    <row r="266" spans="1:36" s="31" customFormat="1" ht="25.5" customHeight="1" x14ac:dyDescent="0.2">
      <c r="A266" s="32">
        <v>262</v>
      </c>
      <c r="B266" s="33" t="s">
        <v>69</v>
      </c>
      <c r="C266" s="32" t="s">
        <v>51</v>
      </c>
      <c r="D266" s="32" t="s">
        <v>57</v>
      </c>
      <c r="E266" s="32" t="s">
        <v>53</v>
      </c>
      <c r="F266" s="32">
        <v>1705</v>
      </c>
      <c r="G266" s="33" t="s">
        <v>54</v>
      </c>
      <c r="H266" s="32" t="s">
        <v>47</v>
      </c>
      <c r="I266" s="32"/>
      <c r="J266" s="34">
        <v>45884</v>
      </c>
      <c r="K266" s="34">
        <v>45884</v>
      </c>
      <c r="L266" s="32" t="s">
        <v>48</v>
      </c>
      <c r="M266" s="48">
        <v>115214.39999999999</v>
      </c>
      <c r="N266" s="48">
        <v>103.37</v>
      </c>
      <c r="O266" s="48">
        <v>-103.22</v>
      </c>
      <c r="P266" s="48">
        <v>0</v>
      </c>
      <c r="Q266" s="48">
        <v>-29.86</v>
      </c>
      <c r="R266" s="48"/>
      <c r="S266" s="48"/>
      <c r="T266" s="48">
        <f t="shared" si="24"/>
        <v>-29.709999999999994</v>
      </c>
      <c r="U266" s="48">
        <f t="shared" si="25"/>
        <v>-29.709999999999994</v>
      </c>
      <c r="V266" s="49">
        <f>+Tabla_Auditorias[[#This Row],[AJUSTE
EGRESO
COSTO]]+Tabla_Auditorias[[#This Row],[AJUSTE EGRESO
MAL ESTADO]]+Tabla_Auditorias[[#This Row],[AJUSTE
INGRESO
COSTO]]</f>
        <v>-23.153800000000004</v>
      </c>
      <c r="W266" s="48">
        <v>-91.64</v>
      </c>
      <c r="X266" s="48"/>
      <c r="Y266" s="48"/>
      <c r="Z266" s="48">
        <v>68.486199999999997</v>
      </c>
      <c r="AA266" s="50">
        <f>+SUM(Tabla_Auditorias[[#This Row],[AJUSTE
EGRESO
COSTO]:[AJUSTE
INGRESO
COSTO]])</f>
        <v>-23.153800000000004</v>
      </c>
      <c r="AB266" s="36" t="str">
        <f t="shared" si="26"/>
        <v>MEDIO</v>
      </c>
      <c r="AC266" s="37">
        <f t="shared" si="27"/>
        <v>25</v>
      </c>
      <c r="AD266" s="35">
        <v>0</v>
      </c>
      <c r="AE266" s="41" t="s">
        <v>49</v>
      </c>
      <c r="AF266" s="38" t="str">
        <f>IF(Tabla_Auditorias[[#This Row],[TOTAL
COSTO
NETO]]&lt;&gt;0,"Si","No")</f>
        <v>Si</v>
      </c>
      <c r="AG266" s="39" t="s">
        <v>302</v>
      </c>
      <c r="AH266" s="40"/>
      <c r="AI266" s="51">
        <f t="shared" si="28"/>
        <v>0</v>
      </c>
      <c r="AJ266" s="38" t="str">
        <f t="shared" si="29"/>
        <v>Pendiente</v>
      </c>
    </row>
    <row r="267" spans="1:36" s="31" customFormat="1" ht="25.5" customHeight="1" x14ac:dyDescent="0.2">
      <c r="A267" s="32">
        <v>263</v>
      </c>
      <c r="B267" s="33" t="s">
        <v>283</v>
      </c>
      <c r="C267" s="32" t="s">
        <v>51</v>
      </c>
      <c r="D267" s="32" t="s">
        <v>57</v>
      </c>
      <c r="E267" s="32" t="s">
        <v>53</v>
      </c>
      <c r="F267" s="32">
        <v>1721</v>
      </c>
      <c r="G267" s="33" t="s">
        <v>54</v>
      </c>
      <c r="H267" s="32" t="s">
        <v>280</v>
      </c>
      <c r="I267" s="32"/>
      <c r="J267" s="34">
        <v>45884</v>
      </c>
      <c r="K267" s="34">
        <v>45884</v>
      </c>
      <c r="L267" s="32" t="s">
        <v>48</v>
      </c>
      <c r="M267" s="48">
        <v>47564.02</v>
      </c>
      <c r="N267" s="48">
        <v>0</v>
      </c>
      <c r="O267" s="48">
        <v>0</v>
      </c>
      <c r="P267" s="48">
        <v>0</v>
      </c>
      <c r="Q267" s="48">
        <v>0</v>
      </c>
      <c r="R267" s="48">
        <v>0</v>
      </c>
      <c r="S267" s="48"/>
      <c r="T267" s="48">
        <f t="shared" si="24"/>
        <v>0</v>
      </c>
      <c r="U267" s="48">
        <f t="shared" si="25"/>
        <v>0</v>
      </c>
      <c r="V267" s="49">
        <f>+Tabla_Auditorias[[#This Row],[AJUSTE
EGRESO
COSTO]]+Tabla_Auditorias[[#This Row],[AJUSTE EGRESO
MAL ESTADO]]+Tabla_Auditorias[[#This Row],[AJUSTE
INGRESO
COSTO]]</f>
        <v>0</v>
      </c>
      <c r="W267" s="48">
        <v>0</v>
      </c>
      <c r="X267" s="48"/>
      <c r="Y267" s="48"/>
      <c r="Z267" s="48">
        <v>0</v>
      </c>
      <c r="AA267" s="50">
        <f>+SUM(Tabla_Auditorias[[#This Row],[AJUSTE
EGRESO
COSTO]:[AJUSTE
INGRESO
COSTO]])</f>
        <v>0</v>
      </c>
      <c r="AB267" s="36" t="str">
        <f t="shared" si="26"/>
        <v>BAJO</v>
      </c>
      <c r="AC267" s="37">
        <f t="shared" si="27"/>
        <v>0</v>
      </c>
      <c r="AD267" s="35">
        <v>0</v>
      </c>
      <c r="AE267" s="41" t="s">
        <v>49</v>
      </c>
      <c r="AF267" s="38" t="str">
        <f>IF(Tabla_Auditorias[[#This Row],[TOTAL
COSTO
NETO]]&lt;&gt;0,"Si","No")</f>
        <v>No</v>
      </c>
      <c r="AG267" s="39" t="s">
        <v>221</v>
      </c>
      <c r="AH267" s="40"/>
      <c r="AI267" s="51" t="str">
        <f t="shared" si="28"/>
        <v/>
      </c>
      <c r="AJ267" s="38" t="str">
        <f t="shared" si="29"/>
        <v>Pendiente</v>
      </c>
    </row>
    <row r="268" spans="1:36" s="31" customFormat="1" ht="25.5" customHeight="1" x14ac:dyDescent="0.2">
      <c r="A268" s="32">
        <v>264</v>
      </c>
      <c r="B268" s="33" t="s">
        <v>61</v>
      </c>
      <c r="C268" s="32" t="s">
        <v>43</v>
      </c>
      <c r="D268" s="32" t="s">
        <v>44</v>
      </c>
      <c r="E268" s="32" t="s">
        <v>53</v>
      </c>
      <c r="F268" s="32">
        <v>1513</v>
      </c>
      <c r="G268" s="33" t="s">
        <v>54</v>
      </c>
      <c r="H268" s="32" t="s">
        <v>47</v>
      </c>
      <c r="I268" s="32"/>
      <c r="J268" s="34">
        <v>45884</v>
      </c>
      <c r="K268" s="34">
        <v>45884</v>
      </c>
      <c r="L268" s="32" t="s">
        <v>48</v>
      </c>
      <c r="M268" s="48">
        <v>178533.65</v>
      </c>
      <c r="N268" s="48">
        <v>0</v>
      </c>
      <c r="O268" s="48">
        <v>0</v>
      </c>
      <c r="P268" s="48">
        <v>0</v>
      </c>
      <c r="Q268" s="48">
        <v>0</v>
      </c>
      <c r="R268" s="48">
        <v>0</v>
      </c>
      <c r="S268" s="48"/>
      <c r="T268" s="48">
        <f t="shared" si="24"/>
        <v>0</v>
      </c>
      <c r="U268" s="48">
        <f t="shared" si="25"/>
        <v>0</v>
      </c>
      <c r="V268" s="49">
        <f>+Tabla_Auditorias[[#This Row],[AJUSTE
EGRESO
COSTO]]+Tabla_Auditorias[[#This Row],[AJUSTE EGRESO
MAL ESTADO]]+Tabla_Auditorias[[#This Row],[AJUSTE
INGRESO
COSTO]]</f>
        <v>0</v>
      </c>
      <c r="W268" s="48">
        <v>0</v>
      </c>
      <c r="X268" s="48"/>
      <c r="Y268" s="48"/>
      <c r="Z268" s="48">
        <v>0</v>
      </c>
      <c r="AA268" s="50">
        <f>+SUM(Tabla_Auditorias[[#This Row],[AJUSTE
EGRESO
COSTO]:[AJUSTE
INGRESO
COSTO]])</f>
        <v>0</v>
      </c>
      <c r="AB268" s="36" t="str">
        <f t="shared" si="26"/>
        <v>BAJO</v>
      </c>
      <c r="AC268" s="37">
        <f t="shared" si="27"/>
        <v>0</v>
      </c>
      <c r="AD268" s="35">
        <v>0</v>
      </c>
      <c r="AE268" s="41" t="s">
        <v>49</v>
      </c>
      <c r="AF268" s="38" t="str">
        <f>IF(Tabla_Auditorias[[#This Row],[TOTAL
COSTO
NETO]]&lt;&gt;0,"Si","No")</f>
        <v>No</v>
      </c>
      <c r="AG268" s="39" t="s">
        <v>221</v>
      </c>
      <c r="AH268" s="40"/>
      <c r="AI268" s="51" t="str">
        <f t="shared" si="28"/>
        <v/>
      </c>
      <c r="AJ268" s="38" t="str">
        <f t="shared" si="29"/>
        <v>Pendiente</v>
      </c>
    </row>
    <row r="269" spans="1:36" s="31" customFormat="1" ht="25.5" customHeight="1" x14ac:dyDescent="0.2">
      <c r="A269" s="32">
        <v>265</v>
      </c>
      <c r="B269" s="33" t="s">
        <v>203</v>
      </c>
      <c r="C269" s="32" t="s">
        <v>43</v>
      </c>
      <c r="D269" s="32" t="s">
        <v>44</v>
      </c>
      <c r="E269" s="32" t="s">
        <v>58</v>
      </c>
      <c r="F269" s="32">
        <v>1520</v>
      </c>
      <c r="G269" s="33" t="s">
        <v>59</v>
      </c>
      <c r="H269" s="32" t="s">
        <v>280</v>
      </c>
      <c r="I269" s="32"/>
      <c r="J269" s="34">
        <v>45885</v>
      </c>
      <c r="K269" s="34">
        <v>45885</v>
      </c>
      <c r="L269" s="32" t="s">
        <v>48</v>
      </c>
      <c r="M269" s="48">
        <v>104617.51</v>
      </c>
      <c r="N269" s="48">
        <v>0</v>
      </c>
      <c r="O269" s="48">
        <v>0</v>
      </c>
      <c r="P269" s="48">
        <v>4.05</v>
      </c>
      <c r="Q269" s="48">
        <v>0</v>
      </c>
      <c r="R269" s="48">
        <v>0</v>
      </c>
      <c r="S269" s="48"/>
      <c r="T269" s="48">
        <f t="shared" si="24"/>
        <v>4.05</v>
      </c>
      <c r="U269" s="48">
        <f t="shared" si="25"/>
        <v>4.05</v>
      </c>
      <c r="V269" s="49">
        <f>+Tabla_Auditorias[[#This Row],[AJUSTE
EGRESO
COSTO]]+Tabla_Auditorias[[#This Row],[AJUSTE EGRESO
MAL ESTADO]]+Tabla_Auditorias[[#This Row],[AJUSTE
INGRESO
COSTO]]</f>
        <v>-0.18999999999999773</v>
      </c>
      <c r="W269" s="48">
        <v>-215.82</v>
      </c>
      <c r="X269" s="48"/>
      <c r="Y269" s="48"/>
      <c r="Z269" s="48">
        <v>215.63</v>
      </c>
      <c r="AA269" s="50">
        <f>+SUM(Tabla_Auditorias[[#This Row],[AJUSTE
EGRESO
COSTO]:[AJUSTE
INGRESO
COSTO]])</f>
        <v>-0.18999999999999773</v>
      </c>
      <c r="AB269" s="36" t="str">
        <f t="shared" si="26"/>
        <v>BAJO</v>
      </c>
      <c r="AC269" s="37">
        <f t="shared" si="27"/>
        <v>10</v>
      </c>
      <c r="AD269" s="35">
        <v>0</v>
      </c>
      <c r="AE269" s="41" t="s">
        <v>49</v>
      </c>
      <c r="AF269" s="38" t="str">
        <f>IF(Tabla_Auditorias[[#This Row],[TOTAL
COSTO
NETO]]&lt;&gt;0,"Si","No")</f>
        <v>Si</v>
      </c>
      <c r="AG269" s="39" t="s">
        <v>303</v>
      </c>
      <c r="AH269" s="40"/>
      <c r="AI269" s="51">
        <f t="shared" si="28"/>
        <v>0</v>
      </c>
      <c r="AJ269" s="38" t="str">
        <f t="shared" si="29"/>
        <v>Pendiente</v>
      </c>
    </row>
    <row r="270" spans="1:36" s="31" customFormat="1" ht="25.5" customHeight="1" x14ac:dyDescent="0.2">
      <c r="A270" s="32">
        <v>266</v>
      </c>
      <c r="B270" s="33" t="s">
        <v>72</v>
      </c>
      <c r="C270" s="32" t="s">
        <v>43</v>
      </c>
      <c r="D270" s="32" t="s">
        <v>44</v>
      </c>
      <c r="E270" s="32" t="s">
        <v>58</v>
      </c>
      <c r="F270" s="32">
        <v>1514</v>
      </c>
      <c r="G270" s="33" t="s">
        <v>59</v>
      </c>
      <c r="H270" s="32" t="s">
        <v>47</v>
      </c>
      <c r="I270" s="32"/>
      <c r="J270" s="34">
        <v>45886</v>
      </c>
      <c r="K270" s="34">
        <v>45886</v>
      </c>
      <c r="L270" s="32" t="s">
        <v>48</v>
      </c>
      <c r="M270" s="48">
        <v>92970.65</v>
      </c>
      <c r="N270" s="48">
        <v>170.83</v>
      </c>
      <c r="O270" s="48">
        <v>-66.8</v>
      </c>
      <c r="P270" s="48">
        <v>-91.65</v>
      </c>
      <c r="Q270" s="48">
        <v>-181.91</v>
      </c>
      <c r="R270" s="48">
        <v>0</v>
      </c>
      <c r="S270" s="48"/>
      <c r="T270" s="48">
        <f t="shared" si="24"/>
        <v>-169.52999999999997</v>
      </c>
      <c r="U270" s="48">
        <f t="shared" si="25"/>
        <v>-169.52999999999997</v>
      </c>
      <c r="V270" s="49">
        <f>+Tabla_Auditorias[[#This Row],[AJUSTE
EGRESO
COSTO]]+Tabla_Auditorias[[#This Row],[AJUSTE EGRESO
MAL ESTADO]]+Tabla_Auditorias[[#This Row],[AJUSTE
INGRESO
COSTO]]</f>
        <v>-139.97000000000003</v>
      </c>
      <c r="W270" s="48">
        <v>-949.72</v>
      </c>
      <c r="X270" s="48"/>
      <c r="Y270" s="48"/>
      <c r="Z270" s="48">
        <v>809.75</v>
      </c>
      <c r="AA270" s="50">
        <f>+SUM(Tabla_Auditorias[[#This Row],[AJUSTE
EGRESO
COSTO]:[AJUSTE
INGRESO
COSTO]])</f>
        <v>-139.97000000000003</v>
      </c>
      <c r="AB270" s="36" t="str">
        <f t="shared" si="26"/>
        <v>MEDIO</v>
      </c>
      <c r="AC270" s="37">
        <f t="shared" si="27"/>
        <v>25</v>
      </c>
      <c r="AD270" s="35">
        <v>0</v>
      </c>
      <c r="AE270" s="41" t="s">
        <v>49</v>
      </c>
      <c r="AF270" s="38" t="str">
        <f>IF(Tabla_Auditorias[[#This Row],[TOTAL
COSTO
NETO]]&lt;&gt;0,"Si","No")</f>
        <v>Si</v>
      </c>
      <c r="AG270" s="39" t="s">
        <v>304</v>
      </c>
      <c r="AH270" s="40"/>
      <c r="AI270" s="51">
        <f t="shared" si="28"/>
        <v>0</v>
      </c>
      <c r="AJ270" s="38" t="str">
        <f t="shared" si="29"/>
        <v>Pendiente</v>
      </c>
    </row>
    <row r="271" spans="1:36" s="31" customFormat="1" ht="25.5" customHeight="1" x14ac:dyDescent="0.2">
      <c r="A271" s="32">
        <v>267</v>
      </c>
      <c r="B271" s="33" t="s">
        <v>241</v>
      </c>
      <c r="C271" s="32" t="s">
        <v>51</v>
      </c>
      <c r="D271" s="32" t="s">
        <v>57</v>
      </c>
      <c r="E271" s="32" t="s">
        <v>58</v>
      </c>
      <c r="F271" s="32">
        <v>1741</v>
      </c>
      <c r="G271" s="33" t="s">
        <v>59</v>
      </c>
      <c r="H271" s="32" t="s">
        <v>47</v>
      </c>
      <c r="I271" s="32"/>
      <c r="J271" s="34">
        <v>45886</v>
      </c>
      <c r="K271" s="34">
        <v>45886</v>
      </c>
      <c r="L271" s="32" t="s">
        <v>48</v>
      </c>
      <c r="M271" s="48">
        <v>77198.91</v>
      </c>
      <c r="N271" s="48">
        <v>0</v>
      </c>
      <c r="O271" s="48">
        <v>0</v>
      </c>
      <c r="P271" s="48">
        <v>0</v>
      </c>
      <c r="Q271" s="48">
        <v>0</v>
      </c>
      <c r="R271" s="48">
        <v>0</v>
      </c>
      <c r="S271" s="48"/>
      <c r="T271" s="48">
        <f t="shared" si="24"/>
        <v>0</v>
      </c>
      <c r="U271" s="48">
        <f t="shared" si="25"/>
        <v>0</v>
      </c>
      <c r="V271" s="49">
        <f>+Tabla_Auditorias[[#This Row],[AJUSTE
EGRESO
COSTO]]+Tabla_Auditorias[[#This Row],[AJUSTE EGRESO
MAL ESTADO]]+Tabla_Auditorias[[#This Row],[AJUSTE
INGRESO
COSTO]]</f>
        <v>0</v>
      </c>
      <c r="W271" s="48">
        <v>0</v>
      </c>
      <c r="X271" s="48"/>
      <c r="Y271" s="48"/>
      <c r="Z271" s="48">
        <v>0</v>
      </c>
      <c r="AA271" s="50">
        <f>+SUM(Tabla_Auditorias[[#This Row],[AJUSTE
EGRESO
COSTO]:[AJUSTE
INGRESO
COSTO]])</f>
        <v>0</v>
      </c>
      <c r="AB271" s="36" t="str">
        <f t="shared" si="26"/>
        <v>BAJO</v>
      </c>
      <c r="AC271" s="37">
        <f t="shared" si="27"/>
        <v>0</v>
      </c>
      <c r="AD271" s="35">
        <v>0</v>
      </c>
      <c r="AE271" s="41" t="s">
        <v>49</v>
      </c>
      <c r="AF271" s="38" t="str">
        <f>IF(Tabla_Auditorias[[#This Row],[TOTAL
COSTO
NETO]]&lt;&gt;0,"Si","No")</f>
        <v>No</v>
      </c>
      <c r="AG271" s="39" t="s">
        <v>221</v>
      </c>
      <c r="AH271" s="40"/>
      <c r="AI271" s="51" t="str">
        <f t="shared" si="28"/>
        <v/>
      </c>
      <c r="AJ271" s="38" t="str">
        <f t="shared" si="29"/>
        <v>Pendiente</v>
      </c>
    </row>
    <row r="272" spans="1:36" s="31" customFormat="1" ht="25.5" customHeight="1" x14ac:dyDescent="0.2">
      <c r="A272" s="32">
        <v>268</v>
      </c>
      <c r="B272" s="33" t="s">
        <v>85</v>
      </c>
      <c r="C272" s="32" t="s">
        <v>43</v>
      </c>
      <c r="D272" s="32" t="s">
        <v>44</v>
      </c>
      <c r="E272" s="32" t="s">
        <v>53</v>
      </c>
      <c r="F272" s="32">
        <v>1510</v>
      </c>
      <c r="G272" s="33" t="s">
        <v>54</v>
      </c>
      <c r="H272" s="32" t="s">
        <v>47</v>
      </c>
      <c r="I272" s="32"/>
      <c r="J272" s="34">
        <v>45888</v>
      </c>
      <c r="K272" s="34">
        <v>45888</v>
      </c>
      <c r="L272" s="32" t="s">
        <v>48</v>
      </c>
      <c r="M272" s="48">
        <v>83254.100000000006</v>
      </c>
      <c r="N272" s="48">
        <v>248.51</v>
      </c>
      <c r="O272" s="48">
        <v>-289.5</v>
      </c>
      <c r="P272" s="48">
        <v>0</v>
      </c>
      <c r="Q272" s="48">
        <v>0</v>
      </c>
      <c r="R272" s="48">
        <v>0</v>
      </c>
      <c r="S272" s="48"/>
      <c r="T272" s="48">
        <f t="shared" si="24"/>
        <v>-40.990000000000009</v>
      </c>
      <c r="U272" s="48">
        <f t="shared" si="25"/>
        <v>-40.990000000000009</v>
      </c>
      <c r="V272" s="49">
        <f>+Tabla_Auditorias[[#This Row],[AJUSTE
EGRESO
COSTO]]+Tabla_Auditorias[[#This Row],[AJUSTE EGRESO
MAL ESTADO]]+Tabla_Auditorias[[#This Row],[AJUSTE
INGRESO
COSTO]]</f>
        <v>-50.839999999999975</v>
      </c>
      <c r="W272" s="48">
        <v>-182.89</v>
      </c>
      <c r="X272" s="48"/>
      <c r="Y272" s="48"/>
      <c r="Z272" s="48">
        <v>132.05000000000001</v>
      </c>
      <c r="AA272" s="50">
        <f>+SUM(Tabla_Auditorias[[#This Row],[AJUSTE
EGRESO
COSTO]:[AJUSTE
INGRESO
COSTO]])</f>
        <v>-50.839999999999975</v>
      </c>
      <c r="AB272" s="36" t="str">
        <f t="shared" si="26"/>
        <v>MEDIO</v>
      </c>
      <c r="AC272" s="37">
        <f t="shared" si="27"/>
        <v>20</v>
      </c>
      <c r="AD272" s="35">
        <v>0</v>
      </c>
      <c r="AE272" s="41" t="s">
        <v>49</v>
      </c>
      <c r="AF272" s="38" t="str">
        <f>IF(Tabla_Auditorias[[#This Row],[TOTAL
COSTO
NETO]]&lt;&gt;0,"Si","No")</f>
        <v>Si</v>
      </c>
      <c r="AG272" s="39" t="s">
        <v>305</v>
      </c>
      <c r="AH272" s="40"/>
      <c r="AI272" s="51">
        <f t="shared" si="28"/>
        <v>0</v>
      </c>
      <c r="AJ272" s="38" t="str">
        <f t="shared" si="29"/>
        <v>Pendiente</v>
      </c>
    </row>
    <row r="273" spans="1:36" s="31" customFormat="1" ht="25.5" customHeight="1" x14ac:dyDescent="0.2">
      <c r="A273" s="32">
        <v>269</v>
      </c>
      <c r="B273" s="33" t="s">
        <v>160</v>
      </c>
      <c r="C273" s="32" t="s">
        <v>51</v>
      </c>
      <c r="D273" s="32" t="s">
        <v>52</v>
      </c>
      <c r="E273" s="32" t="s">
        <v>53</v>
      </c>
      <c r="F273" s="32">
        <v>1739</v>
      </c>
      <c r="G273" s="33" t="s">
        <v>54</v>
      </c>
      <c r="H273" s="32" t="s">
        <v>47</v>
      </c>
      <c r="I273" s="32"/>
      <c r="J273" s="34">
        <v>45888</v>
      </c>
      <c r="K273" s="34">
        <v>45888</v>
      </c>
      <c r="L273" s="32" t="s">
        <v>48</v>
      </c>
      <c r="M273" s="48">
        <v>24017.29</v>
      </c>
      <c r="N273" s="48">
        <v>13.05</v>
      </c>
      <c r="O273" s="48">
        <v>-13.05</v>
      </c>
      <c r="P273" s="48">
        <v>0</v>
      </c>
      <c r="Q273" s="48">
        <v>0</v>
      </c>
      <c r="R273" s="48">
        <v>0</v>
      </c>
      <c r="S273" s="48"/>
      <c r="T273" s="48">
        <f t="shared" si="24"/>
        <v>0</v>
      </c>
      <c r="U273" s="48">
        <f t="shared" si="25"/>
        <v>0</v>
      </c>
      <c r="V273" s="49">
        <f>+Tabla_Auditorias[[#This Row],[AJUSTE
EGRESO
COSTO]]+Tabla_Auditorias[[#This Row],[AJUSTE EGRESO
MAL ESTADO]]+Tabla_Auditorias[[#This Row],[AJUSTE
INGRESO
COSTO]]</f>
        <v>0.55069999999999997</v>
      </c>
      <c r="W273" s="48">
        <v>-6.3993000000000002</v>
      </c>
      <c r="X273" s="48"/>
      <c r="Y273" s="48"/>
      <c r="Z273" s="48">
        <v>6.95</v>
      </c>
      <c r="AA273" s="50">
        <f>+SUM(Tabla_Auditorias[[#This Row],[AJUSTE
EGRESO
COSTO]:[AJUSTE
INGRESO
COSTO]])</f>
        <v>0.55069999999999997</v>
      </c>
      <c r="AB273" s="36" t="str">
        <f t="shared" si="26"/>
        <v>BAJO</v>
      </c>
      <c r="AC273" s="37">
        <f t="shared" si="27"/>
        <v>10</v>
      </c>
      <c r="AD273" s="35">
        <v>0</v>
      </c>
      <c r="AE273" s="41" t="s">
        <v>49</v>
      </c>
      <c r="AF273" s="38" t="str">
        <f>IF(Tabla_Auditorias[[#This Row],[TOTAL
COSTO
NETO]]&lt;&gt;0,"Si","No")</f>
        <v>Si</v>
      </c>
      <c r="AG273" s="39" t="s">
        <v>306</v>
      </c>
      <c r="AH273" s="40"/>
      <c r="AI273" s="51" t="str">
        <f t="shared" si="28"/>
        <v/>
      </c>
      <c r="AJ273" s="38" t="str">
        <f t="shared" si="29"/>
        <v>No Aplica</v>
      </c>
    </row>
    <row r="274" spans="1:36" s="31" customFormat="1" ht="25.5" customHeight="1" x14ac:dyDescent="0.2">
      <c r="A274" s="32">
        <v>270</v>
      </c>
      <c r="B274" s="33" t="s">
        <v>99</v>
      </c>
      <c r="C274" s="32" t="s">
        <v>43</v>
      </c>
      <c r="D274" s="32" t="s">
        <v>44</v>
      </c>
      <c r="E274" s="32" t="s">
        <v>58</v>
      </c>
      <c r="F274" s="32">
        <v>1519</v>
      </c>
      <c r="G274" s="33" t="s">
        <v>59</v>
      </c>
      <c r="H274" s="32" t="s">
        <v>47</v>
      </c>
      <c r="I274" s="32"/>
      <c r="J274" s="34">
        <v>45889</v>
      </c>
      <c r="K274" s="34">
        <v>45889</v>
      </c>
      <c r="L274" s="32" t="s">
        <v>48</v>
      </c>
      <c r="M274" s="48">
        <v>168296.76</v>
      </c>
      <c r="N274" s="48">
        <v>294.23</v>
      </c>
      <c r="O274" s="48">
        <v>-386.11</v>
      </c>
      <c r="P274" s="48">
        <v>-107.56</v>
      </c>
      <c r="Q274" s="48">
        <v>-25.55</v>
      </c>
      <c r="R274" s="48">
        <v>0</v>
      </c>
      <c r="S274" s="48"/>
      <c r="T274" s="48">
        <f t="shared" si="24"/>
        <v>-224.99</v>
      </c>
      <c r="U274" s="48">
        <f t="shared" si="25"/>
        <v>-224.99</v>
      </c>
      <c r="V274" s="49">
        <f>+Tabla_Auditorias[[#This Row],[AJUSTE
EGRESO
COSTO]]+Tabla_Auditorias[[#This Row],[AJUSTE EGRESO
MAL ESTADO]]+Tabla_Auditorias[[#This Row],[AJUSTE
INGRESO
COSTO]]</f>
        <v>-66.006700000000137</v>
      </c>
      <c r="W274" s="48">
        <v>-1335.3484000000001</v>
      </c>
      <c r="X274" s="48"/>
      <c r="Y274" s="48"/>
      <c r="Z274" s="48">
        <v>1269.3416999999999</v>
      </c>
      <c r="AA274" s="50">
        <f>+SUM(Tabla_Auditorias[[#This Row],[AJUSTE
EGRESO
COSTO]:[AJUSTE
INGRESO
COSTO]])</f>
        <v>-66.006700000000137</v>
      </c>
      <c r="AB274" s="36" t="str">
        <f t="shared" si="26"/>
        <v>MEDIO</v>
      </c>
      <c r="AC274" s="37">
        <f t="shared" si="27"/>
        <v>30</v>
      </c>
      <c r="AD274" s="35">
        <v>0</v>
      </c>
      <c r="AE274" s="41" t="s">
        <v>49</v>
      </c>
      <c r="AF274" s="38" t="str">
        <f>IF(Tabla_Auditorias[[#This Row],[TOTAL
COSTO
NETO]]&lt;&gt;0,"Si","No")</f>
        <v>Si</v>
      </c>
      <c r="AG274" s="39" t="s">
        <v>307</v>
      </c>
      <c r="AH274" s="40"/>
      <c r="AI274" s="51">
        <f t="shared" si="28"/>
        <v>0</v>
      </c>
      <c r="AJ274" s="38" t="str">
        <f t="shared" si="29"/>
        <v>Pendiente</v>
      </c>
    </row>
    <row r="275" spans="1:36" s="31" customFormat="1" ht="25.5" customHeight="1" x14ac:dyDescent="0.2">
      <c r="A275" s="32">
        <v>271</v>
      </c>
      <c r="B275" s="33" t="s">
        <v>83</v>
      </c>
      <c r="C275" s="32" t="s">
        <v>51</v>
      </c>
      <c r="D275" s="32" t="s">
        <v>57</v>
      </c>
      <c r="E275" s="32" t="s">
        <v>58</v>
      </c>
      <c r="F275" s="32">
        <v>1704</v>
      </c>
      <c r="G275" s="33" t="s">
        <v>59</v>
      </c>
      <c r="H275" s="32" t="s">
        <v>47</v>
      </c>
      <c r="I275" s="32"/>
      <c r="J275" s="34">
        <v>45890</v>
      </c>
      <c r="K275" s="34">
        <v>45890</v>
      </c>
      <c r="L275" s="32" t="s">
        <v>48</v>
      </c>
      <c r="M275" s="48">
        <v>99198.11</v>
      </c>
      <c r="N275" s="48">
        <v>36.6</v>
      </c>
      <c r="O275" s="48">
        <v>-2035.74</v>
      </c>
      <c r="P275" s="48">
        <v>19.420000000000002</v>
      </c>
      <c r="Q275" s="48">
        <v>0</v>
      </c>
      <c r="R275" s="48">
        <v>0</v>
      </c>
      <c r="S275" s="48"/>
      <c r="T275" s="48">
        <f t="shared" si="24"/>
        <v>-1979.72</v>
      </c>
      <c r="U275" s="48">
        <f t="shared" si="25"/>
        <v>-1979.72</v>
      </c>
      <c r="V275" s="49">
        <f>+Tabla_Auditorias[[#This Row],[AJUSTE
EGRESO
COSTO]]+Tabla_Auditorias[[#This Row],[AJUSTE EGRESO
MAL ESTADO]]+Tabla_Auditorias[[#This Row],[AJUSTE
INGRESO
COSTO]]</f>
        <v>-975.87890000000004</v>
      </c>
      <c r="W275" s="48">
        <v>-1118.4989</v>
      </c>
      <c r="X275" s="48"/>
      <c r="Y275" s="48"/>
      <c r="Z275" s="48">
        <v>142.62</v>
      </c>
      <c r="AA275" s="50">
        <f>+SUM(Tabla_Auditorias[[#This Row],[AJUSTE
EGRESO
COSTO]:[AJUSTE
INGRESO
COSTO]])</f>
        <v>-975.87890000000004</v>
      </c>
      <c r="AB275" s="36" t="str">
        <f t="shared" si="26"/>
        <v>ALTO</v>
      </c>
      <c r="AC275" s="37">
        <f t="shared" si="27"/>
        <v>47</v>
      </c>
      <c r="AD275" s="35">
        <v>0</v>
      </c>
      <c r="AE275" s="41" t="s">
        <v>49</v>
      </c>
      <c r="AF275" s="38" t="str">
        <f>IF(Tabla_Auditorias[[#This Row],[TOTAL
COSTO
NETO]]&lt;&gt;0,"Si","No")</f>
        <v>Si</v>
      </c>
      <c r="AG275" s="39" t="s">
        <v>308</v>
      </c>
      <c r="AH275" s="40"/>
      <c r="AI275" s="51">
        <f t="shared" si="28"/>
        <v>0</v>
      </c>
      <c r="AJ275" s="38" t="str">
        <f t="shared" si="29"/>
        <v>Pendiente</v>
      </c>
    </row>
    <row r="276" spans="1:36" s="31" customFormat="1" ht="25.5" customHeight="1" x14ac:dyDescent="0.2">
      <c r="A276" s="32">
        <v>272</v>
      </c>
      <c r="B276" s="33" t="s">
        <v>103</v>
      </c>
      <c r="C276" s="32" t="s">
        <v>43</v>
      </c>
      <c r="D276" s="32" t="s">
        <v>44</v>
      </c>
      <c r="E276" s="32" t="s">
        <v>53</v>
      </c>
      <c r="F276" s="32">
        <v>1503</v>
      </c>
      <c r="G276" s="33" t="s">
        <v>54</v>
      </c>
      <c r="H276" s="32" t="s">
        <v>47</v>
      </c>
      <c r="I276" s="32"/>
      <c r="J276" s="34">
        <v>45890</v>
      </c>
      <c r="K276" s="34">
        <v>45890</v>
      </c>
      <c r="L276" s="32" t="s">
        <v>48</v>
      </c>
      <c r="M276" s="48">
        <v>210.65</v>
      </c>
      <c r="N276" s="48">
        <v>0</v>
      </c>
      <c r="O276" s="48">
        <v>0</v>
      </c>
      <c r="P276" s="48">
        <v>0</v>
      </c>
      <c r="Q276" s="48">
        <v>-360.72</v>
      </c>
      <c r="R276" s="48">
        <v>0</v>
      </c>
      <c r="S276" s="48"/>
      <c r="T276" s="48">
        <f t="shared" si="24"/>
        <v>-360.72</v>
      </c>
      <c r="U276" s="48">
        <f t="shared" si="25"/>
        <v>-360.72</v>
      </c>
      <c r="V276" s="49">
        <f>+Tabla_Auditorias[[#This Row],[AJUSTE
EGRESO
COSTO]]+Tabla_Auditorias[[#This Row],[AJUSTE EGRESO
MAL ESTADO]]+Tabla_Auditorias[[#This Row],[AJUSTE
INGRESO
COSTO]]</f>
        <v>-210.64949999999999</v>
      </c>
      <c r="W276" s="48">
        <v>-210.64949999999999</v>
      </c>
      <c r="X276" s="48"/>
      <c r="Y276" s="48"/>
      <c r="Z276" s="48">
        <v>0</v>
      </c>
      <c r="AA276" s="50">
        <f>+SUM(Tabla_Auditorias[[#This Row],[AJUSTE
EGRESO
COSTO]:[AJUSTE
INGRESO
COSTO]])</f>
        <v>-210.64949999999999</v>
      </c>
      <c r="AB276" s="36" t="str">
        <f t="shared" si="26"/>
        <v>MEDIO</v>
      </c>
      <c r="AC276" s="37">
        <f t="shared" si="27"/>
        <v>20</v>
      </c>
      <c r="AD276" s="35">
        <v>0</v>
      </c>
      <c r="AE276" s="41" t="s">
        <v>49</v>
      </c>
      <c r="AF276" s="38" t="str">
        <f>IF(Tabla_Auditorias[[#This Row],[TOTAL
COSTO
NETO]]&lt;&gt;0,"Si","No")</f>
        <v>Si</v>
      </c>
      <c r="AG276" s="39" t="s">
        <v>287</v>
      </c>
      <c r="AH276" s="40"/>
      <c r="AI276" s="51">
        <f t="shared" si="28"/>
        <v>0</v>
      </c>
      <c r="AJ276" s="38" t="str">
        <f t="shared" si="29"/>
        <v>Pendiente</v>
      </c>
    </row>
    <row r="277" spans="1:36" s="31" customFormat="1" ht="25.5" customHeight="1" x14ac:dyDescent="0.2">
      <c r="A277" s="32">
        <v>273</v>
      </c>
      <c r="B277" s="33" t="s">
        <v>159</v>
      </c>
      <c r="C277" s="32" t="s">
        <v>51</v>
      </c>
      <c r="D277" s="32" t="s">
        <v>57</v>
      </c>
      <c r="E277" s="32" t="s">
        <v>53</v>
      </c>
      <c r="F277" s="32">
        <v>1743</v>
      </c>
      <c r="G277" s="33" t="s">
        <v>54</v>
      </c>
      <c r="H277" s="32" t="s">
        <v>47</v>
      </c>
      <c r="I277" s="32"/>
      <c r="J277" s="34">
        <v>45890</v>
      </c>
      <c r="K277" s="34">
        <v>45890</v>
      </c>
      <c r="L277" s="32" t="s">
        <v>48</v>
      </c>
      <c r="M277" s="48">
        <v>115214.39999999999</v>
      </c>
      <c r="N277" s="48">
        <v>25.18</v>
      </c>
      <c r="O277" s="48">
        <v>-153.5</v>
      </c>
      <c r="P277" s="48">
        <v>75.400000000000091</v>
      </c>
      <c r="Q277" s="48">
        <v>0</v>
      </c>
      <c r="R277" s="48">
        <v>0</v>
      </c>
      <c r="S277" s="48"/>
      <c r="T277" s="48">
        <f t="shared" si="24"/>
        <v>-52.919999999999902</v>
      </c>
      <c r="U277" s="48">
        <f t="shared" si="25"/>
        <v>-52.919999999999902</v>
      </c>
      <c r="V277" s="49">
        <f>+Tabla_Auditorias[[#This Row],[AJUSTE
EGRESO
COSTO]]+Tabla_Auditorias[[#This Row],[AJUSTE EGRESO
MAL ESTADO]]+Tabla_Auditorias[[#This Row],[AJUSTE
INGRESO
COSTO]]</f>
        <v>1.8807000000000471</v>
      </c>
      <c r="W277" s="48">
        <v>-421.45569999999998</v>
      </c>
      <c r="X277" s="48"/>
      <c r="Y277" s="48"/>
      <c r="Z277" s="48">
        <v>423.33640000000003</v>
      </c>
      <c r="AA277" s="50">
        <f>+SUM(Tabla_Auditorias[[#This Row],[AJUSTE
EGRESO
COSTO]:[AJUSTE
INGRESO
COSTO]])</f>
        <v>1.8807000000000471</v>
      </c>
      <c r="AB277" s="36" t="str">
        <f t="shared" si="26"/>
        <v>MEDIO</v>
      </c>
      <c r="AC277" s="37">
        <f t="shared" si="27"/>
        <v>20</v>
      </c>
      <c r="AD277" s="35">
        <v>0</v>
      </c>
      <c r="AE277" s="41" t="s">
        <v>49</v>
      </c>
      <c r="AF277" s="38" t="str">
        <f>IF(Tabla_Auditorias[[#This Row],[TOTAL
COSTO
NETO]]&lt;&gt;0,"Si","No")</f>
        <v>Si</v>
      </c>
      <c r="AG277" s="39" t="s">
        <v>309</v>
      </c>
      <c r="AH277" s="40"/>
      <c r="AI277" s="51" t="str">
        <f t="shared" si="28"/>
        <v/>
      </c>
      <c r="AJ277" s="38" t="str">
        <f t="shared" si="29"/>
        <v>No Aplica</v>
      </c>
    </row>
    <row r="278" spans="1:36" s="31" customFormat="1" ht="25.5" customHeight="1" x14ac:dyDescent="0.2">
      <c r="A278" s="32">
        <v>274</v>
      </c>
      <c r="B278" s="33" t="s">
        <v>105</v>
      </c>
      <c r="C278" s="32" t="s">
        <v>51</v>
      </c>
      <c r="D278" s="32" t="s">
        <v>57</v>
      </c>
      <c r="E278" s="32" t="s">
        <v>53</v>
      </c>
      <c r="F278" s="32">
        <v>1710</v>
      </c>
      <c r="G278" s="33" t="s">
        <v>54</v>
      </c>
      <c r="H278" s="32" t="s">
        <v>47</v>
      </c>
      <c r="I278" s="32"/>
      <c r="J278" s="34">
        <v>45890</v>
      </c>
      <c r="K278" s="34">
        <v>45890</v>
      </c>
      <c r="L278" s="32" t="s">
        <v>48</v>
      </c>
      <c r="M278" s="48">
        <v>85349.49</v>
      </c>
      <c r="N278" s="48">
        <v>0</v>
      </c>
      <c r="O278" s="48">
        <v>0</v>
      </c>
      <c r="P278" s="48">
        <v>0</v>
      </c>
      <c r="Q278" s="48">
        <v>0</v>
      </c>
      <c r="R278" s="48">
        <v>0</v>
      </c>
      <c r="S278" s="48"/>
      <c r="T278" s="48">
        <f t="shared" si="24"/>
        <v>0</v>
      </c>
      <c r="U278" s="48">
        <f t="shared" si="25"/>
        <v>0</v>
      </c>
      <c r="V278" s="49">
        <f>+Tabla_Auditorias[[#This Row],[AJUSTE
EGRESO
COSTO]]+Tabla_Auditorias[[#This Row],[AJUSTE EGRESO
MAL ESTADO]]+Tabla_Auditorias[[#This Row],[AJUSTE
INGRESO
COSTO]]</f>
        <v>0</v>
      </c>
      <c r="W278" s="48">
        <v>0</v>
      </c>
      <c r="X278" s="48"/>
      <c r="Y278" s="48"/>
      <c r="Z278" s="48">
        <v>0</v>
      </c>
      <c r="AA278" s="50">
        <f>+SUM(Tabla_Auditorias[[#This Row],[AJUSTE
EGRESO
COSTO]:[AJUSTE
INGRESO
COSTO]])</f>
        <v>0</v>
      </c>
      <c r="AB278" s="36" t="str">
        <f t="shared" si="26"/>
        <v>BAJO</v>
      </c>
      <c r="AC278" s="37">
        <f t="shared" si="27"/>
        <v>0</v>
      </c>
      <c r="AD278" s="35">
        <v>0</v>
      </c>
      <c r="AE278" s="41" t="s">
        <v>49</v>
      </c>
      <c r="AF278" s="38" t="str">
        <f>IF(Tabla_Auditorias[[#This Row],[TOTAL
COSTO
NETO]]&lt;&gt;0,"Si","No")</f>
        <v>No</v>
      </c>
      <c r="AG278" s="39" t="s">
        <v>310</v>
      </c>
      <c r="AH278" s="40"/>
      <c r="AI278" s="51" t="str">
        <f t="shared" si="28"/>
        <v/>
      </c>
      <c r="AJ278" s="38" t="str">
        <f t="shared" si="29"/>
        <v>Pendiente</v>
      </c>
    </row>
    <row r="279" spans="1:36" s="31" customFormat="1" ht="25.5" customHeight="1" x14ac:dyDescent="0.2">
      <c r="A279" s="32">
        <v>275</v>
      </c>
      <c r="B279" s="33" t="s">
        <v>80</v>
      </c>
      <c r="C279" s="32" t="s">
        <v>51</v>
      </c>
      <c r="D279" s="32" t="s">
        <v>52</v>
      </c>
      <c r="E279" s="32" t="s">
        <v>58</v>
      </c>
      <c r="F279" s="32">
        <v>1731</v>
      </c>
      <c r="G279" s="33" t="s">
        <v>59</v>
      </c>
      <c r="H279" s="32" t="s">
        <v>47</v>
      </c>
      <c r="I279" s="32"/>
      <c r="J279" s="34">
        <v>45892</v>
      </c>
      <c r="K279" s="34">
        <v>45892</v>
      </c>
      <c r="L279" s="32" t="s">
        <v>48</v>
      </c>
      <c r="M279" s="48">
        <v>70125.42</v>
      </c>
      <c r="N279" s="48">
        <v>0</v>
      </c>
      <c r="O279" s="48">
        <v>0</v>
      </c>
      <c r="P279" s="48">
        <v>0</v>
      </c>
      <c r="Q279" s="48">
        <v>0</v>
      </c>
      <c r="R279" s="48">
        <v>0</v>
      </c>
      <c r="S279" s="48"/>
      <c r="T279" s="48">
        <f t="shared" si="24"/>
        <v>0</v>
      </c>
      <c r="U279" s="48">
        <f t="shared" si="25"/>
        <v>0</v>
      </c>
      <c r="V279" s="49">
        <f>+Tabla_Auditorias[[#This Row],[AJUSTE
EGRESO
COSTO]]+Tabla_Auditorias[[#This Row],[AJUSTE EGRESO
MAL ESTADO]]+Tabla_Auditorias[[#This Row],[AJUSTE
INGRESO
COSTO]]</f>
        <v>0</v>
      </c>
      <c r="W279" s="48">
        <v>0</v>
      </c>
      <c r="X279" s="48"/>
      <c r="Y279" s="48"/>
      <c r="Z279" s="48">
        <v>0</v>
      </c>
      <c r="AA279" s="50">
        <f>+SUM(Tabla_Auditorias[[#This Row],[AJUSTE
EGRESO
COSTO]:[AJUSTE
INGRESO
COSTO]])</f>
        <v>0</v>
      </c>
      <c r="AB279" s="36" t="str">
        <f t="shared" si="26"/>
        <v>BAJO</v>
      </c>
      <c r="AC279" s="37">
        <f t="shared" si="27"/>
        <v>0</v>
      </c>
      <c r="AD279" s="35">
        <v>0</v>
      </c>
      <c r="AE279" s="41" t="s">
        <v>49</v>
      </c>
      <c r="AF279" s="38" t="str">
        <f>IF(Tabla_Auditorias[[#This Row],[TOTAL
COSTO
NETO]]&lt;&gt;0,"Si","No")</f>
        <v>No</v>
      </c>
      <c r="AG279" s="39" t="s">
        <v>221</v>
      </c>
      <c r="AH279" s="40"/>
      <c r="AI279" s="51" t="str">
        <f t="shared" si="28"/>
        <v/>
      </c>
      <c r="AJ279" s="38" t="str">
        <f t="shared" si="29"/>
        <v>Pendiente</v>
      </c>
    </row>
    <row r="280" spans="1:36" s="31" customFormat="1" ht="25.5" customHeight="1" x14ac:dyDescent="0.2">
      <c r="A280" s="32">
        <v>276</v>
      </c>
      <c r="B280" s="33" t="s">
        <v>154</v>
      </c>
      <c r="C280" s="32" t="s">
        <v>51</v>
      </c>
      <c r="D280" s="32" t="s">
        <v>57</v>
      </c>
      <c r="E280" s="32" t="s">
        <v>58</v>
      </c>
      <c r="F280" s="32">
        <v>1740</v>
      </c>
      <c r="G280" s="33" t="s">
        <v>59</v>
      </c>
      <c r="H280" s="32" t="s">
        <v>47</v>
      </c>
      <c r="I280" s="32"/>
      <c r="J280" s="34">
        <v>45894</v>
      </c>
      <c r="K280" s="34">
        <v>45894</v>
      </c>
      <c r="L280" s="32" t="s">
        <v>48</v>
      </c>
      <c r="M280" s="48">
        <v>60153.19</v>
      </c>
      <c r="N280" s="48">
        <v>84.9</v>
      </c>
      <c r="O280" s="48">
        <v>-281.05</v>
      </c>
      <c r="P280" s="48">
        <v>-9.51</v>
      </c>
      <c r="Q280" s="48">
        <v>-33.44</v>
      </c>
      <c r="R280" s="48">
        <v>0</v>
      </c>
      <c r="S280" s="48"/>
      <c r="T280" s="48">
        <f t="shared" si="24"/>
        <v>-239.1</v>
      </c>
      <c r="U280" s="48">
        <f t="shared" si="25"/>
        <v>-239.1</v>
      </c>
      <c r="V280" s="49">
        <f>+Tabla_Auditorias[[#This Row],[AJUSTE
EGRESO
COSTO]]+Tabla_Auditorias[[#This Row],[AJUSTE EGRESO
MAL ESTADO]]+Tabla_Auditorias[[#This Row],[AJUSTE
INGRESO
COSTO]]</f>
        <v>-137.41560000000001</v>
      </c>
      <c r="W280" s="48">
        <v>-381.57560000000001</v>
      </c>
      <c r="X280" s="48"/>
      <c r="Y280" s="48"/>
      <c r="Z280" s="48">
        <v>244.16</v>
      </c>
      <c r="AA280" s="50">
        <f>+SUM(Tabla_Auditorias[[#This Row],[AJUSTE
EGRESO
COSTO]:[AJUSTE
INGRESO
COSTO]])</f>
        <v>-137.41560000000001</v>
      </c>
      <c r="AB280" s="36" t="str">
        <f t="shared" si="26"/>
        <v>MEDIO</v>
      </c>
      <c r="AC280" s="37">
        <f t="shared" si="27"/>
        <v>30</v>
      </c>
      <c r="AD280" s="35">
        <v>0</v>
      </c>
      <c r="AE280" s="41" t="s">
        <v>49</v>
      </c>
      <c r="AF280" s="38" t="str">
        <f>IF(Tabla_Auditorias[[#This Row],[TOTAL
COSTO
NETO]]&lt;&gt;0,"Si","No")</f>
        <v>Si</v>
      </c>
      <c r="AG280" s="39" t="s">
        <v>311</v>
      </c>
      <c r="AH280" s="40"/>
      <c r="AI280" s="51">
        <f t="shared" si="28"/>
        <v>0</v>
      </c>
      <c r="AJ280" s="38" t="str">
        <f t="shared" si="29"/>
        <v>Pendiente</v>
      </c>
    </row>
    <row r="281" spans="1:36" s="31" customFormat="1" ht="25.5" customHeight="1" x14ac:dyDescent="0.2">
      <c r="A281" s="32">
        <v>277</v>
      </c>
      <c r="B281" s="33" t="s">
        <v>87</v>
      </c>
      <c r="C281" s="32" t="s">
        <v>153</v>
      </c>
      <c r="D281" s="32" t="s">
        <v>89</v>
      </c>
      <c r="E281" s="32" t="s">
        <v>58</v>
      </c>
      <c r="F281" s="32">
        <v>3040</v>
      </c>
      <c r="G281" s="33" t="s">
        <v>59</v>
      </c>
      <c r="H281" s="32" t="s">
        <v>47</v>
      </c>
      <c r="I281" s="32"/>
      <c r="J281" s="34">
        <v>45894</v>
      </c>
      <c r="K281" s="34">
        <v>45894</v>
      </c>
      <c r="L281" s="32" t="s">
        <v>48</v>
      </c>
      <c r="M281" s="48">
        <v>16838.61</v>
      </c>
      <c r="N281" s="48">
        <v>62.68</v>
      </c>
      <c r="O281" s="48">
        <v>-118.07</v>
      </c>
      <c r="P281" s="48">
        <v>0</v>
      </c>
      <c r="Q281" s="48">
        <v>0</v>
      </c>
      <c r="R281" s="48">
        <v>0</v>
      </c>
      <c r="S281" s="48"/>
      <c r="T281" s="48">
        <f t="shared" si="24"/>
        <v>-55.389999999999993</v>
      </c>
      <c r="U281" s="48">
        <f t="shared" si="25"/>
        <v>-55.389999999999993</v>
      </c>
      <c r="V281" s="49">
        <f>+Tabla_Auditorias[[#This Row],[AJUSTE
EGRESO
COSTO]]+Tabla_Auditorias[[#This Row],[AJUSTE EGRESO
MAL ESTADO]]+Tabla_Auditorias[[#This Row],[AJUSTE
INGRESO
COSTO]]</f>
        <v>-37.117899999999992</v>
      </c>
      <c r="W281" s="48">
        <v>-164.34569999999999</v>
      </c>
      <c r="X281" s="48"/>
      <c r="Y281" s="48"/>
      <c r="Z281" s="48">
        <v>127.2278</v>
      </c>
      <c r="AA281" s="50">
        <f>+SUM(Tabla_Auditorias[[#This Row],[AJUSTE
EGRESO
COSTO]:[AJUSTE
INGRESO
COSTO]])</f>
        <v>-37.117899999999992</v>
      </c>
      <c r="AB281" s="36" t="str">
        <f t="shared" si="26"/>
        <v>MEDIO</v>
      </c>
      <c r="AC281" s="37">
        <f t="shared" si="27"/>
        <v>20</v>
      </c>
      <c r="AD281" s="35">
        <v>0</v>
      </c>
      <c r="AE281" s="41" t="s">
        <v>49</v>
      </c>
      <c r="AF281" s="38" t="str">
        <f>IF(Tabla_Auditorias[[#This Row],[TOTAL
COSTO
NETO]]&lt;&gt;0,"Si","No")</f>
        <v>Si</v>
      </c>
      <c r="AG281" s="39" t="s">
        <v>312</v>
      </c>
      <c r="AH281" s="40"/>
      <c r="AI281" s="51">
        <f t="shared" si="28"/>
        <v>0</v>
      </c>
      <c r="AJ281" s="38" t="str">
        <f t="shared" si="29"/>
        <v>Pendiente</v>
      </c>
    </row>
    <row r="282" spans="1:36" s="31" customFormat="1" ht="25.5" customHeight="1" x14ac:dyDescent="0.2">
      <c r="A282" s="32">
        <v>278</v>
      </c>
      <c r="B282" s="33" t="s">
        <v>120</v>
      </c>
      <c r="C282" s="32" t="s">
        <v>43</v>
      </c>
      <c r="D282" s="32" t="s">
        <v>44</v>
      </c>
      <c r="E282" s="32" t="s">
        <v>58</v>
      </c>
      <c r="F282" s="32">
        <v>1500</v>
      </c>
      <c r="G282" s="33" t="s">
        <v>59</v>
      </c>
      <c r="H282" s="32" t="s">
        <v>47</v>
      </c>
      <c r="I282" s="32"/>
      <c r="J282" s="34">
        <v>45894</v>
      </c>
      <c r="K282" s="34">
        <v>45894</v>
      </c>
      <c r="L282" s="32" t="s">
        <v>48</v>
      </c>
      <c r="M282" s="48">
        <v>302796.3</v>
      </c>
      <c r="N282" s="48">
        <v>232.98</v>
      </c>
      <c r="O282" s="48">
        <v>-792.57</v>
      </c>
      <c r="P282" s="48">
        <v>-72.819999999999993</v>
      </c>
      <c r="Q282" s="48">
        <v>0</v>
      </c>
      <c r="R282" s="48">
        <v>0</v>
      </c>
      <c r="S282" s="48"/>
      <c r="T282" s="48">
        <f t="shared" si="24"/>
        <v>-632.41000000000008</v>
      </c>
      <c r="U282" s="48">
        <f t="shared" si="25"/>
        <v>-632.41000000000008</v>
      </c>
      <c r="V282" s="49">
        <f>+Tabla_Auditorias[[#This Row],[AJUSTE
EGRESO
COSTO]]+Tabla_Auditorias[[#This Row],[AJUSTE EGRESO
MAL ESTADO]]+Tabla_Auditorias[[#This Row],[AJUSTE
INGRESO
COSTO]]</f>
        <v>-289.02359999999999</v>
      </c>
      <c r="W282" s="48">
        <v>-919.04880000000003</v>
      </c>
      <c r="X282" s="48"/>
      <c r="Y282" s="48"/>
      <c r="Z282" s="48">
        <v>630.02520000000004</v>
      </c>
      <c r="AA282" s="50">
        <f>+SUM(Tabla_Auditorias[[#This Row],[AJUSTE
EGRESO
COSTO]:[AJUSTE
INGRESO
COSTO]])</f>
        <v>-289.02359999999999</v>
      </c>
      <c r="AB282" s="36" t="str">
        <f t="shared" si="26"/>
        <v>MEDIO</v>
      </c>
      <c r="AC282" s="37">
        <f t="shared" si="27"/>
        <v>32</v>
      </c>
      <c r="AD282" s="35">
        <v>0</v>
      </c>
      <c r="AE282" s="41" t="s">
        <v>49</v>
      </c>
      <c r="AF282" s="38" t="str">
        <f>IF(Tabla_Auditorias[[#This Row],[TOTAL
COSTO
NETO]]&lt;&gt;0,"Si","No")</f>
        <v>Si</v>
      </c>
      <c r="AG282" s="39" t="s">
        <v>313</v>
      </c>
      <c r="AH282" s="40"/>
      <c r="AI282" s="51">
        <f t="shared" si="28"/>
        <v>0</v>
      </c>
      <c r="AJ282" s="38" t="str">
        <f t="shared" si="29"/>
        <v>Pendiente</v>
      </c>
    </row>
    <row r="283" spans="1:36" s="31" customFormat="1" ht="25.5" customHeight="1" x14ac:dyDescent="0.2">
      <c r="A283" s="32">
        <v>279</v>
      </c>
      <c r="B283" s="33" t="s">
        <v>50</v>
      </c>
      <c r="C283" s="32" t="s">
        <v>51</v>
      </c>
      <c r="D283" s="32" t="s">
        <v>52</v>
      </c>
      <c r="E283" s="32" t="s">
        <v>53</v>
      </c>
      <c r="F283" s="32">
        <v>1732</v>
      </c>
      <c r="G283" s="33" t="s">
        <v>54</v>
      </c>
      <c r="H283" s="32" t="s">
        <v>47</v>
      </c>
      <c r="I283" s="32"/>
      <c r="J283" s="34">
        <v>45896</v>
      </c>
      <c r="K283" s="34">
        <v>45896</v>
      </c>
      <c r="L283" s="32" t="s">
        <v>48</v>
      </c>
      <c r="M283" s="48">
        <v>63652.12</v>
      </c>
      <c r="N283" s="48">
        <v>0</v>
      </c>
      <c r="O283" s="48">
        <v>0</v>
      </c>
      <c r="P283" s="48">
        <v>0</v>
      </c>
      <c r="Q283" s="48">
        <v>0</v>
      </c>
      <c r="R283" s="48">
        <v>0</v>
      </c>
      <c r="S283" s="48"/>
      <c r="T283" s="48">
        <f t="shared" si="24"/>
        <v>0</v>
      </c>
      <c r="U283" s="48">
        <f t="shared" si="25"/>
        <v>0</v>
      </c>
      <c r="V283" s="49">
        <f>+Tabla_Auditorias[[#This Row],[AJUSTE
EGRESO
COSTO]]+Tabla_Auditorias[[#This Row],[AJUSTE EGRESO
MAL ESTADO]]+Tabla_Auditorias[[#This Row],[AJUSTE
INGRESO
COSTO]]</f>
        <v>0</v>
      </c>
      <c r="W283" s="48">
        <v>0</v>
      </c>
      <c r="X283" s="48"/>
      <c r="Y283" s="48"/>
      <c r="Z283" s="48">
        <v>0</v>
      </c>
      <c r="AA283" s="50">
        <f>+SUM(Tabla_Auditorias[[#This Row],[AJUSTE
EGRESO
COSTO]:[AJUSTE
INGRESO
COSTO]])</f>
        <v>0</v>
      </c>
      <c r="AB283" s="36" t="str">
        <f t="shared" si="26"/>
        <v>BAJO</v>
      </c>
      <c r="AC283" s="37">
        <f t="shared" si="27"/>
        <v>0</v>
      </c>
      <c r="AD283" s="35">
        <v>0</v>
      </c>
      <c r="AE283" s="41" t="s">
        <v>49</v>
      </c>
      <c r="AF283" s="38" t="str">
        <f>IF(Tabla_Auditorias[[#This Row],[TOTAL
COSTO
NETO]]&lt;&gt;0,"Si","No")</f>
        <v>No</v>
      </c>
      <c r="AG283" s="39" t="s">
        <v>221</v>
      </c>
      <c r="AH283" s="40"/>
      <c r="AI283" s="51" t="str">
        <f t="shared" si="28"/>
        <v/>
      </c>
      <c r="AJ283" s="38" t="str">
        <f t="shared" si="29"/>
        <v>Pendiente</v>
      </c>
    </row>
    <row r="284" spans="1:36" s="31" customFormat="1" ht="25.5" customHeight="1" x14ac:dyDescent="0.2">
      <c r="A284" s="32">
        <v>280</v>
      </c>
      <c r="B284" s="33" t="s">
        <v>79</v>
      </c>
      <c r="C284" s="32" t="s">
        <v>43</v>
      </c>
      <c r="D284" s="32" t="s">
        <v>44</v>
      </c>
      <c r="E284" s="32" t="s">
        <v>45</v>
      </c>
      <c r="F284" s="32">
        <v>1511</v>
      </c>
      <c r="G284" s="33" t="s">
        <v>314</v>
      </c>
      <c r="H284" s="32" t="s">
        <v>47</v>
      </c>
      <c r="I284" s="32"/>
      <c r="J284" s="34">
        <v>45896</v>
      </c>
      <c r="K284" s="34">
        <v>45896</v>
      </c>
      <c r="L284" s="32" t="s">
        <v>48</v>
      </c>
      <c r="M284" s="48">
        <v>131372.51</v>
      </c>
      <c r="N284" s="48">
        <v>0</v>
      </c>
      <c r="O284" s="48">
        <v>-97.18</v>
      </c>
      <c r="P284" s="48">
        <v>-25.74</v>
      </c>
      <c r="Q284" s="48">
        <v>0</v>
      </c>
      <c r="R284" s="48">
        <v>-493.11</v>
      </c>
      <c r="S284" s="48"/>
      <c r="T284" s="48">
        <f t="shared" si="24"/>
        <v>-616.03</v>
      </c>
      <c r="U284" s="48">
        <f t="shared" si="25"/>
        <v>-122.92</v>
      </c>
      <c r="V284" s="49">
        <f>+Tabla_Auditorias[[#This Row],[AJUSTE
EGRESO
COSTO]]+Tabla_Auditorias[[#This Row],[AJUSTE EGRESO
MAL ESTADO]]+Tabla_Auditorias[[#This Row],[AJUSTE
INGRESO
COSTO]]</f>
        <v>-469.58870000000002</v>
      </c>
      <c r="W284" s="48">
        <v>-591.71870000000001</v>
      </c>
      <c r="X284" s="48"/>
      <c r="Y284" s="48"/>
      <c r="Z284" s="48">
        <v>122.13</v>
      </c>
      <c r="AA284" s="50">
        <f>+SUM(Tabla_Auditorias[[#This Row],[AJUSTE
EGRESO
COSTO]:[AJUSTE
INGRESO
COSTO]])</f>
        <v>-469.58870000000002</v>
      </c>
      <c r="AB284" s="36" t="str">
        <f t="shared" si="26"/>
        <v>MEDIO</v>
      </c>
      <c r="AC284" s="37">
        <f t="shared" si="27"/>
        <v>25</v>
      </c>
      <c r="AD284" s="35">
        <v>0</v>
      </c>
      <c r="AE284" s="41" t="s">
        <v>49</v>
      </c>
      <c r="AF284" s="38" t="str">
        <f>IF(Tabla_Auditorias[[#This Row],[TOTAL
COSTO
NETO]]&lt;&gt;0,"Si","No")</f>
        <v>Si</v>
      </c>
      <c r="AG284" s="39" t="s">
        <v>315</v>
      </c>
      <c r="AH284" s="40"/>
      <c r="AI284" s="51">
        <f t="shared" si="28"/>
        <v>0</v>
      </c>
      <c r="AJ284" s="38" t="str">
        <f t="shared" si="29"/>
        <v>Pendiente</v>
      </c>
    </row>
    <row r="285" spans="1:36" s="31" customFormat="1" ht="25.5" customHeight="1" x14ac:dyDescent="0.2">
      <c r="A285" s="32">
        <v>281</v>
      </c>
      <c r="B285" s="33" t="s">
        <v>125</v>
      </c>
      <c r="C285" s="32" t="s">
        <v>43</v>
      </c>
      <c r="D285" s="32" t="s">
        <v>44</v>
      </c>
      <c r="E285" s="32" t="s">
        <v>53</v>
      </c>
      <c r="F285" s="32">
        <v>1516</v>
      </c>
      <c r="G285" s="33" t="s">
        <v>54</v>
      </c>
      <c r="H285" s="32" t="s">
        <v>47</v>
      </c>
      <c r="I285" s="32"/>
      <c r="J285" s="34">
        <v>45896</v>
      </c>
      <c r="K285" s="34">
        <v>45896</v>
      </c>
      <c r="L285" s="32" t="s">
        <v>48</v>
      </c>
      <c r="M285" s="48">
        <v>163480.37</v>
      </c>
      <c r="N285" s="48">
        <v>0</v>
      </c>
      <c r="O285" s="48">
        <v>-140.22</v>
      </c>
      <c r="P285" s="48">
        <v>0</v>
      </c>
      <c r="Q285" s="48">
        <v>0</v>
      </c>
      <c r="R285" s="48">
        <v>0</v>
      </c>
      <c r="S285" s="48"/>
      <c r="T285" s="48">
        <f t="shared" si="24"/>
        <v>-140.22</v>
      </c>
      <c r="U285" s="48">
        <f t="shared" si="25"/>
        <v>-140.22</v>
      </c>
      <c r="V285" s="49">
        <f>+Tabla_Auditorias[[#This Row],[AJUSTE
EGRESO
COSTO]]+Tabla_Auditorias[[#This Row],[AJUSTE EGRESO
MAL ESTADO]]+Tabla_Auditorias[[#This Row],[AJUSTE
INGRESO
COSTO]]</f>
        <v>-86.114000000000004</v>
      </c>
      <c r="W285" s="48">
        <v>-86.114000000000004</v>
      </c>
      <c r="X285" s="48"/>
      <c r="Y285" s="48"/>
      <c r="Z285" s="48">
        <v>0</v>
      </c>
      <c r="AA285" s="50">
        <f>+SUM(Tabla_Auditorias[[#This Row],[AJUSTE
EGRESO
COSTO]:[AJUSTE
INGRESO
COSTO]])</f>
        <v>-86.114000000000004</v>
      </c>
      <c r="AB285" s="36" t="str">
        <f t="shared" si="26"/>
        <v>MEDIO</v>
      </c>
      <c r="AC285" s="37">
        <f t="shared" si="27"/>
        <v>20</v>
      </c>
      <c r="AD285" s="35">
        <v>0</v>
      </c>
      <c r="AE285" s="41" t="s">
        <v>49</v>
      </c>
      <c r="AF285" s="38" t="str">
        <f>IF(Tabla_Auditorias[[#This Row],[TOTAL
COSTO
NETO]]&lt;&gt;0,"Si","No")</f>
        <v>Si</v>
      </c>
      <c r="AG285" s="39" t="s">
        <v>316</v>
      </c>
      <c r="AH285" s="40"/>
      <c r="AI285" s="51">
        <f t="shared" si="28"/>
        <v>0</v>
      </c>
      <c r="AJ285" s="38" t="str">
        <f t="shared" si="29"/>
        <v>Pendiente</v>
      </c>
    </row>
    <row r="286" spans="1:36" s="31" customFormat="1" ht="25.5" customHeight="1" x14ac:dyDescent="0.2">
      <c r="A286" s="32">
        <v>282</v>
      </c>
      <c r="B286" s="33" t="s">
        <v>208</v>
      </c>
      <c r="C286" s="32" t="s">
        <v>43</v>
      </c>
      <c r="D286" s="32" t="s">
        <v>44</v>
      </c>
      <c r="E286" s="32" t="s">
        <v>58</v>
      </c>
      <c r="F286" s="32">
        <v>1521</v>
      </c>
      <c r="G286" s="33" t="s">
        <v>59</v>
      </c>
      <c r="H286" s="32" t="s">
        <v>47</v>
      </c>
      <c r="I286" s="32"/>
      <c r="J286" s="34">
        <v>45897</v>
      </c>
      <c r="K286" s="34">
        <v>45897</v>
      </c>
      <c r="L286" s="32" t="s">
        <v>48</v>
      </c>
      <c r="M286" s="48">
        <v>193307.36</v>
      </c>
      <c r="N286" s="48">
        <v>192.35</v>
      </c>
      <c r="O286" s="48">
        <v>-268.36</v>
      </c>
      <c r="P286" s="48">
        <v>-11.03</v>
      </c>
      <c r="Q286" s="48">
        <v>-8.0500000000000007</v>
      </c>
      <c r="R286" s="48">
        <v>0</v>
      </c>
      <c r="S286" s="48"/>
      <c r="T286" s="48">
        <f t="shared" si="24"/>
        <v>-95.090000000000018</v>
      </c>
      <c r="U286" s="48">
        <f t="shared" si="25"/>
        <v>-95.090000000000018</v>
      </c>
      <c r="V286" s="49">
        <f>+Tabla_Auditorias[[#This Row],[AJUSTE
EGRESO
COSTO]]+Tabla_Auditorias[[#This Row],[AJUSTE EGRESO
MAL ESTADO]]+Tabla_Auditorias[[#This Row],[AJUSTE
INGRESO
COSTO]]</f>
        <v>-56.827100000000002</v>
      </c>
      <c r="W286" s="48">
        <v>-306.53710000000001</v>
      </c>
      <c r="X286" s="48"/>
      <c r="Y286" s="48"/>
      <c r="Z286" s="48">
        <v>249.71</v>
      </c>
      <c r="AA286" s="50">
        <f>+SUM(Tabla_Auditorias[[#This Row],[AJUSTE
EGRESO
COSTO]:[AJUSTE
INGRESO
COSTO]])</f>
        <v>-56.827100000000002</v>
      </c>
      <c r="AB286" s="36" t="str">
        <f t="shared" si="26"/>
        <v>MEDIO</v>
      </c>
      <c r="AC286" s="37">
        <f t="shared" si="27"/>
        <v>25</v>
      </c>
      <c r="AD286" s="35">
        <v>0</v>
      </c>
      <c r="AE286" s="41" t="s">
        <v>49</v>
      </c>
      <c r="AF286" s="38" t="str">
        <f>IF(Tabla_Auditorias[[#This Row],[TOTAL
COSTO
NETO]]&lt;&gt;0,"Si","No")</f>
        <v>Si</v>
      </c>
      <c r="AG286" s="39" t="s">
        <v>317</v>
      </c>
      <c r="AH286" s="40"/>
      <c r="AI286" s="51">
        <f t="shared" si="28"/>
        <v>0</v>
      </c>
      <c r="AJ286" s="38" t="str">
        <f t="shared" si="29"/>
        <v>Pendiente</v>
      </c>
    </row>
    <row r="287" spans="1:36" s="31" customFormat="1" ht="25.5" customHeight="1" x14ac:dyDescent="0.2">
      <c r="A287" s="32">
        <v>283</v>
      </c>
      <c r="B287" s="33" t="s">
        <v>283</v>
      </c>
      <c r="C287" s="32" t="s">
        <v>51</v>
      </c>
      <c r="D287" s="32" t="s">
        <v>57</v>
      </c>
      <c r="E287" s="32" t="s">
        <v>53</v>
      </c>
      <c r="F287" s="32">
        <v>1721</v>
      </c>
      <c r="G287" s="33" t="s">
        <v>54</v>
      </c>
      <c r="H287" s="32" t="s">
        <v>47</v>
      </c>
      <c r="I287" s="32"/>
      <c r="J287" s="34">
        <v>45897</v>
      </c>
      <c r="K287" s="34">
        <v>45897</v>
      </c>
      <c r="L287" s="32" t="s">
        <v>48</v>
      </c>
      <c r="M287" s="48">
        <v>89708.25</v>
      </c>
      <c r="N287" s="48">
        <v>0</v>
      </c>
      <c r="O287" s="48">
        <v>0</v>
      </c>
      <c r="P287" s="48">
        <v>0</v>
      </c>
      <c r="Q287" s="48">
        <v>0</v>
      </c>
      <c r="R287" s="48">
        <v>0</v>
      </c>
      <c r="S287" s="48"/>
      <c r="T287" s="48">
        <f t="shared" si="24"/>
        <v>0</v>
      </c>
      <c r="U287" s="48">
        <f t="shared" si="25"/>
        <v>0</v>
      </c>
      <c r="V287" s="49">
        <f>+Tabla_Auditorias[[#This Row],[AJUSTE
EGRESO
COSTO]]+Tabla_Auditorias[[#This Row],[AJUSTE EGRESO
MAL ESTADO]]+Tabla_Auditorias[[#This Row],[AJUSTE
INGRESO
COSTO]]</f>
        <v>0</v>
      </c>
      <c r="W287" s="48">
        <v>0</v>
      </c>
      <c r="X287" s="48"/>
      <c r="Y287" s="48"/>
      <c r="Z287" s="48">
        <v>0</v>
      </c>
      <c r="AA287" s="50">
        <f>+SUM(Tabla_Auditorias[[#This Row],[AJUSTE
EGRESO
COSTO]:[AJUSTE
INGRESO
COSTO]])</f>
        <v>0</v>
      </c>
      <c r="AB287" s="36" t="str">
        <f t="shared" si="26"/>
        <v>BAJO</v>
      </c>
      <c r="AC287" s="37">
        <f t="shared" si="27"/>
        <v>0</v>
      </c>
      <c r="AD287" s="35">
        <v>0</v>
      </c>
      <c r="AE287" s="41" t="s">
        <v>49</v>
      </c>
      <c r="AF287" s="38" t="str">
        <f>IF(Tabla_Auditorias[[#This Row],[TOTAL
COSTO
NETO]]&lt;&gt;0,"Si","No")</f>
        <v>No</v>
      </c>
      <c r="AG287" s="39" t="s">
        <v>221</v>
      </c>
      <c r="AH287" s="40"/>
      <c r="AI287" s="51" t="str">
        <f t="shared" si="28"/>
        <v/>
      </c>
      <c r="AJ287" s="38" t="str">
        <f t="shared" si="29"/>
        <v>Pendiente</v>
      </c>
    </row>
    <row r="288" spans="1:36" s="31" customFormat="1" ht="25.5" customHeight="1" x14ac:dyDescent="0.2">
      <c r="A288" s="32">
        <v>284</v>
      </c>
      <c r="B288" s="33" t="s">
        <v>188</v>
      </c>
      <c r="C288" s="32" t="s">
        <v>51</v>
      </c>
      <c r="D288" s="32" t="s">
        <v>57</v>
      </c>
      <c r="E288" s="32" t="s">
        <v>58</v>
      </c>
      <c r="F288" s="32">
        <v>1742</v>
      </c>
      <c r="G288" s="33" t="s">
        <v>59</v>
      </c>
      <c r="H288" s="32" t="s">
        <v>47</v>
      </c>
      <c r="I288" s="32"/>
      <c r="J288" s="34">
        <v>45898</v>
      </c>
      <c r="K288" s="34">
        <v>45898</v>
      </c>
      <c r="L288" s="32" t="s">
        <v>48</v>
      </c>
      <c r="M288" s="48">
        <v>98712.8</v>
      </c>
      <c r="N288" s="48">
        <v>57</v>
      </c>
      <c r="O288" s="48">
        <v>-204.13</v>
      </c>
      <c r="P288" s="48">
        <v>-102.36</v>
      </c>
      <c r="Q288" s="48">
        <v>0</v>
      </c>
      <c r="R288" s="48">
        <v>0</v>
      </c>
      <c r="S288" s="48"/>
      <c r="T288" s="48">
        <f t="shared" si="24"/>
        <v>-249.49</v>
      </c>
      <c r="U288" s="48">
        <f t="shared" si="25"/>
        <v>-249.49</v>
      </c>
      <c r="V288" s="49">
        <f>+Tabla_Auditorias[[#This Row],[AJUSTE
EGRESO
COSTO]]+Tabla_Auditorias[[#This Row],[AJUSTE EGRESO
MAL ESTADO]]+Tabla_Auditorias[[#This Row],[AJUSTE
INGRESO
COSTO]]</f>
        <v>-151.25889999999998</v>
      </c>
      <c r="W288" s="48">
        <v>325.71480000000003</v>
      </c>
      <c r="X288" s="48"/>
      <c r="Y288" s="48"/>
      <c r="Z288" s="48">
        <v>-476.97370000000001</v>
      </c>
      <c r="AA288" s="50">
        <f>+SUM(Tabla_Auditorias[[#This Row],[AJUSTE
EGRESO
COSTO]:[AJUSTE
INGRESO
COSTO]])</f>
        <v>-151.25889999999998</v>
      </c>
      <c r="AB288" s="36" t="str">
        <f t="shared" si="26"/>
        <v>MEDIO</v>
      </c>
      <c r="AC288" s="37">
        <f t="shared" si="27"/>
        <v>25</v>
      </c>
      <c r="AD288" s="35">
        <v>0</v>
      </c>
      <c r="AE288" s="41" t="s">
        <v>49</v>
      </c>
      <c r="AF288" s="38" t="str">
        <f>IF(Tabla_Auditorias[[#This Row],[TOTAL
COSTO
NETO]]&lt;&gt;0,"Si","No")</f>
        <v>Si</v>
      </c>
      <c r="AG288" s="39" t="s">
        <v>318</v>
      </c>
      <c r="AH288" s="40"/>
      <c r="AI288" s="51">
        <f t="shared" si="28"/>
        <v>0</v>
      </c>
      <c r="AJ288" s="38" t="str">
        <f t="shared" si="29"/>
        <v>Pendiente</v>
      </c>
    </row>
    <row r="289" spans="1:36" s="31" customFormat="1" ht="25.5" customHeight="1" x14ac:dyDescent="0.2">
      <c r="A289" s="32">
        <v>285</v>
      </c>
      <c r="B289" s="33" t="s">
        <v>227</v>
      </c>
      <c r="C289" s="32" t="s">
        <v>88</v>
      </c>
      <c r="D289" s="32" t="s">
        <v>228</v>
      </c>
      <c r="E289" s="32" t="s">
        <v>53</v>
      </c>
      <c r="F289" s="32">
        <v>1450</v>
      </c>
      <c r="G289" s="33" t="s">
        <v>54</v>
      </c>
      <c r="H289" s="32" t="s">
        <v>47</v>
      </c>
      <c r="I289" s="32"/>
      <c r="J289" s="34">
        <v>45898</v>
      </c>
      <c r="K289" s="34">
        <v>45898</v>
      </c>
      <c r="L289" s="32" t="s">
        <v>48</v>
      </c>
      <c r="M289" s="48">
        <v>27136.99</v>
      </c>
      <c r="N289" s="48">
        <v>19.760000000000002</v>
      </c>
      <c r="O289" s="48">
        <v>0</v>
      </c>
      <c r="P289" s="48">
        <v>-14.089999999999989</v>
      </c>
      <c r="Q289" s="48">
        <v>0</v>
      </c>
      <c r="R289" s="48">
        <v>0</v>
      </c>
      <c r="S289" s="48"/>
      <c r="T289" s="48">
        <f t="shared" si="24"/>
        <v>5.6700000000000124</v>
      </c>
      <c r="U289" s="48">
        <f t="shared" si="25"/>
        <v>5.6700000000000124</v>
      </c>
      <c r="V289" s="49">
        <f>+Tabla_Auditorias[[#This Row],[AJUSTE
EGRESO
COSTO]]+Tabla_Auditorias[[#This Row],[AJUSTE EGRESO
MAL ESTADO]]+Tabla_Auditorias[[#This Row],[AJUSTE
INGRESO
COSTO]]</f>
        <v>-135.62689999999998</v>
      </c>
      <c r="W289" s="48">
        <v>-223.36019999999999</v>
      </c>
      <c r="X289" s="48"/>
      <c r="Y289" s="48"/>
      <c r="Z289" s="48">
        <v>87.7333</v>
      </c>
      <c r="AA289" s="50">
        <f>+SUM(Tabla_Auditorias[[#This Row],[AJUSTE
EGRESO
COSTO]:[AJUSTE
INGRESO
COSTO]])</f>
        <v>-135.62689999999998</v>
      </c>
      <c r="AB289" s="36" t="str">
        <f t="shared" si="26"/>
        <v>BAJO</v>
      </c>
      <c r="AC289" s="37">
        <f t="shared" si="27"/>
        <v>10</v>
      </c>
      <c r="AD289" s="35">
        <v>0</v>
      </c>
      <c r="AE289" s="41" t="s">
        <v>49</v>
      </c>
      <c r="AF289" s="38" t="str">
        <f>IF(Tabla_Auditorias[[#This Row],[TOTAL
COSTO
NETO]]&lt;&gt;0,"Si","No")</f>
        <v>Si</v>
      </c>
      <c r="AG289" s="39" t="s">
        <v>319</v>
      </c>
      <c r="AH289" s="40"/>
      <c r="AI289" s="51">
        <f t="shared" si="28"/>
        <v>0</v>
      </c>
      <c r="AJ289" s="38" t="str">
        <f t="shared" si="29"/>
        <v>Pendiente</v>
      </c>
    </row>
    <row r="290" spans="1:36" s="31" customFormat="1" ht="25.5" customHeight="1" x14ac:dyDescent="0.2">
      <c r="A290" s="32">
        <v>286</v>
      </c>
      <c r="B290" s="33" t="s">
        <v>118</v>
      </c>
      <c r="C290" s="32" t="s">
        <v>43</v>
      </c>
      <c r="D290" s="32" t="s">
        <v>44</v>
      </c>
      <c r="E290" s="32" t="s">
        <v>53</v>
      </c>
      <c r="F290" s="32">
        <v>1507</v>
      </c>
      <c r="G290" s="33" t="s">
        <v>54</v>
      </c>
      <c r="H290" s="32" t="s">
        <v>47</v>
      </c>
      <c r="I290" s="32"/>
      <c r="J290" s="34">
        <v>45899</v>
      </c>
      <c r="K290" s="34">
        <v>45899</v>
      </c>
      <c r="L290" s="32" t="s">
        <v>48</v>
      </c>
      <c r="M290" s="48">
        <v>62798.52</v>
      </c>
      <c r="N290" s="48">
        <v>0</v>
      </c>
      <c r="O290" s="48">
        <v>0</v>
      </c>
      <c r="P290" s="48">
        <v>-18.63</v>
      </c>
      <c r="Q290" s="48">
        <v>-72.97</v>
      </c>
      <c r="R290" s="48">
        <v>0</v>
      </c>
      <c r="S290" s="48"/>
      <c r="T290" s="48">
        <f t="shared" si="24"/>
        <v>-91.6</v>
      </c>
      <c r="U290" s="48">
        <f t="shared" si="25"/>
        <v>-91.6</v>
      </c>
      <c r="V290" s="49">
        <f>+Tabla_Auditorias[[#This Row],[AJUSTE
EGRESO
COSTO]]+Tabla_Auditorias[[#This Row],[AJUSTE EGRESO
MAL ESTADO]]+Tabla_Auditorias[[#This Row],[AJUSTE
INGRESO
COSTO]]</f>
        <v>-48.031400000000005</v>
      </c>
      <c r="W290" s="48">
        <v>-79.787000000000006</v>
      </c>
      <c r="X290" s="48"/>
      <c r="Y290" s="48"/>
      <c r="Z290" s="48">
        <v>31.755600000000001</v>
      </c>
      <c r="AA290" s="50">
        <f>+SUM(Tabla_Auditorias[[#This Row],[AJUSTE
EGRESO
COSTO]:[AJUSTE
INGRESO
COSTO]])</f>
        <v>-48.031400000000005</v>
      </c>
      <c r="AB290" s="36" t="str">
        <f t="shared" si="26"/>
        <v>MEDIO</v>
      </c>
      <c r="AC290" s="37">
        <f t="shared" si="27"/>
        <v>15</v>
      </c>
      <c r="AD290" s="35">
        <v>0</v>
      </c>
      <c r="AE290" s="41" t="s">
        <v>49</v>
      </c>
      <c r="AF290" s="38" t="str">
        <f>IF(Tabla_Auditorias[[#This Row],[TOTAL
COSTO
NETO]]&lt;&gt;0,"Si","No")</f>
        <v>Si</v>
      </c>
      <c r="AG290" s="39" t="s">
        <v>320</v>
      </c>
      <c r="AH290" s="40"/>
      <c r="AI290" s="51">
        <f t="shared" si="28"/>
        <v>0</v>
      </c>
      <c r="AJ290" s="38" t="str">
        <f t="shared" si="29"/>
        <v>Pendiente</v>
      </c>
    </row>
    <row r="291" spans="1:36" s="31" customFormat="1" ht="25.5" customHeight="1" x14ac:dyDescent="0.2">
      <c r="A291" s="32">
        <v>287</v>
      </c>
      <c r="B291" s="33" t="s">
        <v>97</v>
      </c>
      <c r="C291" s="32" t="s">
        <v>51</v>
      </c>
      <c r="D291" s="32" t="s">
        <v>57</v>
      </c>
      <c r="E291" s="32" t="s">
        <v>53</v>
      </c>
      <c r="F291" s="32">
        <v>1701</v>
      </c>
      <c r="G291" s="33" t="s">
        <v>54</v>
      </c>
      <c r="H291" s="32" t="s">
        <v>47</v>
      </c>
      <c r="I291" s="32"/>
      <c r="J291" s="34">
        <v>45899</v>
      </c>
      <c r="K291" s="34">
        <v>45899</v>
      </c>
      <c r="L291" s="32" t="s">
        <v>48</v>
      </c>
      <c r="M291" s="48">
        <v>135467.03</v>
      </c>
      <c r="N291" s="48">
        <v>0</v>
      </c>
      <c r="O291" s="48">
        <v>0</v>
      </c>
      <c r="P291" s="48">
        <v>0</v>
      </c>
      <c r="Q291" s="48">
        <v>0</v>
      </c>
      <c r="R291" s="48">
        <v>0</v>
      </c>
      <c r="S291" s="48"/>
      <c r="T291" s="48">
        <f t="shared" si="24"/>
        <v>0</v>
      </c>
      <c r="U291" s="48">
        <f t="shared" si="25"/>
        <v>0</v>
      </c>
      <c r="V291" s="49">
        <f>+Tabla_Auditorias[[#This Row],[AJUSTE
EGRESO
COSTO]]+Tabla_Auditorias[[#This Row],[AJUSTE EGRESO
MAL ESTADO]]+Tabla_Auditorias[[#This Row],[AJUSTE
INGRESO
COSTO]]</f>
        <v>0</v>
      </c>
      <c r="W291" s="48">
        <v>0</v>
      </c>
      <c r="X291" s="48"/>
      <c r="Y291" s="48"/>
      <c r="Z291" s="48">
        <v>0</v>
      </c>
      <c r="AA291" s="50">
        <f>+SUM(Tabla_Auditorias[[#This Row],[AJUSTE
EGRESO
COSTO]:[AJUSTE
INGRESO
COSTO]])</f>
        <v>0</v>
      </c>
      <c r="AB291" s="36" t="str">
        <f t="shared" si="26"/>
        <v>BAJO</v>
      </c>
      <c r="AC291" s="37">
        <f t="shared" si="27"/>
        <v>0</v>
      </c>
      <c r="AD291" s="35">
        <v>0</v>
      </c>
      <c r="AE291" s="41" t="s">
        <v>49</v>
      </c>
      <c r="AF291" s="38" t="str">
        <f>IF(Tabla_Auditorias[[#This Row],[TOTAL
COSTO
NETO]]&lt;&gt;0,"Si","No")</f>
        <v>No</v>
      </c>
      <c r="AG291" s="39" t="s">
        <v>321</v>
      </c>
      <c r="AH291" s="40"/>
      <c r="AI291" s="51" t="str">
        <f t="shared" si="28"/>
        <v/>
      </c>
      <c r="AJ291" s="38" t="str">
        <f t="shared" si="29"/>
        <v>Pendiente</v>
      </c>
    </row>
    <row r="292" spans="1:36" s="31" customFormat="1" ht="25.5" customHeight="1" x14ac:dyDescent="0.2">
      <c r="A292" s="32">
        <v>288</v>
      </c>
      <c r="B292" s="33" t="s">
        <v>233</v>
      </c>
      <c r="C292" s="32" t="s">
        <v>51</v>
      </c>
      <c r="D292" s="32" t="s">
        <v>52</v>
      </c>
      <c r="E292" s="32" t="s">
        <v>58</v>
      </c>
      <c r="F292" s="32">
        <v>1737</v>
      </c>
      <c r="G292" s="33" t="s">
        <v>59</v>
      </c>
      <c r="H292" s="32" t="s">
        <v>47</v>
      </c>
      <c r="I292" s="32"/>
      <c r="J292" s="34">
        <v>45902</v>
      </c>
      <c r="K292" s="34">
        <v>45902</v>
      </c>
      <c r="L292" s="32" t="s">
        <v>48</v>
      </c>
      <c r="M292" s="48">
        <v>71707.509999999995</v>
      </c>
      <c r="N292" s="48">
        <v>0</v>
      </c>
      <c r="O292" s="48">
        <v>0</v>
      </c>
      <c r="P292" s="48">
        <v>0</v>
      </c>
      <c r="Q292" s="48">
        <v>0</v>
      </c>
      <c r="R292" s="48">
        <v>0</v>
      </c>
      <c r="S292" s="48"/>
      <c r="T292" s="48">
        <f t="shared" si="24"/>
        <v>0</v>
      </c>
      <c r="U292" s="48">
        <f t="shared" si="25"/>
        <v>0</v>
      </c>
      <c r="V292" s="49">
        <f>+Tabla_Auditorias[[#This Row],[AJUSTE
EGRESO
COSTO]]+Tabla_Auditorias[[#This Row],[AJUSTE EGRESO
MAL ESTADO]]+Tabla_Auditorias[[#This Row],[AJUSTE
INGRESO
COSTO]]</f>
        <v>0</v>
      </c>
      <c r="W292" s="48">
        <v>26.8</v>
      </c>
      <c r="X292" s="48"/>
      <c r="Y292" s="48"/>
      <c r="Z292" s="48">
        <v>-26.8</v>
      </c>
      <c r="AA292" s="50">
        <f>+SUM(Tabla_Auditorias[[#This Row],[AJUSTE
EGRESO
COSTO]:[AJUSTE
INGRESO
COSTO]])</f>
        <v>0</v>
      </c>
      <c r="AB292" s="36" t="str">
        <f t="shared" si="26"/>
        <v>BAJO</v>
      </c>
      <c r="AC292" s="37">
        <f t="shared" si="27"/>
        <v>0</v>
      </c>
      <c r="AD292" s="35">
        <v>0</v>
      </c>
      <c r="AE292" s="41" t="s">
        <v>49</v>
      </c>
      <c r="AF292" s="38" t="str">
        <f>IF(Tabla_Auditorias[[#This Row],[TOTAL
COSTO
NETO]]&lt;&gt;0,"Si","No")</f>
        <v>No</v>
      </c>
      <c r="AG292" s="39" t="s">
        <v>322</v>
      </c>
      <c r="AH292" s="40"/>
      <c r="AI292" s="51" t="str">
        <f t="shared" si="28"/>
        <v/>
      </c>
      <c r="AJ292" s="38" t="str">
        <f t="shared" si="29"/>
        <v>Pendiente</v>
      </c>
    </row>
    <row r="293" spans="1:36" s="31" customFormat="1" ht="25.5" customHeight="1" x14ac:dyDescent="0.2">
      <c r="A293" s="32">
        <v>289</v>
      </c>
      <c r="B293" s="33" t="s">
        <v>160</v>
      </c>
      <c r="C293" s="32" t="s">
        <v>51</v>
      </c>
      <c r="D293" s="32" t="s">
        <v>52</v>
      </c>
      <c r="E293" s="32" t="s">
        <v>53</v>
      </c>
      <c r="F293" s="32">
        <v>1739</v>
      </c>
      <c r="G293" s="33" t="s">
        <v>54</v>
      </c>
      <c r="H293" s="32" t="s">
        <v>47</v>
      </c>
      <c r="I293" s="32"/>
      <c r="J293" s="34">
        <v>45903</v>
      </c>
      <c r="K293" s="34">
        <v>45903</v>
      </c>
      <c r="L293" s="32" t="s">
        <v>48</v>
      </c>
      <c r="M293" s="48">
        <v>20840.75</v>
      </c>
      <c r="N293" s="48">
        <v>0</v>
      </c>
      <c r="O293" s="48">
        <v>0</v>
      </c>
      <c r="P293" s="48">
        <v>0</v>
      </c>
      <c r="Q293" s="48">
        <v>0</v>
      </c>
      <c r="R293" s="48">
        <v>0</v>
      </c>
      <c r="S293" s="48"/>
      <c r="T293" s="48">
        <f t="shared" si="24"/>
        <v>0</v>
      </c>
      <c r="U293" s="48">
        <f t="shared" si="25"/>
        <v>0</v>
      </c>
      <c r="V293" s="49">
        <f>+Tabla_Auditorias[[#This Row],[AJUSTE
EGRESO
COSTO]]+Tabla_Auditorias[[#This Row],[AJUSTE EGRESO
MAL ESTADO]]+Tabla_Auditorias[[#This Row],[AJUSTE
INGRESO
COSTO]]</f>
        <v>0</v>
      </c>
      <c r="W293" s="48">
        <v>0</v>
      </c>
      <c r="X293" s="48"/>
      <c r="Y293" s="48"/>
      <c r="Z293" s="48">
        <v>0</v>
      </c>
      <c r="AA293" s="50">
        <f>+SUM(Tabla_Auditorias[[#This Row],[AJUSTE
EGRESO
COSTO]:[AJUSTE
INGRESO
COSTO]])</f>
        <v>0</v>
      </c>
      <c r="AB293" s="36" t="str">
        <f t="shared" si="26"/>
        <v>BAJO</v>
      </c>
      <c r="AC293" s="37">
        <f t="shared" si="27"/>
        <v>0</v>
      </c>
      <c r="AD293" s="35">
        <v>0</v>
      </c>
      <c r="AE293" s="41" t="s">
        <v>49</v>
      </c>
      <c r="AF293" s="38" t="str">
        <f>IF(Tabla_Auditorias[[#This Row],[TOTAL
COSTO
NETO]]&lt;&gt;0,"Si","No")</f>
        <v>No</v>
      </c>
      <c r="AG293" s="39" t="s">
        <v>221</v>
      </c>
      <c r="AH293" s="40"/>
      <c r="AI293" s="51" t="str">
        <f t="shared" si="28"/>
        <v/>
      </c>
      <c r="AJ293" s="38" t="str">
        <f t="shared" si="29"/>
        <v>Pendiente</v>
      </c>
    </row>
    <row r="294" spans="1:36" s="31" customFormat="1" ht="25.5" customHeight="1" x14ac:dyDescent="0.2">
      <c r="A294" s="32">
        <v>290</v>
      </c>
      <c r="B294" s="33" t="s">
        <v>159</v>
      </c>
      <c r="C294" s="32" t="s">
        <v>51</v>
      </c>
      <c r="D294" s="32" t="s">
        <v>57</v>
      </c>
      <c r="E294" s="32" t="s">
        <v>53</v>
      </c>
      <c r="F294" s="32">
        <v>1743</v>
      </c>
      <c r="G294" s="33" t="s">
        <v>54</v>
      </c>
      <c r="H294" s="32" t="s">
        <v>47</v>
      </c>
      <c r="I294" s="32"/>
      <c r="J294" s="34">
        <v>45903</v>
      </c>
      <c r="K294" s="34">
        <v>45903</v>
      </c>
      <c r="L294" s="32" t="s">
        <v>48</v>
      </c>
      <c r="M294" s="48">
        <v>119452.81</v>
      </c>
      <c r="N294" s="48">
        <v>0</v>
      </c>
      <c r="O294" s="48">
        <v>0</v>
      </c>
      <c r="P294" s="48">
        <v>0</v>
      </c>
      <c r="Q294" s="48">
        <v>0</v>
      </c>
      <c r="R294" s="48">
        <v>0</v>
      </c>
      <c r="S294" s="48"/>
      <c r="T294" s="48">
        <f t="shared" si="24"/>
        <v>0</v>
      </c>
      <c r="U294" s="48">
        <f t="shared" si="25"/>
        <v>0</v>
      </c>
      <c r="V294" s="49">
        <f>+Tabla_Auditorias[[#This Row],[AJUSTE
EGRESO
COSTO]]+Tabla_Auditorias[[#This Row],[AJUSTE EGRESO
MAL ESTADO]]+Tabla_Auditorias[[#This Row],[AJUSTE
INGRESO
COSTO]]</f>
        <v>0</v>
      </c>
      <c r="W294" s="48">
        <v>0</v>
      </c>
      <c r="X294" s="48"/>
      <c r="Y294" s="48"/>
      <c r="Z294" s="48">
        <v>0</v>
      </c>
      <c r="AA294" s="50">
        <f>+SUM(Tabla_Auditorias[[#This Row],[AJUSTE
EGRESO
COSTO]:[AJUSTE
INGRESO
COSTO]])</f>
        <v>0</v>
      </c>
      <c r="AB294" s="36" t="str">
        <f t="shared" si="26"/>
        <v>BAJO</v>
      </c>
      <c r="AC294" s="37">
        <f t="shared" si="27"/>
        <v>0</v>
      </c>
      <c r="AD294" s="35">
        <v>0</v>
      </c>
      <c r="AE294" s="41" t="s">
        <v>49</v>
      </c>
      <c r="AF294" s="38" t="str">
        <f>IF(Tabla_Auditorias[[#This Row],[TOTAL
COSTO
NETO]]&lt;&gt;0,"Si","No")</f>
        <v>No</v>
      </c>
      <c r="AG294" s="39" t="s">
        <v>323</v>
      </c>
      <c r="AH294" s="40"/>
      <c r="AI294" s="51" t="str">
        <f t="shared" si="28"/>
        <v/>
      </c>
      <c r="AJ294" s="38" t="str">
        <f t="shared" si="29"/>
        <v>Pendiente</v>
      </c>
    </row>
    <row r="295" spans="1:36" s="31" customFormat="1" ht="25.5" customHeight="1" x14ac:dyDescent="0.2">
      <c r="A295" s="32">
        <v>291</v>
      </c>
      <c r="B295" s="33" t="s">
        <v>252</v>
      </c>
      <c r="C295" s="32" t="s">
        <v>88</v>
      </c>
      <c r="D295" s="32" t="s">
        <v>228</v>
      </c>
      <c r="E295" s="32" t="s">
        <v>45</v>
      </c>
      <c r="F295" s="32">
        <v>1451</v>
      </c>
      <c r="G295" s="33" t="s">
        <v>314</v>
      </c>
      <c r="H295" s="32" t="s">
        <v>47</v>
      </c>
      <c r="I295" s="32"/>
      <c r="J295" s="34">
        <v>45903</v>
      </c>
      <c r="K295" s="34">
        <v>45903</v>
      </c>
      <c r="L295" s="32" t="s">
        <v>48</v>
      </c>
      <c r="M295" s="48">
        <v>53281.64</v>
      </c>
      <c r="N295" s="48">
        <v>353.17</v>
      </c>
      <c r="O295" s="48">
        <v>-1585.64</v>
      </c>
      <c r="P295" s="48">
        <v>0</v>
      </c>
      <c r="Q295" s="48">
        <v>0</v>
      </c>
      <c r="R295" s="48">
        <v>0</v>
      </c>
      <c r="S295" s="48"/>
      <c r="T295" s="48">
        <f t="shared" si="24"/>
        <v>-1232.47</v>
      </c>
      <c r="U295" s="48">
        <f t="shared" si="25"/>
        <v>-1232.47</v>
      </c>
      <c r="V295" s="49">
        <f>+Tabla_Auditorias[[#This Row],[AJUSTE
EGRESO
COSTO]]+Tabla_Auditorias[[#This Row],[AJUSTE EGRESO
MAL ESTADO]]+Tabla_Auditorias[[#This Row],[AJUSTE
INGRESO
COSTO]]</f>
        <v>-545.63209999999992</v>
      </c>
      <c r="W295" s="48">
        <v>-691.08399999999995</v>
      </c>
      <c r="X295" s="48"/>
      <c r="Y295" s="48"/>
      <c r="Z295" s="48">
        <v>145.45189999999999</v>
      </c>
      <c r="AA295" s="50">
        <f>+SUM(Tabla_Auditorias[[#This Row],[AJUSTE
EGRESO
COSTO]:[AJUSTE
INGRESO
COSTO]])</f>
        <v>-545.63209999999992</v>
      </c>
      <c r="AB295" s="36" t="str">
        <f t="shared" si="26"/>
        <v>ALTO</v>
      </c>
      <c r="AC295" s="37">
        <f t="shared" si="27"/>
        <v>47</v>
      </c>
      <c r="AD295" s="35">
        <v>0</v>
      </c>
      <c r="AE295" s="41" t="s">
        <v>49</v>
      </c>
      <c r="AF295" s="38" t="str">
        <f>IF(Tabla_Auditorias[[#This Row],[TOTAL
COSTO
NETO]]&lt;&gt;0,"Si","No")</f>
        <v>Si</v>
      </c>
      <c r="AG295" s="39" t="s">
        <v>324</v>
      </c>
      <c r="AH295" s="40"/>
      <c r="AI295" s="51">
        <f t="shared" si="28"/>
        <v>0</v>
      </c>
      <c r="AJ295" s="38" t="str">
        <f t="shared" si="29"/>
        <v>Pendiente</v>
      </c>
    </row>
    <row r="296" spans="1:36" s="31" customFormat="1" ht="25.5" customHeight="1" x14ac:dyDescent="0.2">
      <c r="A296" s="32">
        <v>292</v>
      </c>
      <c r="B296" s="33" t="s">
        <v>50</v>
      </c>
      <c r="C296" s="32" t="s">
        <v>51</v>
      </c>
      <c r="D296" s="32" t="s">
        <v>52</v>
      </c>
      <c r="E296" s="32" t="s">
        <v>53</v>
      </c>
      <c r="F296" s="32">
        <v>1732</v>
      </c>
      <c r="G296" s="33" t="s">
        <v>54</v>
      </c>
      <c r="H296" s="32" t="s">
        <v>47</v>
      </c>
      <c r="I296" s="32"/>
      <c r="J296" s="34">
        <v>45903</v>
      </c>
      <c r="K296" s="34">
        <v>45903</v>
      </c>
      <c r="L296" s="32" t="s">
        <v>48</v>
      </c>
      <c r="M296" s="48">
        <v>63106.31</v>
      </c>
      <c r="N296" s="48">
        <v>0</v>
      </c>
      <c r="O296" s="48">
        <v>0</v>
      </c>
      <c r="P296" s="48">
        <v>0</v>
      </c>
      <c r="Q296" s="48">
        <v>-189.69</v>
      </c>
      <c r="R296" s="48">
        <v>0</v>
      </c>
      <c r="S296" s="48"/>
      <c r="T296" s="48">
        <f t="shared" si="24"/>
        <v>-189.69</v>
      </c>
      <c r="U296" s="48">
        <f t="shared" si="25"/>
        <v>-189.69</v>
      </c>
      <c r="V296" s="49">
        <f>+Tabla_Auditorias[[#This Row],[AJUSTE
EGRESO
COSTO]]+Tabla_Auditorias[[#This Row],[AJUSTE EGRESO
MAL ESTADO]]+Tabla_Auditorias[[#This Row],[AJUSTE
INGRESO
COSTO]]</f>
        <v>0</v>
      </c>
      <c r="W296" s="48">
        <v>0</v>
      </c>
      <c r="X296" s="48"/>
      <c r="Y296" s="48"/>
      <c r="Z296" s="48">
        <v>0</v>
      </c>
      <c r="AA296" s="50">
        <f>+SUM(Tabla_Auditorias[[#This Row],[AJUSTE
EGRESO
COSTO]:[AJUSTE
INGRESO
COSTO]])</f>
        <v>0</v>
      </c>
      <c r="AB296" s="36" t="str">
        <f t="shared" si="26"/>
        <v>MEDIO</v>
      </c>
      <c r="AC296" s="37">
        <f t="shared" si="27"/>
        <v>15</v>
      </c>
      <c r="AD296" s="35">
        <v>0</v>
      </c>
      <c r="AE296" s="41" t="s">
        <v>49</v>
      </c>
      <c r="AF296" s="38" t="str">
        <f>IF(Tabla_Auditorias[[#This Row],[TOTAL
COSTO
NETO]]&lt;&gt;0,"Si","No")</f>
        <v>No</v>
      </c>
      <c r="AG296" s="39" t="s">
        <v>325</v>
      </c>
      <c r="AH296" s="40"/>
      <c r="AI296" s="51" t="str">
        <f t="shared" si="28"/>
        <v/>
      </c>
      <c r="AJ296" s="38" t="str">
        <f t="shared" si="29"/>
        <v>Pendiente</v>
      </c>
    </row>
    <row r="297" spans="1:36" s="31" customFormat="1" ht="25.5" customHeight="1" x14ac:dyDescent="0.2">
      <c r="A297" s="32">
        <v>293</v>
      </c>
      <c r="B297" s="33" t="s">
        <v>152</v>
      </c>
      <c r="C297" s="32" t="s">
        <v>153</v>
      </c>
      <c r="D297" s="32" t="s">
        <v>89</v>
      </c>
      <c r="E297" s="32" t="s">
        <v>45</v>
      </c>
      <c r="F297" s="32">
        <v>3041</v>
      </c>
      <c r="G297" s="33" t="s">
        <v>314</v>
      </c>
      <c r="H297" s="32" t="s">
        <v>47</v>
      </c>
      <c r="I297" s="32"/>
      <c r="J297" s="34">
        <v>45905</v>
      </c>
      <c r="K297" s="34">
        <v>45905</v>
      </c>
      <c r="L297" s="32" t="s">
        <v>48</v>
      </c>
      <c r="M297" s="48">
        <v>15633.01</v>
      </c>
      <c r="N297" s="48">
        <v>112.28</v>
      </c>
      <c r="O297" s="48">
        <v>-29.37</v>
      </c>
      <c r="P297" s="48">
        <v>-1.94</v>
      </c>
      <c r="Q297" s="48">
        <v>0</v>
      </c>
      <c r="R297" s="48">
        <v>0</v>
      </c>
      <c r="S297" s="48"/>
      <c r="T297" s="48">
        <f t="shared" si="24"/>
        <v>80.97</v>
      </c>
      <c r="U297" s="48">
        <f t="shared" si="25"/>
        <v>80.97</v>
      </c>
      <c r="V297" s="49">
        <f>+Tabla_Auditorias[[#This Row],[AJUSTE
EGRESO
COSTO]]+Tabla_Auditorias[[#This Row],[AJUSTE EGRESO
MAL ESTADO]]+Tabla_Auditorias[[#This Row],[AJUSTE
INGRESO
COSTO]]</f>
        <v>64.870599999999996</v>
      </c>
      <c r="W297" s="48">
        <v>-28.313700000000001</v>
      </c>
      <c r="X297" s="48"/>
      <c r="Y297" s="48"/>
      <c r="Z297" s="48">
        <v>93.184299999999993</v>
      </c>
      <c r="AA297" s="50">
        <f>+SUM(Tabla_Auditorias[[#This Row],[AJUSTE
EGRESO
COSTO]:[AJUSTE
INGRESO
COSTO]])</f>
        <v>64.870599999999996</v>
      </c>
      <c r="AB297" s="36" t="str">
        <f t="shared" si="26"/>
        <v>MEDIO</v>
      </c>
      <c r="AC297" s="37">
        <f t="shared" si="27"/>
        <v>20</v>
      </c>
      <c r="AD297" s="35">
        <v>0</v>
      </c>
      <c r="AE297" s="41" t="s">
        <v>49</v>
      </c>
      <c r="AF297" s="38" t="str">
        <f>IF(Tabla_Auditorias[[#This Row],[TOTAL
COSTO
NETO]]&lt;&gt;0,"Si","No")</f>
        <v>Si</v>
      </c>
      <c r="AG297" s="39" t="s">
        <v>326</v>
      </c>
      <c r="AH297" s="40"/>
      <c r="AI297" s="51" t="str">
        <f t="shared" si="28"/>
        <v/>
      </c>
      <c r="AJ297" s="38" t="str">
        <f t="shared" si="29"/>
        <v>No Aplica</v>
      </c>
    </row>
    <row r="298" spans="1:36" s="31" customFormat="1" ht="25.5" customHeight="1" x14ac:dyDescent="0.2">
      <c r="A298" s="32">
        <v>294</v>
      </c>
      <c r="B298" s="33" t="s">
        <v>283</v>
      </c>
      <c r="C298" s="32" t="s">
        <v>51</v>
      </c>
      <c r="D298" s="32" t="s">
        <v>57</v>
      </c>
      <c r="E298" s="32" t="s">
        <v>53</v>
      </c>
      <c r="F298" s="32">
        <v>1721</v>
      </c>
      <c r="G298" s="33" t="s">
        <v>54</v>
      </c>
      <c r="H298" s="32" t="s">
        <v>47</v>
      </c>
      <c r="I298" s="32"/>
      <c r="J298" s="34">
        <v>45905</v>
      </c>
      <c r="K298" s="34">
        <v>45905</v>
      </c>
      <c r="L298" s="32" t="s">
        <v>48</v>
      </c>
      <c r="M298" s="48">
        <v>102596.08</v>
      </c>
      <c r="N298" s="48">
        <v>0</v>
      </c>
      <c r="O298" s="48">
        <v>0</v>
      </c>
      <c r="P298" s="48">
        <v>0</v>
      </c>
      <c r="Q298" s="48">
        <v>0</v>
      </c>
      <c r="R298" s="48">
        <v>0</v>
      </c>
      <c r="S298" s="48"/>
      <c r="T298" s="48">
        <f t="shared" si="24"/>
        <v>0</v>
      </c>
      <c r="U298" s="48">
        <f t="shared" si="25"/>
        <v>0</v>
      </c>
      <c r="V298" s="49">
        <f>+Tabla_Auditorias[[#This Row],[AJUSTE
EGRESO
COSTO]]+Tabla_Auditorias[[#This Row],[AJUSTE EGRESO
MAL ESTADO]]+Tabla_Auditorias[[#This Row],[AJUSTE
INGRESO
COSTO]]</f>
        <v>0</v>
      </c>
      <c r="W298" s="48">
        <v>0</v>
      </c>
      <c r="X298" s="48"/>
      <c r="Y298" s="48"/>
      <c r="Z298" s="48">
        <v>0</v>
      </c>
      <c r="AA298" s="50">
        <f>+SUM(Tabla_Auditorias[[#This Row],[AJUSTE
EGRESO
COSTO]:[AJUSTE
INGRESO
COSTO]])</f>
        <v>0</v>
      </c>
      <c r="AB298" s="36" t="str">
        <f t="shared" si="26"/>
        <v>BAJO</v>
      </c>
      <c r="AC298" s="37">
        <f t="shared" si="27"/>
        <v>0</v>
      </c>
      <c r="AD298" s="35">
        <v>0</v>
      </c>
      <c r="AE298" s="41" t="s">
        <v>49</v>
      </c>
      <c r="AF298" s="38" t="str">
        <f>IF(Tabla_Auditorias[[#This Row],[TOTAL
COSTO
NETO]]&lt;&gt;0,"Si","No")</f>
        <v>No</v>
      </c>
      <c r="AG298" s="39" t="s">
        <v>221</v>
      </c>
      <c r="AH298" s="40"/>
      <c r="AI298" s="51" t="str">
        <f t="shared" si="28"/>
        <v/>
      </c>
      <c r="AJ298" s="38" t="str">
        <f t="shared" si="29"/>
        <v>Pendiente</v>
      </c>
    </row>
    <row r="299" spans="1:36" s="31" customFormat="1" ht="25.5" customHeight="1" x14ac:dyDescent="0.2">
      <c r="A299" s="32">
        <v>295</v>
      </c>
      <c r="B299" s="33" t="s">
        <v>74</v>
      </c>
      <c r="C299" s="32" t="s">
        <v>51</v>
      </c>
      <c r="D299" s="32" t="s">
        <v>57</v>
      </c>
      <c r="E299" s="32" t="s">
        <v>58</v>
      </c>
      <c r="F299" s="32">
        <v>1700</v>
      </c>
      <c r="G299" s="33" t="s">
        <v>59</v>
      </c>
      <c r="H299" s="32" t="s">
        <v>280</v>
      </c>
      <c r="I299" s="32"/>
      <c r="J299" s="34">
        <v>45905</v>
      </c>
      <c r="K299" s="34">
        <v>45905</v>
      </c>
      <c r="L299" s="32" t="s">
        <v>48</v>
      </c>
      <c r="M299" s="48">
        <v>141906</v>
      </c>
      <c r="N299" s="48">
        <v>28.37</v>
      </c>
      <c r="O299" s="48">
        <v>-21.66</v>
      </c>
      <c r="P299" s="48">
        <v>4.38</v>
      </c>
      <c r="Q299" s="48">
        <v>0</v>
      </c>
      <c r="R299" s="48">
        <v>-1196.8599999999999</v>
      </c>
      <c r="S299" s="48"/>
      <c r="T299" s="48">
        <f t="shared" si="24"/>
        <v>-1185.77</v>
      </c>
      <c r="U299" s="48">
        <f t="shared" si="25"/>
        <v>11.09</v>
      </c>
      <c r="V299" s="49">
        <f>+Tabla_Auditorias[[#This Row],[AJUSTE
EGRESO
COSTO]]+Tabla_Auditorias[[#This Row],[AJUSTE EGRESO
MAL ESTADO]]+Tabla_Auditorias[[#This Row],[AJUSTE
INGRESO
COSTO]]</f>
        <v>-20.45939999999996</v>
      </c>
      <c r="W299" s="48">
        <v>-333.02949999999998</v>
      </c>
      <c r="X299" s="48"/>
      <c r="Y299" s="48"/>
      <c r="Z299" s="48">
        <v>312.57010000000002</v>
      </c>
      <c r="AA299" s="50">
        <f>+SUM(Tabla_Auditorias[[#This Row],[AJUSTE
EGRESO
COSTO]:[AJUSTE
INGRESO
COSTO]])</f>
        <v>-20.45939999999996</v>
      </c>
      <c r="AB299" s="36" t="str">
        <f t="shared" si="26"/>
        <v>MEDIO</v>
      </c>
      <c r="AC299" s="37">
        <f t="shared" si="27"/>
        <v>25</v>
      </c>
      <c r="AD299" s="35">
        <v>0</v>
      </c>
      <c r="AE299" s="41" t="s">
        <v>49</v>
      </c>
      <c r="AF299" s="38" t="str">
        <f>IF(Tabla_Auditorias[[#This Row],[TOTAL
COSTO
NETO]]&lt;&gt;0,"Si","No")</f>
        <v>Si</v>
      </c>
      <c r="AG299" s="39" t="s">
        <v>327</v>
      </c>
      <c r="AH299" s="40"/>
      <c r="AI299" s="51">
        <f t="shared" si="28"/>
        <v>0</v>
      </c>
      <c r="AJ299" s="38" t="str">
        <f t="shared" si="29"/>
        <v>Pendiente</v>
      </c>
    </row>
    <row r="300" spans="1:36" s="31" customFormat="1" ht="25.5" customHeight="1" x14ac:dyDescent="0.2">
      <c r="A300" s="32">
        <v>296</v>
      </c>
      <c r="B300" s="33" t="s">
        <v>328</v>
      </c>
      <c r="C300" s="32" t="s">
        <v>153</v>
      </c>
      <c r="D300" s="32" t="s">
        <v>89</v>
      </c>
      <c r="E300" s="32" t="s">
        <v>45</v>
      </c>
      <c r="F300" s="32">
        <v>3044</v>
      </c>
      <c r="G300" s="33" t="s">
        <v>314</v>
      </c>
      <c r="H300" s="32" t="s">
        <v>47</v>
      </c>
      <c r="I300" s="32"/>
      <c r="J300" s="34">
        <v>45906</v>
      </c>
      <c r="K300" s="34">
        <v>45906</v>
      </c>
      <c r="L300" s="32" t="s">
        <v>48</v>
      </c>
      <c r="M300" s="48">
        <v>19424.64</v>
      </c>
      <c r="N300" s="48">
        <v>151.80000000000001</v>
      </c>
      <c r="O300" s="48">
        <v>-98.77</v>
      </c>
      <c r="P300" s="48">
        <v>-11.69</v>
      </c>
      <c r="Q300" s="48">
        <v>-6.6</v>
      </c>
      <c r="R300" s="48">
        <v>0</v>
      </c>
      <c r="S300" s="48"/>
      <c r="T300" s="48">
        <f t="shared" si="24"/>
        <v>34.740000000000016</v>
      </c>
      <c r="U300" s="48">
        <f t="shared" si="25"/>
        <v>34.740000000000016</v>
      </c>
      <c r="V300" s="49">
        <f>+Tabla_Auditorias[[#This Row],[AJUSTE
EGRESO
COSTO]]+Tabla_Auditorias[[#This Row],[AJUSTE EGRESO
MAL ESTADO]]+Tabla_Auditorias[[#This Row],[AJUSTE
INGRESO
COSTO]]</f>
        <v>71.144900000000234</v>
      </c>
      <c r="W300" s="48">
        <v>-2058.3923</v>
      </c>
      <c r="X300" s="48"/>
      <c r="Y300" s="48"/>
      <c r="Z300" s="48">
        <v>2129.5372000000002</v>
      </c>
      <c r="AA300" s="50">
        <f>+SUM(Tabla_Auditorias[[#This Row],[AJUSTE
EGRESO
COSTO]:[AJUSTE
INGRESO
COSTO]])</f>
        <v>71.144900000000234</v>
      </c>
      <c r="AB300" s="36" t="str">
        <f t="shared" si="26"/>
        <v>MEDIO</v>
      </c>
      <c r="AC300" s="37">
        <f t="shared" si="27"/>
        <v>25</v>
      </c>
      <c r="AD300" s="35">
        <v>0</v>
      </c>
      <c r="AE300" s="41" t="s">
        <v>49</v>
      </c>
      <c r="AF300" s="38" t="str">
        <f>IF(Tabla_Auditorias[[#This Row],[TOTAL
COSTO
NETO]]&lt;&gt;0,"Si","No")</f>
        <v>Si</v>
      </c>
      <c r="AG300" s="39" t="s">
        <v>329</v>
      </c>
      <c r="AH300" s="40"/>
      <c r="AI300" s="51" t="str">
        <f t="shared" si="28"/>
        <v/>
      </c>
      <c r="AJ300" s="38" t="str">
        <f t="shared" si="29"/>
        <v>No Aplica</v>
      </c>
    </row>
    <row r="301" spans="1:36" s="31" customFormat="1" ht="31.5" customHeight="1" x14ac:dyDescent="0.2">
      <c r="A301" s="32">
        <v>297</v>
      </c>
      <c r="B301" s="33" t="s">
        <v>123</v>
      </c>
      <c r="C301" s="32" t="s">
        <v>51</v>
      </c>
      <c r="D301" s="32" t="s">
        <v>64</v>
      </c>
      <c r="E301" s="32" t="s">
        <v>58</v>
      </c>
      <c r="F301" s="32">
        <v>1726</v>
      </c>
      <c r="G301" s="33" t="s">
        <v>59</v>
      </c>
      <c r="H301" s="32" t="s">
        <v>47</v>
      </c>
      <c r="I301" s="32"/>
      <c r="J301" s="34">
        <v>45906</v>
      </c>
      <c r="K301" s="34">
        <v>45906</v>
      </c>
      <c r="L301" s="32" t="s">
        <v>48</v>
      </c>
      <c r="M301" s="48">
        <v>468275.01</v>
      </c>
      <c r="N301" s="48">
        <v>5.54</v>
      </c>
      <c r="O301" s="48">
        <v>-1737.42</v>
      </c>
      <c r="P301" s="48">
        <v>0</v>
      </c>
      <c r="Q301" s="48">
        <v>0</v>
      </c>
      <c r="R301" s="48">
        <v>0</v>
      </c>
      <c r="S301" s="48"/>
      <c r="T301" s="48">
        <f t="shared" si="24"/>
        <v>-1731.88</v>
      </c>
      <c r="U301" s="48">
        <f t="shared" si="25"/>
        <v>-1731.88</v>
      </c>
      <c r="V301" s="49">
        <f>+Tabla_Auditorias[[#This Row],[AJUSTE
EGRESO
COSTO]]+Tabla_Auditorias[[#This Row],[AJUSTE EGRESO
MAL ESTADO]]+Tabla_Auditorias[[#This Row],[AJUSTE
INGRESO
COSTO]]</f>
        <v>-1036.6594</v>
      </c>
      <c r="W301" s="48">
        <v>-1038.9294</v>
      </c>
      <c r="X301" s="48"/>
      <c r="Y301" s="48"/>
      <c r="Z301" s="48">
        <v>2.27</v>
      </c>
      <c r="AA301" s="50">
        <f>+SUM(Tabla_Auditorias[[#This Row],[AJUSTE
EGRESO
COSTO]:[AJUSTE
INGRESO
COSTO]])</f>
        <v>-1036.6594</v>
      </c>
      <c r="AB301" s="36" t="str">
        <f t="shared" si="26"/>
        <v>MEDIO</v>
      </c>
      <c r="AC301" s="37">
        <f t="shared" si="27"/>
        <v>32</v>
      </c>
      <c r="AD301" s="35">
        <v>0</v>
      </c>
      <c r="AE301" s="41" t="s">
        <v>49</v>
      </c>
      <c r="AF301" s="38" t="str">
        <f>IF(Tabla_Auditorias[[#This Row],[TOTAL
COSTO
NETO]]&lt;&gt;0,"Si","No")</f>
        <v>Si</v>
      </c>
      <c r="AG301" s="39" t="s">
        <v>330</v>
      </c>
      <c r="AH301" s="40"/>
      <c r="AI301" s="51">
        <f t="shared" si="28"/>
        <v>0</v>
      </c>
      <c r="AJ301" s="38" t="str">
        <f t="shared" si="29"/>
        <v>Pendiente</v>
      </c>
    </row>
    <row r="302" spans="1:36" s="31" customFormat="1" ht="25.5" customHeight="1" x14ac:dyDescent="0.2">
      <c r="A302" s="32">
        <v>298</v>
      </c>
      <c r="B302" s="33" t="s">
        <v>291</v>
      </c>
      <c r="C302" s="32" t="s">
        <v>153</v>
      </c>
      <c r="D302" s="32" t="s">
        <v>89</v>
      </c>
      <c r="E302" s="32" t="s">
        <v>53</v>
      </c>
      <c r="F302" s="32">
        <v>3043</v>
      </c>
      <c r="G302" s="33" t="s">
        <v>54</v>
      </c>
      <c r="H302" s="32" t="s">
        <v>47</v>
      </c>
      <c r="I302" s="32"/>
      <c r="J302" s="34">
        <v>45909</v>
      </c>
      <c r="K302" s="34">
        <v>45909</v>
      </c>
      <c r="L302" s="32" t="s">
        <v>48</v>
      </c>
      <c r="M302" s="48">
        <v>17736.080000000002</v>
      </c>
      <c r="N302" s="48">
        <v>0</v>
      </c>
      <c r="O302" s="48">
        <v>0</v>
      </c>
      <c r="P302" s="48">
        <v>0</v>
      </c>
      <c r="Q302" s="48">
        <v>0</v>
      </c>
      <c r="R302" s="48">
        <v>0</v>
      </c>
      <c r="S302" s="48"/>
      <c r="T302" s="48">
        <f t="shared" si="24"/>
        <v>0</v>
      </c>
      <c r="U302" s="48">
        <f t="shared" si="25"/>
        <v>0</v>
      </c>
      <c r="V302" s="49">
        <f>+Tabla_Auditorias[[#This Row],[AJUSTE
EGRESO
COSTO]]+Tabla_Auditorias[[#This Row],[AJUSTE EGRESO
MAL ESTADO]]+Tabla_Auditorias[[#This Row],[AJUSTE
INGRESO
COSTO]]</f>
        <v>1.0600000000010823E-2</v>
      </c>
      <c r="W302" s="48">
        <v>-353.72140000000002</v>
      </c>
      <c r="X302" s="48"/>
      <c r="Y302" s="48"/>
      <c r="Z302" s="48">
        <v>353.73200000000003</v>
      </c>
      <c r="AA302" s="50">
        <f>+SUM(Tabla_Auditorias[[#This Row],[AJUSTE
EGRESO
COSTO]:[AJUSTE
INGRESO
COSTO]])</f>
        <v>1.0600000000010823E-2</v>
      </c>
      <c r="AB302" s="36" t="str">
        <f t="shared" si="26"/>
        <v>BAJO</v>
      </c>
      <c r="AC302" s="37">
        <f t="shared" si="27"/>
        <v>0</v>
      </c>
      <c r="AD302" s="35">
        <v>0</v>
      </c>
      <c r="AE302" s="41" t="s">
        <v>49</v>
      </c>
      <c r="AF302" s="38" t="str">
        <f>IF(Tabla_Auditorias[[#This Row],[TOTAL
COSTO
NETO]]&lt;&gt;0,"Si","No")</f>
        <v>Si</v>
      </c>
      <c r="AG302" s="39" t="s">
        <v>331</v>
      </c>
      <c r="AH302" s="40"/>
      <c r="AI302" s="51" t="str">
        <f t="shared" si="28"/>
        <v/>
      </c>
      <c r="AJ302" s="38" t="str">
        <f t="shared" si="29"/>
        <v>No Aplica</v>
      </c>
    </row>
    <row r="303" spans="1:36" s="31" customFormat="1" ht="25.5" customHeight="1" x14ac:dyDescent="0.2">
      <c r="A303" s="32">
        <v>299</v>
      </c>
      <c r="B303" s="33" t="s">
        <v>113</v>
      </c>
      <c r="C303" s="32" t="s">
        <v>51</v>
      </c>
      <c r="D303" s="32" t="s">
        <v>57</v>
      </c>
      <c r="E303" s="32" t="s">
        <v>58</v>
      </c>
      <c r="F303" s="32">
        <v>1728</v>
      </c>
      <c r="G303" s="33" t="s">
        <v>59</v>
      </c>
      <c r="H303" s="32" t="s">
        <v>47</v>
      </c>
      <c r="I303" s="32"/>
      <c r="J303" s="34">
        <v>45909</v>
      </c>
      <c r="K303" s="34">
        <v>45909</v>
      </c>
      <c r="L303" s="32" t="s">
        <v>48</v>
      </c>
      <c r="M303" s="48">
        <v>92090.67</v>
      </c>
      <c r="N303" s="48">
        <v>0</v>
      </c>
      <c r="O303" s="48">
        <v>0</v>
      </c>
      <c r="P303" s="48">
        <v>0.8</v>
      </c>
      <c r="Q303" s="48">
        <v>0</v>
      </c>
      <c r="R303" s="48">
        <v>-687.08</v>
      </c>
      <c r="S303" s="48"/>
      <c r="T303" s="48">
        <f t="shared" si="24"/>
        <v>-686.28000000000009</v>
      </c>
      <c r="U303" s="48">
        <f t="shared" si="25"/>
        <v>0.8</v>
      </c>
      <c r="V303" s="49">
        <f>+Tabla_Auditorias[[#This Row],[AJUSTE
EGRESO
COSTO]]+Tabla_Auditorias[[#This Row],[AJUSTE EGRESO
MAL ESTADO]]+Tabla_Auditorias[[#This Row],[AJUSTE
INGRESO
COSTO]]</f>
        <v>0.56350000000000122</v>
      </c>
      <c r="W303" s="48">
        <v>-25.3415</v>
      </c>
      <c r="X303" s="48"/>
      <c r="Y303" s="48"/>
      <c r="Z303" s="48">
        <v>25.905000000000001</v>
      </c>
      <c r="AA303" s="50">
        <f>+SUM(Tabla_Auditorias[[#This Row],[AJUSTE
EGRESO
COSTO]:[AJUSTE
INGRESO
COSTO]])</f>
        <v>0.56350000000000122</v>
      </c>
      <c r="AB303" s="36" t="str">
        <f t="shared" si="26"/>
        <v>MEDIO</v>
      </c>
      <c r="AC303" s="37">
        <f t="shared" si="27"/>
        <v>15</v>
      </c>
      <c r="AD303" s="35">
        <v>0</v>
      </c>
      <c r="AE303" s="41" t="s">
        <v>49</v>
      </c>
      <c r="AF303" s="38" t="str">
        <f>IF(Tabla_Auditorias[[#This Row],[TOTAL
COSTO
NETO]]&lt;&gt;0,"Si","No")</f>
        <v>Si</v>
      </c>
      <c r="AG303" s="39" t="s">
        <v>332</v>
      </c>
      <c r="AH303" s="40"/>
      <c r="AI303" s="51" t="str">
        <f t="shared" si="28"/>
        <v/>
      </c>
      <c r="AJ303" s="38" t="str">
        <f t="shared" si="29"/>
        <v>No Aplica</v>
      </c>
    </row>
    <row r="304" spans="1:36" s="31" customFormat="1" ht="25.5" customHeight="1" x14ac:dyDescent="0.2">
      <c r="A304" s="32">
        <v>300</v>
      </c>
      <c r="B304" s="33" t="s">
        <v>222</v>
      </c>
      <c r="C304" s="32" t="s">
        <v>43</v>
      </c>
      <c r="D304" s="32" t="s">
        <v>44</v>
      </c>
      <c r="E304" s="32" t="s">
        <v>58</v>
      </c>
      <c r="F304" s="32">
        <v>1501</v>
      </c>
      <c r="G304" s="33" t="s">
        <v>59</v>
      </c>
      <c r="H304" s="32" t="s">
        <v>47</v>
      </c>
      <c r="I304" s="32"/>
      <c r="J304" s="34">
        <v>45911</v>
      </c>
      <c r="K304" s="34">
        <v>45911</v>
      </c>
      <c r="L304" s="32" t="s">
        <v>48</v>
      </c>
      <c r="M304" s="48">
        <v>260930.53</v>
      </c>
      <c r="N304" s="48">
        <v>0</v>
      </c>
      <c r="O304" s="48">
        <v>0</v>
      </c>
      <c r="P304" s="48">
        <v>0</v>
      </c>
      <c r="Q304" s="48">
        <v>0</v>
      </c>
      <c r="R304" s="48">
        <v>-25327.72</v>
      </c>
      <c r="S304" s="48"/>
      <c r="T304" s="48">
        <f t="shared" si="24"/>
        <v>-25327.72</v>
      </c>
      <c r="U304" s="48">
        <f t="shared" si="25"/>
        <v>0</v>
      </c>
      <c r="V304" s="49">
        <f>+Tabla_Auditorias[[#This Row],[AJUSTE
EGRESO
COSTO]]+Tabla_Auditorias[[#This Row],[AJUSTE EGRESO
MAL ESTADO]]+Tabla_Auditorias[[#This Row],[AJUSTE
INGRESO
COSTO]]</f>
        <v>0</v>
      </c>
      <c r="W304" s="48">
        <v>0</v>
      </c>
      <c r="X304" s="48"/>
      <c r="Y304" s="48"/>
      <c r="Z304" s="48">
        <v>0</v>
      </c>
      <c r="AA304" s="50">
        <f>+SUM(Tabla_Auditorias[[#This Row],[AJUSTE
EGRESO
COSTO]:[AJUSTE
INGRESO
COSTO]])</f>
        <v>0</v>
      </c>
      <c r="AB304" s="36" t="str">
        <f t="shared" si="26"/>
        <v>BAJO</v>
      </c>
      <c r="AC304" s="37">
        <f t="shared" si="27"/>
        <v>5</v>
      </c>
      <c r="AD304" s="35">
        <v>0</v>
      </c>
      <c r="AE304" s="41" t="s">
        <v>49</v>
      </c>
      <c r="AF304" s="38" t="str">
        <f>IF(Tabla_Auditorias[[#This Row],[TOTAL
COSTO
NETO]]&lt;&gt;0,"Si","No")</f>
        <v>No</v>
      </c>
      <c r="AG304" s="39" t="s">
        <v>333</v>
      </c>
      <c r="AH304" s="40"/>
      <c r="AI304" s="51" t="str">
        <f t="shared" si="28"/>
        <v/>
      </c>
      <c r="AJ304" s="38" t="str">
        <f t="shared" si="29"/>
        <v>Pendiente</v>
      </c>
    </row>
    <row r="305" spans="1:36" s="31" customFormat="1" ht="25.5" customHeight="1" x14ac:dyDescent="0.2">
      <c r="A305" s="32">
        <v>301</v>
      </c>
      <c r="B305" s="33" t="s">
        <v>159</v>
      </c>
      <c r="C305" s="32" t="s">
        <v>51</v>
      </c>
      <c r="D305" s="32" t="s">
        <v>57</v>
      </c>
      <c r="E305" s="32" t="s">
        <v>53</v>
      </c>
      <c r="F305" s="32">
        <v>1743</v>
      </c>
      <c r="G305" s="33" t="s">
        <v>54</v>
      </c>
      <c r="H305" s="32" t="s">
        <v>47</v>
      </c>
      <c r="I305" s="32"/>
      <c r="J305" s="34">
        <v>45911</v>
      </c>
      <c r="K305" s="34">
        <v>45911</v>
      </c>
      <c r="L305" s="32" t="s">
        <v>48</v>
      </c>
      <c r="M305" s="48">
        <v>128977.53</v>
      </c>
      <c r="N305" s="48">
        <v>0</v>
      </c>
      <c r="O305" s="48">
        <v>0</v>
      </c>
      <c r="P305" s="48">
        <v>0</v>
      </c>
      <c r="Q305" s="48">
        <v>0</v>
      </c>
      <c r="R305" s="48">
        <v>0</v>
      </c>
      <c r="S305" s="48"/>
      <c r="T305" s="48">
        <f t="shared" si="24"/>
        <v>0</v>
      </c>
      <c r="U305" s="48">
        <f t="shared" si="25"/>
        <v>0</v>
      </c>
      <c r="V305" s="49">
        <f>+Tabla_Auditorias[[#This Row],[AJUSTE
EGRESO
COSTO]]+Tabla_Auditorias[[#This Row],[AJUSTE EGRESO
MAL ESTADO]]+Tabla_Auditorias[[#This Row],[AJUSTE
INGRESO
COSTO]]</f>
        <v>0</v>
      </c>
      <c r="W305" s="48">
        <v>0</v>
      </c>
      <c r="X305" s="48"/>
      <c r="Y305" s="48"/>
      <c r="Z305" s="48">
        <v>0</v>
      </c>
      <c r="AA305" s="50">
        <f>+SUM(Tabla_Auditorias[[#This Row],[AJUSTE
EGRESO
COSTO]:[AJUSTE
INGRESO
COSTO]])</f>
        <v>0</v>
      </c>
      <c r="AB305" s="36" t="str">
        <f t="shared" si="26"/>
        <v>BAJO</v>
      </c>
      <c r="AC305" s="37">
        <f t="shared" si="27"/>
        <v>0</v>
      </c>
      <c r="AD305" s="35">
        <v>0</v>
      </c>
      <c r="AE305" s="41" t="s">
        <v>49</v>
      </c>
      <c r="AF305" s="38" t="str">
        <f>IF(Tabla_Auditorias[[#This Row],[TOTAL
COSTO
NETO]]&lt;&gt;0,"Si","No")</f>
        <v>No</v>
      </c>
      <c r="AG305" s="39" t="s">
        <v>221</v>
      </c>
      <c r="AH305" s="40"/>
      <c r="AI305" s="51" t="str">
        <f t="shared" si="28"/>
        <v/>
      </c>
      <c r="AJ305" s="38" t="str">
        <f t="shared" si="29"/>
        <v>Pendiente</v>
      </c>
    </row>
    <row r="306" spans="1:36" s="31" customFormat="1" ht="25.5" customHeight="1" x14ac:dyDescent="0.2">
      <c r="A306" s="32">
        <v>302</v>
      </c>
      <c r="B306" s="33" t="s">
        <v>94</v>
      </c>
      <c r="C306" s="32" t="s">
        <v>43</v>
      </c>
      <c r="D306" s="32" t="s">
        <v>44</v>
      </c>
      <c r="E306" s="32" t="s">
        <v>53</v>
      </c>
      <c r="F306" s="32">
        <v>1502</v>
      </c>
      <c r="G306" s="33" t="s">
        <v>54</v>
      </c>
      <c r="H306" s="32" t="s">
        <v>47</v>
      </c>
      <c r="I306" s="32"/>
      <c r="J306" s="34">
        <v>45915</v>
      </c>
      <c r="K306" s="34">
        <v>45915</v>
      </c>
      <c r="L306" s="32" t="s">
        <v>48</v>
      </c>
      <c r="M306" s="48">
        <v>183289.8</v>
      </c>
      <c r="N306" s="48">
        <v>0</v>
      </c>
      <c r="O306" s="48">
        <v>0</v>
      </c>
      <c r="P306" s="48">
        <v>0</v>
      </c>
      <c r="Q306" s="48">
        <v>0</v>
      </c>
      <c r="R306" s="48">
        <v>0</v>
      </c>
      <c r="S306" s="48"/>
      <c r="T306" s="48">
        <f t="shared" si="24"/>
        <v>0</v>
      </c>
      <c r="U306" s="48">
        <f t="shared" si="25"/>
        <v>0</v>
      </c>
      <c r="V306" s="49">
        <f>+Tabla_Auditorias[[#This Row],[AJUSTE
EGRESO
COSTO]]+Tabla_Auditorias[[#This Row],[AJUSTE EGRESO
MAL ESTADO]]+Tabla_Auditorias[[#This Row],[AJUSTE
INGRESO
COSTO]]</f>
        <v>0</v>
      </c>
      <c r="W306" s="48">
        <v>0</v>
      </c>
      <c r="X306" s="48"/>
      <c r="Y306" s="48"/>
      <c r="Z306" s="48">
        <v>0</v>
      </c>
      <c r="AA306" s="50">
        <f>+SUM(Tabla_Auditorias[[#This Row],[AJUSTE
EGRESO
COSTO]:[AJUSTE
INGRESO
COSTO]])</f>
        <v>0</v>
      </c>
      <c r="AB306" s="36" t="str">
        <f t="shared" si="26"/>
        <v>BAJO</v>
      </c>
      <c r="AC306" s="37">
        <f t="shared" si="27"/>
        <v>0</v>
      </c>
      <c r="AD306" s="35">
        <v>0</v>
      </c>
      <c r="AE306" s="41" t="s">
        <v>49</v>
      </c>
      <c r="AF306" s="38" t="str">
        <f>IF(Tabla_Auditorias[[#This Row],[TOTAL
COSTO
NETO]]&lt;&gt;0,"Si","No")</f>
        <v>No</v>
      </c>
      <c r="AG306" s="39" t="s">
        <v>221</v>
      </c>
      <c r="AH306" s="40"/>
      <c r="AI306" s="51" t="str">
        <f t="shared" si="28"/>
        <v/>
      </c>
      <c r="AJ306" s="38" t="str">
        <f t="shared" si="29"/>
        <v>Pendiente</v>
      </c>
    </row>
    <row r="307" spans="1:36" s="31" customFormat="1" ht="25.5" customHeight="1" x14ac:dyDescent="0.2">
      <c r="A307" s="32">
        <v>303</v>
      </c>
      <c r="B307" s="33" t="s">
        <v>96</v>
      </c>
      <c r="C307" s="32" t="s">
        <v>51</v>
      </c>
      <c r="D307" s="32" t="s">
        <v>57</v>
      </c>
      <c r="E307" s="32" t="s">
        <v>45</v>
      </c>
      <c r="F307" s="32">
        <v>1711</v>
      </c>
      <c r="G307" s="33" t="s">
        <v>314</v>
      </c>
      <c r="H307" s="32" t="s">
        <v>47</v>
      </c>
      <c r="I307" s="32"/>
      <c r="J307" s="34">
        <v>45916</v>
      </c>
      <c r="K307" s="34">
        <v>45916</v>
      </c>
      <c r="L307" s="32" t="s">
        <v>48</v>
      </c>
      <c r="M307" s="48">
        <v>51240.49</v>
      </c>
      <c r="N307" s="48">
        <v>0</v>
      </c>
      <c r="O307" s="48">
        <v>-48.57</v>
      </c>
      <c r="P307" s="48">
        <v>0</v>
      </c>
      <c r="Q307" s="48">
        <v>-17.940000000000001</v>
      </c>
      <c r="R307" s="48">
        <v>0</v>
      </c>
      <c r="S307" s="48"/>
      <c r="T307" s="48">
        <f t="shared" si="24"/>
        <v>-66.510000000000005</v>
      </c>
      <c r="U307" s="48">
        <f t="shared" si="25"/>
        <v>-66.510000000000005</v>
      </c>
      <c r="V307" s="49">
        <f>+Tabla_Auditorias[[#This Row],[AJUSTE
EGRESO
COSTO]]+Tabla_Auditorias[[#This Row],[AJUSTE EGRESO
MAL ESTADO]]+Tabla_Auditorias[[#This Row],[AJUSTE
INGRESO
COSTO]]</f>
        <v>-45.909199999999998</v>
      </c>
      <c r="W307" s="48">
        <v>-45.909199999999998</v>
      </c>
      <c r="X307" s="48"/>
      <c r="Y307" s="48"/>
      <c r="Z307" s="48">
        <v>0</v>
      </c>
      <c r="AA307" s="50">
        <f>+SUM(Tabla_Auditorias[[#This Row],[AJUSTE
EGRESO
COSTO]:[AJUSTE
INGRESO
COSTO]])</f>
        <v>-45.909199999999998</v>
      </c>
      <c r="AB307" s="36" t="str">
        <f t="shared" si="26"/>
        <v>MEDIO</v>
      </c>
      <c r="AC307" s="37">
        <f t="shared" si="27"/>
        <v>25</v>
      </c>
      <c r="AD307" s="35">
        <v>0</v>
      </c>
      <c r="AE307" s="41" t="s">
        <v>49</v>
      </c>
      <c r="AF307" s="38" t="str">
        <f>IF(Tabla_Auditorias[[#This Row],[TOTAL
COSTO
NETO]]&lt;&gt;0,"Si","No")</f>
        <v>Si</v>
      </c>
      <c r="AG307" s="39" t="s">
        <v>334</v>
      </c>
      <c r="AH307" s="40"/>
      <c r="AI307" s="51">
        <f t="shared" si="28"/>
        <v>0</v>
      </c>
      <c r="AJ307" s="38" t="str">
        <f t="shared" si="29"/>
        <v>Pendiente</v>
      </c>
    </row>
    <row r="308" spans="1:36" s="31" customFormat="1" ht="25.5" customHeight="1" x14ac:dyDescent="0.2">
      <c r="A308" s="32">
        <v>304</v>
      </c>
      <c r="B308" s="33" t="s">
        <v>129</v>
      </c>
      <c r="C308" s="32" t="s">
        <v>51</v>
      </c>
      <c r="D308" s="32" t="s">
        <v>57</v>
      </c>
      <c r="E308" s="32" t="s">
        <v>45</v>
      </c>
      <c r="F308" s="32">
        <v>1712</v>
      </c>
      <c r="G308" s="33" t="s">
        <v>314</v>
      </c>
      <c r="H308" s="32" t="s">
        <v>47</v>
      </c>
      <c r="I308" s="32"/>
      <c r="J308" s="34">
        <v>45917</v>
      </c>
      <c r="K308" s="34">
        <v>45917</v>
      </c>
      <c r="L308" s="32" t="s">
        <v>48</v>
      </c>
      <c r="M308" s="48">
        <v>119681.85</v>
      </c>
      <c r="N308" s="48">
        <v>52.21</v>
      </c>
      <c r="O308" s="48">
        <v>-84.11</v>
      </c>
      <c r="P308" s="48">
        <v>35.61</v>
      </c>
      <c r="Q308" s="48">
        <v>0</v>
      </c>
      <c r="R308" s="48">
        <v>0</v>
      </c>
      <c r="S308" s="48"/>
      <c r="T308" s="48">
        <f t="shared" si="24"/>
        <v>3.7100000000000009</v>
      </c>
      <c r="U308" s="48">
        <f t="shared" si="25"/>
        <v>3.7100000000000009</v>
      </c>
      <c r="V308" s="49">
        <f>+Tabla_Auditorias[[#This Row],[AJUSTE
EGRESO
COSTO]]+Tabla_Auditorias[[#This Row],[AJUSTE EGRESO
MAL ESTADO]]+Tabla_Auditorias[[#This Row],[AJUSTE
INGRESO
COSTO]]</f>
        <v>-562.30889999999999</v>
      </c>
      <c r="W308" s="48">
        <v>-2830.2062999999998</v>
      </c>
      <c r="X308" s="48"/>
      <c r="Y308" s="48"/>
      <c r="Z308" s="48">
        <v>2267.8973999999998</v>
      </c>
      <c r="AA308" s="50">
        <f>+SUM(Tabla_Auditorias[[#This Row],[AJUSTE
EGRESO
COSTO]:[AJUSTE
INGRESO
COSTO]])</f>
        <v>-562.30889999999999</v>
      </c>
      <c r="AB308" s="36" t="str">
        <f t="shared" si="26"/>
        <v>MEDIO</v>
      </c>
      <c r="AC308" s="37">
        <f t="shared" si="27"/>
        <v>20</v>
      </c>
      <c r="AD308" s="35">
        <v>0</v>
      </c>
      <c r="AE308" s="41" t="s">
        <v>49</v>
      </c>
      <c r="AF308" s="38" t="str">
        <f>IF(Tabla_Auditorias[[#This Row],[TOTAL
COSTO
NETO]]&lt;&gt;0,"Si","No")</f>
        <v>Si</v>
      </c>
      <c r="AG308" s="39" t="s">
        <v>335</v>
      </c>
      <c r="AH308" s="40"/>
      <c r="AI308" s="51">
        <f t="shared" si="28"/>
        <v>0</v>
      </c>
      <c r="AJ308" s="38" t="str">
        <f t="shared" si="29"/>
        <v>Pendiente</v>
      </c>
    </row>
    <row r="309" spans="1:36" s="31" customFormat="1" ht="25.5" customHeight="1" x14ac:dyDescent="0.2">
      <c r="A309" s="32">
        <v>305</v>
      </c>
      <c r="B309" s="33" t="s">
        <v>131</v>
      </c>
      <c r="C309" s="32" t="s">
        <v>51</v>
      </c>
      <c r="D309" s="32" t="s">
        <v>57</v>
      </c>
      <c r="E309" s="32" t="s">
        <v>45</v>
      </c>
      <c r="F309" s="32">
        <v>1703</v>
      </c>
      <c r="G309" s="33" t="s">
        <v>314</v>
      </c>
      <c r="H309" s="32" t="s">
        <v>47</v>
      </c>
      <c r="I309" s="32"/>
      <c r="J309" s="34">
        <v>45917</v>
      </c>
      <c r="K309" s="34">
        <v>45917</v>
      </c>
      <c r="L309" s="32" t="s">
        <v>48</v>
      </c>
      <c r="M309" s="48">
        <v>97281.05</v>
      </c>
      <c r="N309" s="48">
        <v>185.25</v>
      </c>
      <c r="O309" s="48">
        <v>-831.41</v>
      </c>
      <c r="P309" s="48">
        <v>12.89</v>
      </c>
      <c r="Q309" s="48">
        <v>0</v>
      </c>
      <c r="R309" s="48">
        <v>0</v>
      </c>
      <c r="S309" s="48"/>
      <c r="T309" s="48">
        <f t="shared" si="24"/>
        <v>-633.27</v>
      </c>
      <c r="U309" s="48">
        <f t="shared" si="25"/>
        <v>-633.27</v>
      </c>
      <c r="V309" s="49">
        <f>+Tabla_Auditorias[[#This Row],[AJUSTE
EGRESO
COSTO]]+Tabla_Auditorias[[#This Row],[AJUSTE EGRESO
MAL ESTADO]]+Tabla_Auditorias[[#This Row],[AJUSTE
INGRESO
COSTO]]</f>
        <v>-395.88459999999998</v>
      </c>
      <c r="W309" s="48">
        <v>-683.78129999999999</v>
      </c>
      <c r="X309" s="48"/>
      <c r="Y309" s="48"/>
      <c r="Z309" s="48">
        <v>287.89670000000001</v>
      </c>
      <c r="AA309" s="50">
        <f>+SUM(Tabla_Auditorias[[#This Row],[AJUSTE
EGRESO
COSTO]:[AJUSTE
INGRESO
COSTO]])</f>
        <v>-395.88459999999998</v>
      </c>
      <c r="AB309" s="36" t="str">
        <f t="shared" si="26"/>
        <v>MEDIO</v>
      </c>
      <c r="AC309" s="37">
        <f t="shared" si="27"/>
        <v>32</v>
      </c>
      <c r="AD309" s="35">
        <v>0</v>
      </c>
      <c r="AE309" s="41" t="s">
        <v>49</v>
      </c>
      <c r="AF309" s="38" t="str">
        <f>IF(Tabla_Auditorias[[#This Row],[TOTAL
COSTO
NETO]]&lt;&gt;0,"Si","No")</f>
        <v>Si</v>
      </c>
      <c r="AG309" s="39" t="s">
        <v>336</v>
      </c>
      <c r="AH309" s="40"/>
      <c r="AI309" s="51">
        <f t="shared" si="28"/>
        <v>0</v>
      </c>
      <c r="AJ309" s="38" t="str">
        <f t="shared" si="29"/>
        <v>Pendiente</v>
      </c>
    </row>
    <row r="310" spans="1:36" s="31" customFormat="1" ht="31.5" customHeight="1" x14ac:dyDescent="0.2">
      <c r="A310" s="32">
        <v>306</v>
      </c>
      <c r="B310" s="33" t="s">
        <v>154</v>
      </c>
      <c r="C310" s="32" t="s">
        <v>51</v>
      </c>
      <c r="D310" s="32" t="s">
        <v>57</v>
      </c>
      <c r="E310" s="32" t="s">
        <v>58</v>
      </c>
      <c r="F310" s="32">
        <v>1740</v>
      </c>
      <c r="G310" s="33" t="s">
        <v>59</v>
      </c>
      <c r="H310" s="32" t="s">
        <v>47</v>
      </c>
      <c r="I310" s="32"/>
      <c r="J310" s="34">
        <v>45922</v>
      </c>
      <c r="K310" s="34">
        <v>45922</v>
      </c>
      <c r="L310" s="32" t="s">
        <v>48</v>
      </c>
      <c r="M310" s="48">
        <v>55347.67</v>
      </c>
      <c r="N310" s="48">
        <v>73.08</v>
      </c>
      <c r="O310" s="48">
        <v>-632.53</v>
      </c>
      <c r="P310" s="48">
        <v>-28.09</v>
      </c>
      <c r="Q310" s="48">
        <v>-3543.33</v>
      </c>
      <c r="R310" s="48">
        <v>0</v>
      </c>
      <c r="S310" s="48"/>
      <c r="T310" s="48">
        <f t="shared" si="24"/>
        <v>-4130.87</v>
      </c>
      <c r="U310" s="48">
        <f t="shared" si="25"/>
        <v>-4130.87</v>
      </c>
      <c r="V310" s="49">
        <f>+Tabla_Auditorias[[#This Row],[AJUSTE
EGRESO
COSTO]]+Tabla_Auditorias[[#This Row],[AJUSTE EGRESO
MAL ESTADO]]+Tabla_Auditorias[[#This Row],[AJUSTE
INGRESO
COSTO]]</f>
        <v>-2397.42</v>
      </c>
      <c r="W310" s="48">
        <v>-2798.92</v>
      </c>
      <c r="X310" s="48"/>
      <c r="Y310" s="48"/>
      <c r="Z310" s="48">
        <v>401.5</v>
      </c>
      <c r="AA310" s="50">
        <f>+SUM(Tabla_Auditorias[[#This Row],[AJUSTE
EGRESO
COSTO]:[AJUSTE
INGRESO
COSTO]])</f>
        <v>-2397.42</v>
      </c>
      <c r="AB310" s="36" t="str">
        <f t="shared" si="26"/>
        <v>ALTO</v>
      </c>
      <c r="AC310" s="37">
        <f t="shared" si="27"/>
        <v>60</v>
      </c>
      <c r="AD310" s="35">
        <v>0</v>
      </c>
      <c r="AE310" s="41" t="s">
        <v>49</v>
      </c>
      <c r="AF310" s="38" t="str">
        <f>IF(Tabla_Auditorias[[#This Row],[TOTAL
COSTO
NETO]]&lt;&gt;0,"Si","No")</f>
        <v>Si</v>
      </c>
      <c r="AG310" s="39" t="s">
        <v>337</v>
      </c>
      <c r="AH310" s="40"/>
      <c r="AI310" s="51">
        <f t="shared" si="28"/>
        <v>0</v>
      </c>
      <c r="AJ310" s="38" t="str">
        <f t="shared" si="29"/>
        <v>Pendiente</v>
      </c>
    </row>
    <row r="311" spans="1:36" s="31" customFormat="1" ht="25.5" customHeight="1" x14ac:dyDescent="0.2">
      <c r="A311" s="32">
        <v>307</v>
      </c>
      <c r="B311" s="33" t="s">
        <v>76</v>
      </c>
      <c r="C311" s="32" t="s">
        <v>51</v>
      </c>
      <c r="D311" s="32" t="s">
        <v>52</v>
      </c>
      <c r="E311" s="32" t="s">
        <v>45</v>
      </c>
      <c r="F311" s="32">
        <v>1733</v>
      </c>
      <c r="G311" s="33" t="s">
        <v>314</v>
      </c>
      <c r="H311" s="32" t="s">
        <v>47</v>
      </c>
      <c r="I311" s="32"/>
      <c r="J311" s="34">
        <v>45922</v>
      </c>
      <c r="K311" s="34">
        <v>45922</v>
      </c>
      <c r="L311" s="32" t="s">
        <v>48</v>
      </c>
      <c r="M311" s="48">
        <v>37956.74</v>
      </c>
      <c r="N311" s="48">
        <v>0</v>
      </c>
      <c r="O311" s="48">
        <v>0</v>
      </c>
      <c r="P311" s="48">
        <v>0</v>
      </c>
      <c r="Q311" s="48">
        <v>0</v>
      </c>
      <c r="R311" s="48">
        <v>-227.25</v>
      </c>
      <c r="S311" s="48"/>
      <c r="T311" s="48">
        <f t="shared" si="24"/>
        <v>-227.25</v>
      </c>
      <c r="U311" s="48">
        <f t="shared" si="25"/>
        <v>0</v>
      </c>
      <c r="V311" s="49">
        <f>+Tabla_Auditorias[[#This Row],[AJUSTE
EGRESO
COSTO]]+Tabla_Auditorias[[#This Row],[AJUSTE EGRESO
MAL ESTADO]]+Tabla_Auditorias[[#This Row],[AJUSTE
INGRESO
COSTO]]</f>
        <v>-227.25</v>
      </c>
      <c r="W311" s="48">
        <v>-227.25</v>
      </c>
      <c r="X311" s="48"/>
      <c r="Y311" s="48"/>
      <c r="Z311" s="48">
        <v>0</v>
      </c>
      <c r="AA311" s="50">
        <f>+SUM(Tabla_Auditorias[[#This Row],[AJUSTE
EGRESO
COSTO]:[AJUSTE
INGRESO
COSTO]])</f>
        <v>-227.25</v>
      </c>
      <c r="AB311" s="36" t="str">
        <f t="shared" si="26"/>
        <v>BAJO</v>
      </c>
      <c r="AC311" s="37">
        <f t="shared" si="27"/>
        <v>5</v>
      </c>
      <c r="AD311" s="35">
        <v>0</v>
      </c>
      <c r="AE311" s="41" t="s">
        <v>49</v>
      </c>
      <c r="AF311" s="38" t="str">
        <f>IF(Tabla_Auditorias[[#This Row],[TOTAL
COSTO
NETO]]&lt;&gt;0,"Si","No")</f>
        <v>Si</v>
      </c>
      <c r="AG311" s="39" t="s">
        <v>338</v>
      </c>
      <c r="AH311" s="40"/>
      <c r="AI311" s="51">
        <f t="shared" si="28"/>
        <v>0</v>
      </c>
      <c r="AJ311" s="38" t="str">
        <f t="shared" si="29"/>
        <v>Pendiente</v>
      </c>
    </row>
    <row r="312" spans="1:36" s="31" customFormat="1" ht="25.5" customHeight="1" x14ac:dyDescent="0.2">
      <c r="A312" s="32">
        <v>308</v>
      </c>
      <c r="B312" s="33" t="s">
        <v>101</v>
      </c>
      <c r="C312" s="32" t="s">
        <v>51</v>
      </c>
      <c r="D312" s="32" t="s">
        <v>64</v>
      </c>
      <c r="E312" s="32" t="s">
        <v>53</v>
      </c>
      <c r="F312" s="32">
        <v>1724</v>
      </c>
      <c r="G312" s="33" t="s">
        <v>54</v>
      </c>
      <c r="H312" s="32" t="s">
        <v>47</v>
      </c>
      <c r="I312" s="32"/>
      <c r="J312" s="34">
        <v>45922</v>
      </c>
      <c r="K312" s="34">
        <v>45922</v>
      </c>
      <c r="L312" s="32" t="s">
        <v>48</v>
      </c>
      <c r="M312" s="48">
        <v>283527.02</v>
      </c>
      <c r="N312" s="48">
        <v>0</v>
      </c>
      <c r="O312" s="48">
        <v>0</v>
      </c>
      <c r="P312" s="48">
        <v>0</v>
      </c>
      <c r="Q312" s="48">
        <v>0</v>
      </c>
      <c r="R312" s="48">
        <v>0</v>
      </c>
      <c r="S312" s="48"/>
      <c r="T312" s="48">
        <f t="shared" si="24"/>
        <v>0</v>
      </c>
      <c r="U312" s="48">
        <f t="shared" si="25"/>
        <v>0</v>
      </c>
      <c r="V312" s="49">
        <f>+Tabla_Auditorias[[#This Row],[AJUSTE
EGRESO
COSTO]]+Tabla_Auditorias[[#This Row],[AJUSTE EGRESO
MAL ESTADO]]+Tabla_Auditorias[[#This Row],[AJUSTE
INGRESO
COSTO]]</f>
        <v>0</v>
      </c>
      <c r="W312" s="48">
        <v>0</v>
      </c>
      <c r="X312" s="48"/>
      <c r="Y312" s="48"/>
      <c r="Z312" s="48">
        <v>0</v>
      </c>
      <c r="AA312" s="50">
        <f>+SUM(Tabla_Auditorias[[#This Row],[AJUSTE
EGRESO
COSTO]:[AJUSTE
INGRESO
COSTO]])</f>
        <v>0</v>
      </c>
      <c r="AB312" s="36" t="str">
        <f t="shared" si="26"/>
        <v>BAJO</v>
      </c>
      <c r="AC312" s="37">
        <f t="shared" si="27"/>
        <v>0</v>
      </c>
      <c r="AD312" s="35">
        <v>0</v>
      </c>
      <c r="AE312" s="41" t="s">
        <v>49</v>
      </c>
      <c r="AF312" s="38" t="str">
        <f>IF(Tabla_Auditorias[[#This Row],[TOTAL
COSTO
NETO]]&lt;&gt;0,"Si","No")</f>
        <v>No</v>
      </c>
      <c r="AG312" s="39" t="s">
        <v>221</v>
      </c>
      <c r="AH312" s="40"/>
      <c r="AI312" s="51" t="str">
        <f t="shared" si="28"/>
        <v/>
      </c>
      <c r="AJ312" s="38" t="str">
        <f t="shared" si="29"/>
        <v>Pendiente</v>
      </c>
    </row>
    <row r="313" spans="1:36" s="31" customFormat="1" ht="25.5" customHeight="1" x14ac:dyDescent="0.2">
      <c r="A313" s="32">
        <v>309</v>
      </c>
      <c r="B313" s="33" t="s">
        <v>107</v>
      </c>
      <c r="C313" s="32" t="s">
        <v>51</v>
      </c>
      <c r="D313" s="32" t="s">
        <v>57</v>
      </c>
      <c r="E313" s="32" t="s">
        <v>53</v>
      </c>
      <c r="F313" s="32">
        <v>1708</v>
      </c>
      <c r="G313" s="33" t="s">
        <v>54</v>
      </c>
      <c r="H313" s="32" t="s">
        <v>47</v>
      </c>
      <c r="I313" s="32"/>
      <c r="J313" s="34">
        <v>45923</v>
      </c>
      <c r="K313" s="34">
        <v>45923</v>
      </c>
      <c r="L313" s="32" t="s">
        <v>48</v>
      </c>
      <c r="M313" s="48">
        <v>76064.02</v>
      </c>
      <c r="N313" s="48">
        <v>0</v>
      </c>
      <c r="O313" s="48">
        <v>0</v>
      </c>
      <c r="P313" s="48">
        <v>0</v>
      </c>
      <c r="Q313" s="48">
        <v>0</v>
      </c>
      <c r="R313" s="48">
        <v>-687.08</v>
      </c>
      <c r="S313" s="48"/>
      <c r="T313" s="48">
        <f t="shared" si="24"/>
        <v>-687.08</v>
      </c>
      <c r="U313" s="48">
        <f t="shared" si="25"/>
        <v>0</v>
      </c>
      <c r="V313" s="49">
        <f>+Tabla_Auditorias[[#This Row],[AJUSTE
EGRESO
COSTO]]+Tabla_Auditorias[[#This Row],[AJUSTE EGRESO
MAL ESTADO]]+Tabla_Auditorias[[#This Row],[AJUSTE
INGRESO
COSTO]]</f>
        <v>0</v>
      </c>
      <c r="W313" s="48">
        <v>0</v>
      </c>
      <c r="X313" s="48"/>
      <c r="Y313" s="48"/>
      <c r="Z313" s="48">
        <v>0</v>
      </c>
      <c r="AA313" s="50">
        <f>+SUM(Tabla_Auditorias[[#This Row],[AJUSTE
EGRESO
COSTO]:[AJUSTE
INGRESO
COSTO]])</f>
        <v>0</v>
      </c>
      <c r="AB313" s="36" t="str">
        <f t="shared" si="26"/>
        <v>BAJO</v>
      </c>
      <c r="AC313" s="37">
        <f t="shared" si="27"/>
        <v>5</v>
      </c>
      <c r="AD313" s="35">
        <v>0</v>
      </c>
      <c r="AE313" s="41" t="s">
        <v>49</v>
      </c>
      <c r="AF313" s="38" t="str">
        <f>IF(Tabla_Auditorias[[#This Row],[TOTAL
COSTO
NETO]]&lt;&gt;0,"Si","No")</f>
        <v>No</v>
      </c>
      <c r="AG313" s="39" t="s">
        <v>339</v>
      </c>
      <c r="AH313" s="40"/>
      <c r="AI313" s="51" t="str">
        <f t="shared" si="28"/>
        <v/>
      </c>
      <c r="AJ313" s="38" t="str">
        <f t="shared" si="29"/>
        <v>Pendiente</v>
      </c>
    </row>
    <row r="314" spans="1:36" s="31" customFormat="1" ht="25.5" customHeight="1" x14ac:dyDescent="0.2">
      <c r="A314" s="32">
        <v>310</v>
      </c>
      <c r="B314" s="33" t="s">
        <v>69</v>
      </c>
      <c r="C314" s="32" t="s">
        <v>51</v>
      </c>
      <c r="D314" s="32" t="s">
        <v>57</v>
      </c>
      <c r="E314" s="32" t="s">
        <v>53</v>
      </c>
      <c r="F314" s="32">
        <v>1705</v>
      </c>
      <c r="G314" s="33" t="s">
        <v>54</v>
      </c>
      <c r="H314" s="32" t="s">
        <v>47</v>
      </c>
      <c r="I314" s="32"/>
      <c r="J314" s="34">
        <v>45925</v>
      </c>
      <c r="K314" s="34">
        <v>45925</v>
      </c>
      <c r="L314" s="32" t="s">
        <v>48</v>
      </c>
      <c r="M314" s="48">
        <v>127168.32000000001</v>
      </c>
      <c r="N314" s="48">
        <v>0</v>
      </c>
      <c r="O314" s="48">
        <v>-591.20000000000005</v>
      </c>
      <c r="P314" s="48">
        <v>-65.19</v>
      </c>
      <c r="Q314" s="48">
        <v>-4178.91</v>
      </c>
      <c r="R314" s="48">
        <v>0</v>
      </c>
      <c r="S314" s="48"/>
      <c r="T314" s="48">
        <f t="shared" si="24"/>
        <v>-4835.3</v>
      </c>
      <c r="U314" s="48">
        <f t="shared" si="25"/>
        <v>-4835.3</v>
      </c>
      <c r="V314" s="49">
        <f>+Tabla_Auditorias[[#This Row],[AJUSTE
EGRESO
COSTO]]+Tabla_Auditorias[[#This Row],[AJUSTE EGRESO
MAL ESTADO]]+Tabla_Auditorias[[#This Row],[AJUSTE
INGRESO
COSTO]]</f>
        <v>-2721.4367000000002</v>
      </c>
      <c r="W314" s="48">
        <v>-3168.4367000000002</v>
      </c>
      <c r="X314" s="48"/>
      <c r="Y314" s="48"/>
      <c r="Z314" s="48">
        <v>447</v>
      </c>
      <c r="AA314" s="50">
        <f>+SUM(Tabla_Auditorias[[#This Row],[AJUSTE
EGRESO
COSTO]:[AJUSTE
INGRESO
COSTO]])</f>
        <v>-2721.4367000000002</v>
      </c>
      <c r="AB314" s="36" t="str">
        <f t="shared" si="26"/>
        <v>ALTO</v>
      </c>
      <c r="AC314" s="37">
        <f t="shared" si="27"/>
        <v>45</v>
      </c>
      <c r="AD314" s="35">
        <v>0</v>
      </c>
      <c r="AE314" s="41" t="s">
        <v>49</v>
      </c>
      <c r="AF314" s="38" t="str">
        <f>IF(Tabla_Auditorias[[#This Row],[TOTAL
COSTO
NETO]]&lt;&gt;0,"Si","No")</f>
        <v>Si</v>
      </c>
      <c r="AG314" s="39" t="s">
        <v>340</v>
      </c>
      <c r="AH314" s="40"/>
      <c r="AI314" s="51">
        <f t="shared" si="28"/>
        <v>0</v>
      </c>
      <c r="AJ314" s="38" t="str">
        <f t="shared" si="29"/>
        <v>Pendiente</v>
      </c>
    </row>
    <row r="315" spans="1:36" s="31" customFormat="1" ht="25.5" customHeight="1" x14ac:dyDescent="0.2">
      <c r="A315" s="32">
        <v>311</v>
      </c>
      <c r="B315" s="33" t="s">
        <v>71</v>
      </c>
      <c r="C315" s="32" t="s">
        <v>43</v>
      </c>
      <c r="D315" s="32" t="s">
        <v>44</v>
      </c>
      <c r="E315" s="32" t="s">
        <v>45</v>
      </c>
      <c r="F315" s="32">
        <v>1512</v>
      </c>
      <c r="G315" s="33" t="s">
        <v>314</v>
      </c>
      <c r="H315" s="32" t="s">
        <v>47</v>
      </c>
      <c r="I315" s="32"/>
      <c r="J315" s="34">
        <v>45925</v>
      </c>
      <c r="K315" s="34">
        <v>45925</v>
      </c>
      <c r="L315" s="32" t="s">
        <v>48</v>
      </c>
      <c r="M315" s="48">
        <v>227765.7</v>
      </c>
      <c r="N315" s="48">
        <v>278.39999999999998</v>
      </c>
      <c r="O315" s="48">
        <v>-348.71</v>
      </c>
      <c r="P315" s="48">
        <v>41.27</v>
      </c>
      <c r="Q315" s="48">
        <v>0</v>
      </c>
      <c r="R315" s="48">
        <v>0</v>
      </c>
      <c r="S315" s="48"/>
      <c r="T315" s="48">
        <f t="shared" si="24"/>
        <v>-29.04</v>
      </c>
      <c r="U315" s="48">
        <f t="shared" si="25"/>
        <v>-29.04</v>
      </c>
      <c r="V315" s="49">
        <f>+Tabla_Auditorias[[#This Row],[AJUSTE
EGRESO
COSTO]]+Tabla_Auditorias[[#This Row],[AJUSTE EGRESO
MAL ESTADO]]+Tabla_Auditorias[[#This Row],[AJUSTE
INGRESO
COSTO]]</f>
        <v>61.649700000000053</v>
      </c>
      <c r="W315" s="48">
        <v>-595.20159999999998</v>
      </c>
      <c r="X315" s="48"/>
      <c r="Y315" s="48"/>
      <c r="Z315" s="48">
        <v>656.85130000000004</v>
      </c>
      <c r="AA315" s="50">
        <f>+SUM(Tabla_Auditorias[[#This Row],[AJUSTE
EGRESO
COSTO]:[AJUSTE
INGRESO
COSTO]])</f>
        <v>61.649700000000053</v>
      </c>
      <c r="AB315" s="36" t="str">
        <f t="shared" si="26"/>
        <v>MEDIO</v>
      </c>
      <c r="AC315" s="37">
        <f t="shared" si="27"/>
        <v>20</v>
      </c>
      <c r="AD315" s="35">
        <v>0</v>
      </c>
      <c r="AE315" s="41" t="s">
        <v>49</v>
      </c>
      <c r="AF315" s="38" t="str">
        <f>IF(Tabla_Auditorias[[#This Row],[TOTAL
COSTO
NETO]]&lt;&gt;0,"Si","No")</f>
        <v>Si</v>
      </c>
      <c r="AG315" s="39" t="s">
        <v>341</v>
      </c>
      <c r="AH315" s="40"/>
      <c r="AI315" s="51" t="str">
        <f t="shared" si="28"/>
        <v/>
      </c>
      <c r="AJ315" s="38" t="str">
        <f t="shared" si="29"/>
        <v>No Aplica</v>
      </c>
    </row>
    <row r="316" spans="1:36" s="31" customFormat="1" ht="25.5" customHeight="1" x14ac:dyDescent="0.2">
      <c r="A316" s="32">
        <v>312</v>
      </c>
      <c r="B316" s="33" t="s">
        <v>220</v>
      </c>
      <c r="C316" s="32" t="s">
        <v>51</v>
      </c>
      <c r="D316" s="32" t="s">
        <v>52</v>
      </c>
      <c r="E316" s="32" t="s">
        <v>45</v>
      </c>
      <c r="F316" s="32" t="e">
        <v>#REF!</v>
      </c>
      <c r="G316" s="33" t="s">
        <v>314</v>
      </c>
      <c r="H316" s="32" t="s">
        <v>47</v>
      </c>
      <c r="I316" s="32"/>
      <c r="J316" s="34">
        <v>45925</v>
      </c>
      <c r="K316" s="34">
        <v>45925</v>
      </c>
      <c r="L316" s="32" t="s">
        <v>48</v>
      </c>
      <c r="M316" s="48">
        <v>13780.15</v>
      </c>
      <c r="N316" s="48">
        <v>0</v>
      </c>
      <c r="O316" s="48">
        <v>0</v>
      </c>
      <c r="P316" s="48">
        <v>0</v>
      </c>
      <c r="Q316" s="48">
        <v>0</v>
      </c>
      <c r="R316" s="48">
        <v>0</v>
      </c>
      <c r="S316" s="48"/>
      <c r="T316" s="48">
        <f t="shared" si="24"/>
        <v>0</v>
      </c>
      <c r="U316" s="48">
        <f t="shared" si="25"/>
        <v>0</v>
      </c>
      <c r="V316" s="49">
        <f>+Tabla_Auditorias[[#This Row],[AJUSTE
EGRESO
COSTO]]+Tabla_Auditorias[[#This Row],[AJUSTE EGRESO
MAL ESTADO]]+Tabla_Auditorias[[#This Row],[AJUSTE
INGRESO
COSTO]]</f>
        <v>0</v>
      </c>
      <c r="W316" s="48">
        <v>0</v>
      </c>
      <c r="X316" s="48"/>
      <c r="Y316" s="48"/>
      <c r="Z316" s="48">
        <v>0</v>
      </c>
      <c r="AA316" s="50">
        <f>+SUM(Tabla_Auditorias[[#This Row],[AJUSTE
EGRESO
COSTO]:[AJUSTE
INGRESO
COSTO]])</f>
        <v>0</v>
      </c>
      <c r="AB316" s="36" t="str">
        <f t="shared" si="26"/>
        <v>BAJO</v>
      </c>
      <c r="AC316" s="37">
        <f t="shared" si="27"/>
        <v>0</v>
      </c>
      <c r="AD316" s="35">
        <v>0</v>
      </c>
      <c r="AE316" s="41" t="s">
        <v>49</v>
      </c>
      <c r="AF316" s="38" t="str">
        <f>IF(Tabla_Auditorias[[#This Row],[TOTAL
COSTO
NETO]]&lt;&gt;0,"Si","No")</f>
        <v>No</v>
      </c>
      <c r="AG316" s="39" t="s">
        <v>221</v>
      </c>
      <c r="AH316" s="40"/>
      <c r="AI316" s="51" t="str">
        <f t="shared" si="28"/>
        <v/>
      </c>
      <c r="AJ316" s="38" t="str">
        <f t="shared" si="29"/>
        <v>Pendiente</v>
      </c>
    </row>
    <row r="317" spans="1:36" s="31" customFormat="1" ht="25.5" customHeight="1" x14ac:dyDescent="0.2">
      <c r="A317" s="32">
        <v>313</v>
      </c>
      <c r="B317" s="33" t="s">
        <v>134</v>
      </c>
      <c r="C317" s="32" t="s">
        <v>43</v>
      </c>
      <c r="D317" s="32" t="s">
        <v>44</v>
      </c>
      <c r="E317" s="32" t="s">
        <v>45</v>
      </c>
      <c r="F317" s="32">
        <v>1509</v>
      </c>
      <c r="G317" s="33" t="s">
        <v>314</v>
      </c>
      <c r="H317" s="32" t="s">
        <v>47</v>
      </c>
      <c r="I317" s="32"/>
      <c r="J317" s="34">
        <v>45925</v>
      </c>
      <c r="K317" s="34">
        <v>45925</v>
      </c>
      <c r="L317" s="32" t="s">
        <v>48</v>
      </c>
      <c r="M317" s="48">
        <v>526568.54</v>
      </c>
      <c r="N317" s="48">
        <v>331.7</v>
      </c>
      <c r="O317" s="48">
        <v>-1009.16</v>
      </c>
      <c r="P317" s="48">
        <v>178.84</v>
      </c>
      <c r="Q317" s="48">
        <v>0</v>
      </c>
      <c r="R317" s="48">
        <v>0</v>
      </c>
      <c r="S317" s="48"/>
      <c r="T317" s="48">
        <f t="shared" si="24"/>
        <v>-498.62</v>
      </c>
      <c r="U317" s="48">
        <f t="shared" si="25"/>
        <v>-498.62</v>
      </c>
      <c r="V317" s="49">
        <f>+Tabla_Auditorias[[#This Row],[AJUSTE
EGRESO
COSTO]]+Tabla_Auditorias[[#This Row],[AJUSTE EGRESO
MAL ESTADO]]+Tabla_Auditorias[[#This Row],[AJUSTE
INGRESO
COSTO]]</f>
        <v>-137.48030000000006</v>
      </c>
      <c r="W317" s="48">
        <v>-1113.5585000000001</v>
      </c>
      <c r="X317" s="48"/>
      <c r="Y317" s="48"/>
      <c r="Z317" s="48">
        <v>976.07820000000004</v>
      </c>
      <c r="AA317" s="50">
        <f>+SUM(Tabla_Auditorias[[#This Row],[AJUSTE
EGRESO
COSTO]:[AJUSTE
INGRESO
COSTO]])</f>
        <v>-137.48030000000006</v>
      </c>
      <c r="AB317" s="36" t="str">
        <f t="shared" si="26"/>
        <v>MEDIO</v>
      </c>
      <c r="AC317" s="37">
        <f t="shared" si="27"/>
        <v>25</v>
      </c>
      <c r="AD317" s="35">
        <v>0</v>
      </c>
      <c r="AE317" s="41" t="s">
        <v>49</v>
      </c>
      <c r="AF317" s="38" t="str">
        <f>IF(Tabla_Auditorias[[#This Row],[TOTAL
COSTO
NETO]]&lt;&gt;0,"Si","No")</f>
        <v>Si</v>
      </c>
      <c r="AG317" s="39" t="s">
        <v>342</v>
      </c>
      <c r="AH317" s="40"/>
      <c r="AI317" s="51">
        <f t="shared" si="28"/>
        <v>0</v>
      </c>
      <c r="AJ317" s="38" t="str">
        <f t="shared" si="29"/>
        <v>Pendiente</v>
      </c>
    </row>
    <row r="318" spans="1:36" s="31" customFormat="1" ht="25.5" customHeight="1" x14ac:dyDescent="0.2">
      <c r="A318" s="32">
        <v>314</v>
      </c>
      <c r="B318" s="33" t="s">
        <v>125</v>
      </c>
      <c r="C318" s="32" t="s">
        <v>43</v>
      </c>
      <c r="D318" s="32" t="s">
        <v>44</v>
      </c>
      <c r="E318" s="32" t="s">
        <v>53</v>
      </c>
      <c r="F318" s="32">
        <v>1516</v>
      </c>
      <c r="G318" s="33" t="s">
        <v>54</v>
      </c>
      <c r="H318" s="32" t="s">
        <v>47</v>
      </c>
      <c r="I318" s="32"/>
      <c r="J318" s="34">
        <v>45926</v>
      </c>
      <c r="K318" s="34">
        <v>45926</v>
      </c>
      <c r="L318" s="32" t="s">
        <v>48</v>
      </c>
      <c r="M318" s="48">
        <v>158290.07999999999</v>
      </c>
      <c r="N318" s="48">
        <v>0</v>
      </c>
      <c r="O318" s="48">
        <v>-235.98</v>
      </c>
      <c r="P318" s="48">
        <v>0</v>
      </c>
      <c r="Q318" s="48">
        <v>0</v>
      </c>
      <c r="R318" s="48">
        <v>0</v>
      </c>
      <c r="S318" s="48"/>
      <c r="T318" s="48">
        <f t="shared" si="24"/>
        <v>-235.98</v>
      </c>
      <c r="U318" s="48">
        <f t="shared" si="25"/>
        <v>-235.98</v>
      </c>
      <c r="V318" s="49">
        <f>+Tabla_Auditorias[[#This Row],[AJUSTE
EGRESO
COSTO]]+Tabla_Auditorias[[#This Row],[AJUSTE EGRESO
MAL ESTADO]]+Tabla_Auditorias[[#This Row],[AJUSTE
INGRESO
COSTO]]</f>
        <v>-145.0864</v>
      </c>
      <c r="W318" s="48">
        <v>-145.0864</v>
      </c>
      <c r="X318" s="48"/>
      <c r="Y318" s="48"/>
      <c r="Z318" s="48">
        <v>0</v>
      </c>
      <c r="AA318" s="50">
        <f>+SUM(Tabla_Auditorias[[#This Row],[AJUSTE
EGRESO
COSTO]:[AJUSTE
INGRESO
COSTO]])</f>
        <v>-145.0864</v>
      </c>
      <c r="AB318" s="36" t="str">
        <f t="shared" si="26"/>
        <v>MEDIO</v>
      </c>
      <c r="AC318" s="37">
        <f t="shared" si="27"/>
        <v>25</v>
      </c>
      <c r="AD318" s="35">
        <v>0</v>
      </c>
      <c r="AE318" s="41" t="s">
        <v>49</v>
      </c>
      <c r="AF318" s="38" t="str">
        <f>IF(Tabla_Auditorias[[#This Row],[TOTAL
COSTO
NETO]]&lt;&gt;0,"Si","No")</f>
        <v>Si</v>
      </c>
      <c r="AG318" s="39" t="s">
        <v>343</v>
      </c>
      <c r="AH318" s="40"/>
      <c r="AI318" s="51">
        <f t="shared" si="28"/>
        <v>0</v>
      </c>
      <c r="AJ318" s="38" t="str">
        <f t="shared" si="29"/>
        <v>Pendiente</v>
      </c>
    </row>
    <row r="319" spans="1:36" s="31" customFormat="1" ht="25.5" customHeight="1" x14ac:dyDescent="0.2">
      <c r="A319" s="32">
        <v>315</v>
      </c>
      <c r="B319" s="33" t="s">
        <v>105</v>
      </c>
      <c r="C319" s="32" t="s">
        <v>51</v>
      </c>
      <c r="D319" s="32" t="s">
        <v>57</v>
      </c>
      <c r="E319" s="32" t="s">
        <v>53</v>
      </c>
      <c r="F319" s="32">
        <v>1710</v>
      </c>
      <c r="G319" s="33" t="s">
        <v>54</v>
      </c>
      <c r="H319" s="32" t="s">
        <v>47</v>
      </c>
      <c r="I319" s="32"/>
      <c r="J319" s="34">
        <v>45926</v>
      </c>
      <c r="K319" s="34">
        <v>45926</v>
      </c>
      <c r="L319" s="32" t="s">
        <v>48</v>
      </c>
      <c r="M319" s="48">
        <v>103789.9</v>
      </c>
      <c r="N319" s="48">
        <v>94.54</v>
      </c>
      <c r="O319" s="48">
        <v>-47.22</v>
      </c>
      <c r="P319" s="48">
        <v>-8.23</v>
      </c>
      <c r="Q319" s="48">
        <v>0</v>
      </c>
      <c r="R319" s="48">
        <v>0</v>
      </c>
      <c r="S319" s="48"/>
      <c r="T319" s="48">
        <f t="shared" si="24"/>
        <v>39.090000000000003</v>
      </c>
      <c r="U319" s="48">
        <f t="shared" si="25"/>
        <v>39.090000000000003</v>
      </c>
      <c r="V319" s="49">
        <f>+Tabla_Auditorias[[#This Row],[AJUSTE
EGRESO
COSTO]]+Tabla_Auditorias[[#This Row],[AJUSTE EGRESO
MAL ESTADO]]+Tabla_Auditorias[[#This Row],[AJUSTE
INGRESO
COSTO]]</f>
        <v>33.141600000000004</v>
      </c>
      <c r="W319" s="48">
        <v>-34.3872</v>
      </c>
      <c r="X319" s="48"/>
      <c r="Y319" s="48"/>
      <c r="Z319" s="48">
        <v>67.528800000000004</v>
      </c>
      <c r="AA319" s="50">
        <f>+SUM(Tabla_Auditorias[[#This Row],[AJUSTE
EGRESO
COSTO]:[AJUSTE
INGRESO
COSTO]])</f>
        <v>33.141600000000004</v>
      </c>
      <c r="AB319" s="36" t="str">
        <f t="shared" si="26"/>
        <v>MEDIO</v>
      </c>
      <c r="AC319" s="37">
        <f t="shared" si="27"/>
        <v>20</v>
      </c>
      <c r="AD319" s="35">
        <v>0</v>
      </c>
      <c r="AE319" s="41" t="s">
        <v>49</v>
      </c>
      <c r="AF319" s="38" t="str">
        <f>IF(Tabla_Auditorias[[#This Row],[TOTAL
COSTO
NETO]]&lt;&gt;0,"Si","No")</f>
        <v>Si</v>
      </c>
      <c r="AG319" s="39" t="s">
        <v>344</v>
      </c>
      <c r="AH319" s="40"/>
      <c r="AI319" s="51" t="str">
        <f t="shared" si="28"/>
        <v/>
      </c>
      <c r="AJ319" s="38" t="str">
        <f t="shared" si="29"/>
        <v>No Aplica</v>
      </c>
    </row>
    <row r="320" spans="1:36" s="31" customFormat="1" ht="25.5" customHeight="1" x14ac:dyDescent="0.2">
      <c r="A320" s="32">
        <v>316</v>
      </c>
      <c r="B320" s="33" t="s">
        <v>298</v>
      </c>
      <c r="C320" s="32" t="s">
        <v>51</v>
      </c>
      <c r="D320" s="32" t="s">
        <v>57</v>
      </c>
      <c r="E320" s="32" t="s">
        <v>45</v>
      </c>
      <c r="F320" s="32">
        <v>1746</v>
      </c>
      <c r="G320" s="33" t="s">
        <v>314</v>
      </c>
      <c r="H320" s="32" t="s">
        <v>47</v>
      </c>
      <c r="I320" s="32"/>
      <c r="J320" s="34">
        <v>45926</v>
      </c>
      <c r="K320" s="34">
        <v>45926</v>
      </c>
      <c r="L320" s="32" t="s">
        <v>48</v>
      </c>
      <c r="M320" s="48">
        <v>61183.27</v>
      </c>
      <c r="N320" s="48">
        <v>0</v>
      </c>
      <c r="O320" s="48">
        <v>0</v>
      </c>
      <c r="P320" s="48">
        <v>0</v>
      </c>
      <c r="Q320" s="48">
        <v>0</v>
      </c>
      <c r="R320" s="48">
        <v>0</v>
      </c>
      <c r="S320" s="48"/>
      <c r="T320" s="48">
        <f t="shared" si="24"/>
        <v>0</v>
      </c>
      <c r="U320" s="48">
        <f t="shared" si="25"/>
        <v>0</v>
      </c>
      <c r="V320" s="49">
        <f>+Tabla_Auditorias[[#This Row],[AJUSTE
EGRESO
COSTO]]+Tabla_Auditorias[[#This Row],[AJUSTE EGRESO
MAL ESTADO]]+Tabla_Auditorias[[#This Row],[AJUSTE
INGRESO
COSTO]]</f>
        <v>0</v>
      </c>
      <c r="W320" s="48">
        <v>0</v>
      </c>
      <c r="X320" s="48"/>
      <c r="Y320" s="48"/>
      <c r="Z320" s="48">
        <v>0</v>
      </c>
      <c r="AA320" s="50">
        <f>+SUM(Tabla_Auditorias[[#This Row],[AJUSTE
EGRESO
COSTO]:[AJUSTE
INGRESO
COSTO]])</f>
        <v>0</v>
      </c>
      <c r="AB320" s="36" t="str">
        <f t="shared" si="26"/>
        <v>BAJO</v>
      </c>
      <c r="AC320" s="37">
        <f t="shared" si="27"/>
        <v>0</v>
      </c>
      <c r="AD320" s="35">
        <v>0</v>
      </c>
      <c r="AE320" s="41" t="s">
        <v>49</v>
      </c>
      <c r="AF320" s="38" t="str">
        <f>IF(Tabla_Auditorias[[#This Row],[TOTAL
COSTO
NETO]]&lt;&gt;0,"Si","No")</f>
        <v>No</v>
      </c>
      <c r="AG320" s="39" t="s">
        <v>221</v>
      </c>
      <c r="AH320" s="40"/>
      <c r="AI320" s="51" t="str">
        <f t="shared" si="28"/>
        <v/>
      </c>
      <c r="AJ320" s="38" t="str">
        <f t="shared" si="29"/>
        <v>Pendiente</v>
      </c>
    </row>
    <row r="321" spans="1:36" s="31" customFormat="1" ht="25.5" customHeight="1" x14ac:dyDescent="0.2">
      <c r="A321" s="32">
        <v>317</v>
      </c>
      <c r="B321" s="33" t="s">
        <v>93</v>
      </c>
      <c r="C321" s="32" t="s">
        <v>51</v>
      </c>
      <c r="D321" s="32" t="s">
        <v>64</v>
      </c>
      <c r="E321" s="32" t="s">
        <v>45</v>
      </c>
      <c r="F321" s="32">
        <v>1723</v>
      </c>
      <c r="G321" s="33" t="s">
        <v>314</v>
      </c>
      <c r="H321" s="32" t="s">
        <v>47</v>
      </c>
      <c r="I321" s="32"/>
      <c r="J321" s="34">
        <v>45927</v>
      </c>
      <c r="K321" s="34">
        <v>45927</v>
      </c>
      <c r="L321" s="32" t="s">
        <v>48</v>
      </c>
      <c r="M321" s="48">
        <v>486824.03</v>
      </c>
      <c r="N321" s="48">
        <v>0</v>
      </c>
      <c r="O321" s="48">
        <v>0</v>
      </c>
      <c r="P321" s="48">
        <v>0</v>
      </c>
      <c r="Q321" s="48">
        <v>0</v>
      </c>
      <c r="R321" s="48">
        <v>0</v>
      </c>
      <c r="S321" s="48"/>
      <c r="T321" s="48">
        <f t="shared" si="24"/>
        <v>0</v>
      </c>
      <c r="U321" s="48">
        <f t="shared" si="25"/>
        <v>0</v>
      </c>
      <c r="V321" s="49">
        <f>+Tabla_Auditorias[[#This Row],[AJUSTE
EGRESO
COSTO]]+Tabla_Auditorias[[#This Row],[AJUSTE EGRESO
MAL ESTADO]]+Tabla_Auditorias[[#This Row],[AJUSTE
INGRESO
COSTO]]</f>
        <v>205.76379999999972</v>
      </c>
      <c r="W321" s="48">
        <v>-4453.9062000000004</v>
      </c>
      <c r="X321" s="48"/>
      <c r="Y321" s="48"/>
      <c r="Z321" s="48">
        <v>4659.67</v>
      </c>
      <c r="AA321" s="50">
        <f>+SUM(Tabla_Auditorias[[#This Row],[AJUSTE
EGRESO
COSTO]:[AJUSTE
INGRESO
COSTO]])</f>
        <v>205.76379999999972</v>
      </c>
      <c r="AB321" s="36" t="str">
        <f t="shared" si="26"/>
        <v>BAJO</v>
      </c>
      <c r="AC321" s="37">
        <f t="shared" si="27"/>
        <v>0</v>
      </c>
      <c r="AD321" s="35">
        <v>0</v>
      </c>
      <c r="AE321" s="41" t="s">
        <v>49</v>
      </c>
      <c r="AF321" s="38" t="str">
        <f>IF(Tabla_Auditorias[[#This Row],[TOTAL
COSTO
NETO]]&lt;&gt;0,"Si","No")</f>
        <v>Si</v>
      </c>
      <c r="AG321" s="39" t="s">
        <v>345</v>
      </c>
      <c r="AH321" s="40"/>
      <c r="AI321" s="51" t="str">
        <f t="shared" si="28"/>
        <v/>
      </c>
      <c r="AJ321" s="38" t="str">
        <f t="shared" si="29"/>
        <v>No Aplica</v>
      </c>
    </row>
    <row r="322" spans="1:36" s="31" customFormat="1" ht="25.5" customHeight="1" x14ac:dyDescent="0.2">
      <c r="A322" s="32">
        <v>318</v>
      </c>
      <c r="B322" s="33" t="s">
        <v>139</v>
      </c>
      <c r="C322" s="32" t="s">
        <v>51</v>
      </c>
      <c r="D322" s="32" t="s">
        <v>52</v>
      </c>
      <c r="E322" s="32" t="s">
        <v>45</v>
      </c>
      <c r="F322" s="32">
        <v>1730</v>
      </c>
      <c r="G322" s="33" t="s">
        <v>314</v>
      </c>
      <c r="H322" s="32" t="s">
        <v>47</v>
      </c>
      <c r="I322" s="32"/>
      <c r="J322" s="34">
        <v>45927</v>
      </c>
      <c r="K322" s="34">
        <v>45927</v>
      </c>
      <c r="L322" s="32" t="s">
        <v>48</v>
      </c>
      <c r="M322" s="48">
        <v>54074.21</v>
      </c>
      <c r="N322" s="48">
        <v>177.81</v>
      </c>
      <c r="O322" s="48">
        <v>-6973.29</v>
      </c>
      <c r="P322" s="48">
        <v>0</v>
      </c>
      <c r="Q322" s="48">
        <v>-60</v>
      </c>
      <c r="R322" s="48">
        <v>0</v>
      </c>
      <c r="S322" s="48"/>
      <c r="T322" s="48">
        <f t="shared" si="24"/>
        <v>-6855.48</v>
      </c>
      <c r="U322" s="48">
        <f t="shared" si="25"/>
        <v>-6855.48</v>
      </c>
      <c r="V322" s="49">
        <f>+Tabla_Auditorias[[#This Row],[AJUSTE
EGRESO
COSTO]]+Tabla_Auditorias[[#This Row],[AJUSTE EGRESO
MAL ESTADO]]+Tabla_Auditorias[[#This Row],[AJUSTE
INGRESO
COSTO]]</f>
        <v>0</v>
      </c>
      <c r="W322" s="48"/>
      <c r="X322" s="48"/>
      <c r="Y322" s="48"/>
      <c r="Z322" s="48"/>
      <c r="AA322" s="50">
        <f>+SUM(Tabla_Auditorias[[#This Row],[AJUSTE
EGRESO
COSTO]:[AJUSTE
INGRESO
COSTO]])</f>
        <v>0</v>
      </c>
      <c r="AB322" s="36" t="str">
        <f t="shared" si="26"/>
        <v>CRÍTICO</v>
      </c>
      <c r="AC322" s="37">
        <f t="shared" si="27"/>
        <v>85</v>
      </c>
      <c r="AD322" s="35">
        <v>0</v>
      </c>
      <c r="AE322" s="41" t="s">
        <v>49</v>
      </c>
      <c r="AF322" s="38" t="str">
        <f>IF(Tabla_Auditorias[[#This Row],[TOTAL
COSTO
NETO]]&lt;&gt;0,"Si","No")</f>
        <v>No</v>
      </c>
      <c r="AG322" s="39" t="s">
        <v>346</v>
      </c>
      <c r="AH322" s="40"/>
      <c r="AI322" s="51" t="str">
        <f t="shared" si="28"/>
        <v/>
      </c>
      <c r="AJ322" s="38" t="str">
        <f t="shared" si="29"/>
        <v>Pendiente</v>
      </c>
    </row>
    <row r="323" spans="1:36" s="31" customFormat="1" ht="25.5" customHeight="1" x14ac:dyDescent="0.2">
      <c r="A323" s="32">
        <v>319</v>
      </c>
      <c r="B323" s="33" t="s">
        <v>85</v>
      </c>
      <c r="C323" s="32" t="s">
        <v>43</v>
      </c>
      <c r="D323" s="32" t="s">
        <v>44</v>
      </c>
      <c r="E323" s="32" t="s">
        <v>53</v>
      </c>
      <c r="F323" s="32">
        <v>1510</v>
      </c>
      <c r="G323" s="33" t="s">
        <v>54</v>
      </c>
      <c r="H323" s="32" t="s">
        <v>47</v>
      </c>
      <c r="I323" s="32"/>
      <c r="J323" s="34">
        <v>45931</v>
      </c>
      <c r="K323" s="34">
        <v>45931</v>
      </c>
      <c r="L323" s="32" t="s">
        <v>48</v>
      </c>
      <c r="M323" s="48">
        <v>81770.59</v>
      </c>
      <c r="N323" s="48">
        <v>236.54</v>
      </c>
      <c r="O323" s="48">
        <v>-269.64</v>
      </c>
      <c r="P323" s="48">
        <v>38.29</v>
      </c>
      <c r="Q323" s="48">
        <v>0</v>
      </c>
      <c r="R323" s="48">
        <v>0</v>
      </c>
      <c r="S323" s="48"/>
      <c r="T323" s="48">
        <f t="shared" si="24"/>
        <v>5.1900000000000048</v>
      </c>
      <c r="U323" s="48">
        <f t="shared" si="25"/>
        <v>5.1900000000000048</v>
      </c>
      <c r="V323" s="49">
        <f>+Tabla_Auditorias[[#This Row],[AJUSTE
EGRESO
COSTO]]+Tabla_Auditorias[[#This Row],[AJUSTE EGRESO
MAL ESTADO]]+Tabla_Auditorias[[#This Row],[AJUSTE
INGRESO
COSTO]]</f>
        <v>1.6864000000000203</v>
      </c>
      <c r="W323" s="48">
        <v>233.65010000000001</v>
      </c>
      <c r="X323" s="48"/>
      <c r="Y323" s="48"/>
      <c r="Z323" s="48">
        <v>-231.96369999999999</v>
      </c>
      <c r="AA323" s="50">
        <f>+SUM(Tabla_Auditorias[[#This Row],[AJUSTE
EGRESO
COSTO]:[AJUSTE
INGRESO
COSTO]])</f>
        <v>1.6864000000000203</v>
      </c>
      <c r="AB323" s="36" t="str">
        <f t="shared" si="26"/>
        <v>MEDIO</v>
      </c>
      <c r="AC323" s="37">
        <f t="shared" si="27"/>
        <v>20</v>
      </c>
      <c r="AD323" s="35">
        <v>0</v>
      </c>
      <c r="AE323" s="41" t="s">
        <v>49</v>
      </c>
      <c r="AF323" s="38" t="str">
        <f>IF(Tabla_Auditorias[[#This Row],[TOTAL
COSTO
NETO]]&lt;&gt;0,"Si","No")</f>
        <v>Si</v>
      </c>
      <c r="AG323" s="39" t="s">
        <v>347</v>
      </c>
      <c r="AH323" s="40"/>
      <c r="AI323" s="51" t="str">
        <f t="shared" si="28"/>
        <v/>
      </c>
      <c r="AJ323" s="38" t="str">
        <f t="shared" si="29"/>
        <v>No Aplica</v>
      </c>
    </row>
    <row r="324" spans="1:36" s="31" customFormat="1" ht="25.5" customHeight="1" x14ac:dyDescent="0.2">
      <c r="A324" s="32">
        <v>320</v>
      </c>
      <c r="B324" s="33" t="s">
        <v>227</v>
      </c>
      <c r="C324" s="32" t="s">
        <v>88</v>
      </c>
      <c r="D324" s="32" t="s">
        <v>228</v>
      </c>
      <c r="E324" s="32" t="s">
        <v>53</v>
      </c>
      <c r="F324" s="32">
        <v>1450</v>
      </c>
      <c r="G324" s="33" t="s">
        <v>54</v>
      </c>
      <c r="H324" s="32" t="s">
        <v>47</v>
      </c>
      <c r="I324" s="32"/>
      <c r="J324" s="34">
        <v>45932</v>
      </c>
      <c r="K324" s="34">
        <v>45932</v>
      </c>
      <c r="L324" s="32" t="s">
        <v>48</v>
      </c>
      <c r="M324" s="48">
        <v>26663.86</v>
      </c>
      <c r="N324" s="48">
        <v>0</v>
      </c>
      <c r="O324" s="48">
        <v>0</v>
      </c>
      <c r="P324" s="48">
        <v>0</v>
      </c>
      <c r="Q324" s="48">
        <v>0</v>
      </c>
      <c r="R324" s="48">
        <v>0</v>
      </c>
      <c r="S324" s="48"/>
      <c r="T324" s="48">
        <f t="shared" si="24"/>
        <v>0</v>
      </c>
      <c r="U324" s="48">
        <f t="shared" si="25"/>
        <v>0</v>
      </c>
      <c r="V324" s="49">
        <f>+Tabla_Auditorias[[#This Row],[AJUSTE
EGRESO
COSTO]]+Tabla_Auditorias[[#This Row],[AJUSTE EGRESO
MAL ESTADO]]+Tabla_Auditorias[[#This Row],[AJUSTE
INGRESO
COSTO]]</f>
        <v>0</v>
      </c>
      <c r="W324" s="48">
        <v>0</v>
      </c>
      <c r="X324" s="48"/>
      <c r="Y324" s="48"/>
      <c r="Z324" s="48">
        <v>0</v>
      </c>
      <c r="AA324" s="50">
        <f>+SUM(Tabla_Auditorias[[#This Row],[AJUSTE
EGRESO
COSTO]:[AJUSTE
INGRESO
COSTO]])</f>
        <v>0</v>
      </c>
      <c r="AB324" s="36" t="str">
        <f t="shared" si="26"/>
        <v>BAJO</v>
      </c>
      <c r="AC324" s="37">
        <f t="shared" si="27"/>
        <v>0</v>
      </c>
      <c r="AD324" s="35">
        <v>0</v>
      </c>
      <c r="AE324" s="41" t="s">
        <v>49</v>
      </c>
      <c r="AF324" s="38" t="str">
        <f>IF(Tabla_Auditorias[[#This Row],[TOTAL
COSTO
NETO]]&lt;&gt;0,"Si","No")</f>
        <v>No</v>
      </c>
      <c r="AG324" s="39" t="s">
        <v>221</v>
      </c>
      <c r="AH324" s="40"/>
      <c r="AI324" s="51" t="str">
        <f t="shared" si="28"/>
        <v/>
      </c>
      <c r="AJ324" s="38" t="str">
        <f t="shared" si="29"/>
        <v>Pendiente</v>
      </c>
    </row>
    <row r="325" spans="1:36" s="31" customFormat="1" ht="25.5" customHeight="1" x14ac:dyDescent="0.2">
      <c r="A325" s="32">
        <v>321</v>
      </c>
      <c r="B325" s="33" t="s">
        <v>175</v>
      </c>
      <c r="C325" s="32" t="s">
        <v>51</v>
      </c>
      <c r="D325" s="32" t="s">
        <v>52</v>
      </c>
      <c r="E325" s="32" t="s">
        <v>58</v>
      </c>
      <c r="F325" s="32">
        <v>1738</v>
      </c>
      <c r="G325" s="33" t="s">
        <v>59</v>
      </c>
      <c r="H325" s="32" t="s">
        <v>47</v>
      </c>
      <c r="I325" s="32"/>
      <c r="J325" s="34">
        <v>45932</v>
      </c>
      <c r="K325" s="34">
        <v>45932</v>
      </c>
      <c r="L325" s="32" t="s">
        <v>48</v>
      </c>
      <c r="M325" s="48">
        <v>38774.120000000003</v>
      </c>
      <c r="N325" s="48">
        <v>0</v>
      </c>
      <c r="O325" s="48">
        <v>0</v>
      </c>
      <c r="P325" s="48">
        <v>0</v>
      </c>
      <c r="Q325" s="48">
        <v>0</v>
      </c>
      <c r="R325" s="48">
        <v>0</v>
      </c>
      <c r="S325" s="48"/>
      <c r="T325" s="48">
        <f t="shared" ref="T325:T385" si="30">N325+O325+P325+Q325+R325+S325</f>
        <v>0</v>
      </c>
      <c r="U325" s="48">
        <f t="shared" ref="U325:U388" si="31">N325+O325+P325+Q325+S325</f>
        <v>0</v>
      </c>
      <c r="V325" s="49">
        <f>+Tabla_Auditorias[[#This Row],[AJUSTE
EGRESO
COSTO]]+Tabla_Auditorias[[#This Row],[AJUSTE EGRESO
MAL ESTADO]]+Tabla_Auditorias[[#This Row],[AJUSTE
INGRESO
COSTO]]</f>
        <v>0</v>
      </c>
      <c r="W325" s="48">
        <v>0</v>
      </c>
      <c r="X325" s="48"/>
      <c r="Y325" s="48"/>
      <c r="Z325" s="48">
        <v>0</v>
      </c>
      <c r="AA325" s="50">
        <f>+SUM(Tabla_Auditorias[[#This Row],[AJUSTE
EGRESO
COSTO]:[AJUSTE
INGRESO
COSTO]])</f>
        <v>0</v>
      </c>
      <c r="AB325" s="36" t="str">
        <f t="shared" ref="AB325:AB388" si="32">IFERROR(IF(AC325&lt;=10,"BAJO",IF(AC325&lt;=35,"MEDIO",IF(AC325&lt;=65,"ALTO","CRÍTICO"))),"BAJO")</f>
        <v>BAJO</v>
      </c>
      <c r="AC325" s="37">
        <f t="shared" ref="AC325:AC381" si="33">IFERROR(IF(M325=0,0,IF(ABS(O325)/M325=0,0,IF(ABS(O325)/M325&lt;=0.01,10,IF(ABS(O325)/M325&lt;=0.03,25,IF(ABS(O325)/M325&lt;=0.05,40,50)))))+IF(ABS(U325)=0,0,IF(ABS(U325)&lt;=200,10,IF(ABS(U325)&lt;=500,15,IF(ABS(U325)&lt;=2000,22,30))))+0+IF(OR(Q325&lt;0,R325&lt;0),5,0),0)</f>
        <v>0</v>
      </c>
      <c r="AD325" s="35">
        <v>0</v>
      </c>
      <c r="AE325" s="41" t="s">
        <v>49</v>
      </c>
      <c r="AF325" s="38" t="str">
        <f>IF(Tabla_Auditorias[[#This Row],[TOTAL
COSTO
NETO]]&lt;&gt;0,"Si","No")</f>
        <v>No</v>
      </c>
      <c r="AG325" s="39" t="s">
        <v>221</v>
      </c>
      <c r="AH325" s="40"/>
      <c r="AI325" s="51" t="str">
        <f t="shared" ref="AI325:AI388" si="34">IFERROR(IF(V325&lt;0,ABS(AH325/V325),""),"")</f>
        <v/>
      </c>
      <c r="AJ325" s="38" t="str">
        <f t="shared" ref="AJ325:AJ388" si="35">IF(V325&gt;0,"No Aplica",IF(AND(V325&lt;0,AH325=0),"Pendiente",IF(AND(AH325&gt;0,AH325&gt;=ABS(V325)),"Cobrado Total",IF(AND(AH325&gt;0,AH325&lt;ABS(V325)),"Cobrado Parcial","Pendiente"))))</f>
        <v>Pendiente</v>
      </c>
    </row>
    <row r="326" spans="1:36" s="31" customFormat="1" ht="25.5" customHeight="1" x14ac:dyDescent="0.2">
      <c r="A326" s="32">
        <v>322</v>
      </c>
      <c r="B326" s="33" t="s">
        <v>160</v>
      </c>
      <c r="C326" s="32" t="s">
        <v>51</v>
      </c>
      <c r="D326" s="32" t="s">
        <v>52</v>
      </c>
      <c r="E326" s="32" t="s">
        <v>53</v>
      </c>
      <c r="F326" s="32">
        <v>1739</v>
      </c>
      <c r="G326" s="33" t="s">
        <v>54</v>
      </c>
      <c r="H326" s="32" t="s">
        <v>47</v>
      </c>
      <c r="I326" s="32"/>
      <c r="J326" s="34">
        <v>45932</v>
      </c>
      <c r="K326" s="34">
        <v>45932</v>
      </c>
      <c r="L326" s="32" t="s">
        <v>48</v>
      </c>
      <c r="M326" s="48">
        <v>24926.15</v>
      </c>
      <c r="N326" s="48">
        <v>0</v>
      </c>
      <c r="O326" s="48">
        <v>-26.1</v>
      </c>
      <c r="P326" s="48">
        <v>0</v>
      </c>
      <c r="Q326" s="48">
        <v>0</v>
      </c>
      <c r="R326" s="48">
        <v>0</v>
      </c>
      <c r="S326" s="48"/>
      <c r="T326" s="48">
        <f t="shared" si="30"/>
        <v>-26.1</v>
      </c>
      <c r="U326" s="48">
        <f t="shared" si="31"/>
        <v>-26.1</v>
      </c>
      <c r="V326" s="49">
        <f>+Tabla_Auditorias[[#This Row],[AJUSTE
EGRESO
COSTO]]+Tabla_Auditorias[[#This Row],[AJUSTE EGRESO
MAL ESTADO]]+Tabla_Auditorias[[#This Row],[AJUSTE
INGRESO
COSTO]]</f>
        <v>-13.351000000000001</v>
      </c>
      <c r="W326" s="48">
        <v>-13.351000000000001</v>
      </c>
      <c r="X326" s="48"/>
      <c r="Y326" s="48"/>
      <c r="Z326" s="48">
        <v>0</v>
      </c>
      <c r="AA326" s="50">
        <f>+SUM(Tabla_Auditorias[[#This Row],[AJUSTE
EGRESO
COSTO]:[AJUSTE
INGRESO
COSTO]])</f>
        <v>-13.351000000000001</v>
      </c>
      <c r="AB326" s="36" t="str">
        <f t="shared" si="32"/>
        <v>MEDIO</v>
      </c>
      <c r="AC326" s="37">
        <f t="shared" si="33"/>
        <v>20</v>
      </c>
      <c r="AD326" s="35">
        <v>0</v>
      </c>
      <c r="AE326" s="41" t="s">
        <v>49</v>
      </c>
      <c r="AF326" s="38" t="str">
        <f>IF(Tabla_Auditorias[[#This Row],[TOTAL
COSTO
NETO]]&lt;&gt;0,"Si","No")</f>
        <v>Si</v>
      </c>
      <c r="AG326" s="39" t="s">
        <v>348</v>
      </c>
      <c r="AH326" s="40"/>
      <c r="AI326" s="51">
        <f t="shared" si="34"/>
        <v>0</v>
      </c>
      <c r="AJ326" s="38" t="str">
        <f t="shared" si="35"/>
        <v>Pendiente</v>
      </c>
    </row>
    <row r="327" spans="1:36" s="31" customFormat="1" ht="25.5" customHeight="1" x14ac:dyDescent="0.2">
      <c r="A327" s="32">
        <v>323</v>
      </c>
      <c r="B327" s="33" t="s">
        <v>91</v>
      </c>
      <c r="C327" s="32" t="s">
        <v>43</v>
      </c>
      <c r="D327" s="32" t="s">
        <v>44</v>
      </c>
      <c r="E327" s="32" t="s">
        <v>53</v>
      </c>
      <c r="F327" s="32">
        <v>1518</v>
      </c>
      <c r="G327" s="33" t="s">
        <v>54</v>
      </c>
      <c r="H327" s="32" t="s">
        <v>47</v>
      </c>
      <c r="I327" s="32"/>
      <c r="J327" s="34">
        <v>45934</v>
      </c>
      <c r="K327" s="34">
        <v>45934</v>
      </c>
      <c r="L327" s="32" t="s">
        <v>48</v>
      </c>
      <c r="M327" s="48">
        <v>88061.49</v>
      </c>
      <c r="N327" s="48">
        <v>89.58</v>
      </c>
      <c r="O327" s="48">
        <v>-193.62</v>
      </c>
      <c r="P327" s="48">
        <v>-25.31</v>
      </c>
      <c r="Q327" s="48">
        <v>0</v>
      </c>
      <c r="R327" s="48">
        <v>0</v>
      </c>
      <c r="S327" s="48"/>
      <c r="T327" s="48">
        <f t="shared" si="30"/>
        <v>-129.35</v>
      </c>
      <c r="U327" s="48">
        <f t="shared" si="31"/>
        <v>-129.35</v>
      </c>
      <c r="V327" s="49">
        <f>+Tabla_Auditorias[[#This Row],[AJUSTE
EGRESO
COSTO]]+Tabla_Auditorias[[#This Row],[AJUSTE EGRESO
MAL ESTADO]]+Tabla_Auditorias[[#This Row],[AJUSTE
INGRESO
COSTO]]</f>
        <v>-92.41170000000001</v>
      </c>
      <c r="W327" s="48">
        <v>-186.96170000000001</v>
      </c>
      <c r="X327" s="48"/>
      <c r="Y327" s="48"/>
      <c r="Z327" s="48">
        <v>94.55</v>
      </c>
      <c r="AA327" s="50">
        <f>+SUM(Tabla_Auditorias[[#This Row],[AJUSTE
EGRESO
COSTO]:[AJUSTE
INGRESO
COSTO]])</f>
        <v>-92.41170000000001</v>
      </c>
      <c r="AB327" s="36" t="str">
        <f t="shared" si="32"/>
        <v>MEDIO</v>
      </c>
      <c r="AC327" s="37">
        <f t="shared" si="33"/>
        <v>20</v>
      </c>
      <c r="AD327" s="35">
        <v>0</v>
      </c>
      <c r="AE327" s="41" t="s">
        <v>49</v>
      </c>
      <c r="AF327" s="38" t="str">
        <f>IF(Tabla_Auditorias[[#This Row],[TOTAL
COSTO
NETO]]&lt;&gt;0,"Si","No")</f>
        <v>Si</v>
      </c>
      <c r="AG327" s="39" t="s">
        <v>349</v>
      </c>
      <c r="AH327" s="40"/>
      <c r="AI327" s="51">
        <f t="shared" si="34"/>
        <v>0</v>
      </c>
      <c r="AJ327" s="38" t="str">
        <f t="shared" si="35"/>
        <v>Pendiente</v>
      </c>
    </row>
    <row r="328" spans="1:36" s="31" customFormat="1" ht="25.5" customHeight="1" x14ac:dyDescent="0.2">
      <c r="A328" s="32">
        <v>324</v>
      </c>
      <c r="B328" s="33" t="s">
        <v>118</v>
      </c>
      <c r="C328" s="32" t="s">
        <v>43</v>
      </c>
      <c r="D328" s="32" t="s">
        <v>44</v>
      </c>
      <c r="E328" s="32" t="s">
        <v>53</v>
      </c>
      <c r="F328" s="32">
        <v>1507</v>
      </c>
      <c r="G328" s="33" t="s">
        <v>54</v>
      </c>
      <c r="H328" s="32" t="s">
        <v>47</v>
      </c>
      <c r="I328" s="32"/>
      <c r="J328" s="34">
        <v>45936</v>
      </c>
      <c r="K328" s="34">
        <v>45936</v>
      </c>
      <c r="L328" s="32" t="s">
        <v>48</v>
      </c>
      <c r="M328" s="48">
        <v>67001.710000000006</v>
      </c>
      <c r="N328" s="48">
        <v>0</v>
      </c>
      <c r="O328" s="48">
        <v>0</v>
      </c>
      <c r="P328" s="48">
        <v>0</v>
      </c>
      <c r="Q328" s="48">
        <v>0</v>
      </c>
      <c r="R328" s="48">
        <v>0</v>
      </c>
      <c r="S328" s="48"/>
      <c r="T328" s="48">
        <f t="shared" si="30"/>
        <v>0</v>
      </c>
      <c r="U328" s="48">
        <f t="shared" si="31"/>
        <v>0</v>
      </c>
      <c r="V328" s="49">
        <f>+Tabla_Auditorias[[#This Row],[AJUSTE
EGRESO
COSTO]]+Tabla_Auditorias[[#This Row],[AJUSTE EGRESO
MAL ESTADO]]+Tabla_Auditorias[[#This Row],[AJUSTE
INGRESO
COSTO]]</f>
        <v>0</v>
      </c>
      <c r="W328" s="48">
        <v>-68.040000000000006</v>
      </c>
      <c r="X328" s="48"/>
      <c r="Y328" s="48"/>
      <c r="Z328" s="48">
        <v>68.040000000000006</v>
      </c>
      <c r="AA328" s="50">
        <f>+SUM(Tabla_Auditorias[[#This Row],[AJUSTE
EGRESO
COSTO]:[AJUSTE
INGRESO
COSTO]])</f>
        <v>0</v>
      </c>
      <c r="AB328" s="36" t="str">
        <f t="shared" si="32"/>
        <v>BAJO</v>
      </c>
      <c r="AC328" s="37">
        <f t="shared" si="33"/>
        <v>0</v>
      </c>
      <c r="AD328" s="35">
        <v>0</v>
      </c>
      <c r="AE328" s="41" t="s">
        <v>49</v>
      </c>
      <c r="AF328" s="38" t="str">
        <f>IF(Tabla_Auditorias[[#This Row],[TOTAL
COSTO
NETO]]&lt;&gt;0,"Si","No")</f>
        <v>No</v>
      </c>
      <c r="AG328" s="39" t="s">
        <v>350</v>
      </c>
      <c r="AH328" s="40"/>
      <c r="AI328" s="51" t="str">
        <f t="shared" si="34"/>
        <v/>
      </c>
      <c r="AJ328" s="38" t="str">
        <f t="shared" si="35"/>
        <v>Pendiente</v>
      </c>
    </row>
    <row r="329" spans="1:36" s="31" customFormat="1" ht="25.5" customHeight="1" x14ac:dyDescent="0.2">
      <c r="A329" s="32">
        <v>325</v>
      </c>
      <c r="B329" s="33" t="s">
        <v>120</v>
      </c>
      <c r="C329" s="32" t="s">
        <v>43</v>
      </c>
      <c r="D329" s="32" t="s">
        <v>44</v>
      </c>
      <c r="E329" s="32" t="s">
        <v>58</v>
      </c>
      <c r="F329" s="32">
        <v>1500</v>
      </c>
      <c r="G329" s="33" t="s">
        <v>59</v>
      </c>
      <c r="H329" s="32" t="s">
        <v>47</v>
      </c>
      <c r="I329" s="32"/>
      <c r="J329" s="34">
        <v>45938</v>
      </c>
      <c r="K329" s="34">
        <v>45938</v>
      </c>
      <c r="L329" s="32" t="s">
        <v>48</v>
      </c>
      <c r="M329" s="48">
        <v>278306.46000000002</v>
      </c>
      <c r="N329" s="48">
        <v>437.77</v>
      </c>
      <c r="O329" s="48">
        <v>-1471.73</v>
      </c>
      <c r="P329" s="48">
        <v>-85.92</v>
      </c>
      <c r="Q329" s="48">
        <v>-418.44</v>
      </c>
      <c r="R329" s="48">
        <v>0</v>
      </c>
      <c r="S329" s="48"/>
      <c r="T329" s="48">
        <f t="shared" si="30"/>
        <v>-1538.3200000000002</v>
      </c>
      <c r="U329" s="48">
        <f t="shared" si="31"/>
        <v>-1538.3200000000002</v>
      </c>
      <c r="V329" s="49">
        <f>+Tabla_Auditorias[[#This Row],[AJUSTE
EGRESO
COSTO]]+Tabla_Auditorias[[#This Row],[AJUSTE EGRESO
MAL ESTADO]]+Tabla_Auditorias[[#This Row],[AJUSTE
INGRESO
COSTO]]</f>
        <v>-668.43000000000006</v>
      </c>
      <c r="W329" s="48">
        <v>-2199.54</v>
      </c>
      <c r="X329" s="48"/>
      <c r="Y329" s="48"/>
      <c r="Z329" s="48">
        <v>1531.11</v>
      </c>
      <c r="AA329" s="50">
        <f>+SUM(Tabla_Auditorias[[#This Row],[AJUSTE
EGRESO
COSTO]:[AJUSTE
INGRESO
COSTO]])</f>
        <v>-668.43000000000006</v>
      </c>
      <c r="AB329" s="36" t="str">
        <f t="shared" si="32"/>
        <v>ALTO</v>
      </c>
      <c r="AC329" s="37">
        <f t="shared" si="33"/>
        <v>37</v>
      </c>
      <c r="AD329" s="35">
        <v>0</v>
      </c>
      <c r="AE329" s="41" t="s">
        <v>49</v>
      </c>
      <c r="AF329" s="38" t="str">
        <f>IF(Tabla_Auditorias[[#This Row],[TOTAL
COSTO
NETO]]&lt;&gt;0,"Si","No")</f>
        <v>Si</v>
      </c>
      <c r="AG329" s="39" t="s">
        <v>351</v>
      </c>
      <c r="AH329" s="40"/>
      <c r="AI329" s="51">
        <f t="shared" si="34"/>
        <v>0</v>
      </c>
      <c r="AJ329" s="38" t="str">
        <f t="shared" si="35"/>
        <v>Pendiente</v>
      </c>
    </row>
    <row r="330" spans="1:36" s="31" customFormat="1" ht="25.5" customHeight="1" x14ac:dyDescent="0.2">
      <c r="A330" s="32">
        <v>326</v>
      </c>
      <c r="B330" s="33" t="s">
        <v>61</v>
      </c>
      <c r="C330" s="32" t="s">
        <v>43</v>
      </c>
      <c r="D330" s="32" t="s">
        <v>44</v>
      </c>
      <c r="E330" s="32" t="s">
        <v>53</v>
      </c>
      <c r="F330" s="32">
        <v>1513</v>
      </c>
      <c r="G330" s="33" t="s">
        <v>54</v>
      </c>
      <c r="H330" s="32" t="s">
        <v>47</v>
      </c>
      <c r="I330" s="32"/>
      <c r="J330" s="34">
        <v>45938</v>
      </c>
      <c r="K330" s="34">
        <v>45938</v>
      </c>
      <c r="L330" s="32" t="s">
        <v>48</v>
      </c>
      <c r="M330" s="48">
        <v>168693.65</v>
      </c>
      <c r="N330" s="48">
        <v>0</v>
      </c>
      <c r="O330" s="48">
        <v>-297.66000000000003</v>
      </c>
      <c r="P330" s="48">
        <v>-20.51</v>
      </c>
      <c r="Q330" s="48">
        <v>-244.73</v>
      </c>
      <c r="R330" s="48">
        <v>0</v>
      </c>
      <c r="S330" s="48"/>
      <c r="T330" s="48">
        <f t="shared" si="30"/>
        <v>-562.9</v>
      </c>
      <c r="U330" s="48">
        <f t="shared" si="31"/>
        <v>-562.9</v>
      </c>
      <c r="V330" s="49">
        <f>+Tabla_Auditorias[[#This Row],[AJUSTE
EGRESO
COSTO]]+Tabla_Auditorias[[#This Row],[AJUSTE EGRESO
MAL ESTADO]]+Tabla_Auditorias[[#This Row],[AJUSTE
INGRESO
COSTO]]</f>
        <v>-363.851</v>
      </c>
      <c r="W330" s="48">
        <v>-475.69099999999997</v>
      </c>
      <c r="X330" s="48"/>
      <c r="Y330" s="48"/>
      <c r="Z330" s="48">
        <v>111.84</v>
      </c>
      <c r="AA330" s="50">
        <f>+SUM(Tabla_Auditorias[[#This Row],[AJUSTE
EGRESO
COSTO]:[AJUSTE
INGRESO
COSTO]])</f>
        <v>-363.851</v>
      </c>
      <c r="AB330" s="36" t="str">
        <f t="shared" si="32"/>
        <v>ALTO</v>
      </c>
      <c r="AC330" s="37">
        <f t="shared" si="33"/>
        <v>37</v>
      </c>
      <c r="AD330" s="35">
        <v>0</v>
      </c>
      <c r="AE330" s="41" t="s">
        <v>49</v>
      </c>
      <c r="AF330" s="38" t="str">
        <f>IF(Tabla_Auditorias[[#This Row],[TOTAL
COSTO
NETO]]&lt;&gt;0,"Si","No")</f>
        <v>Si</v>
      </c>
      <c r="AG330" s="39" t="s">
        <v>352</v>
      </c>
      <c r="AH330" s="40"/>
      <c r="AI330" s="51">
        <f t="shared" si="34"/>
        <v>0</v>
      </c>
      <c r="AJ330" s="38" t="str">
        <f t="shared" si="35"/>
        <v>Pendiente</v>
      </c>
    </row>
    <row r="331" spans="1:36" s="31" customFormat="1" ht="25.5" customHeight="1" x14ac:dyDescent="0.2">
      <c r="A331" s="32">
        <v>327</v>
      </c>
      <c r="B331" s="33" t="s">
        <v>283</v>
      </c>
      <c r="C331" s="32" t="s">
        <v>51</v>
      </c>
      <c r="D331" s="32" t="s">
        <v>57</v>
      </c>
      <c r="E331" s="32" t="s">
        <v>53</v>
      </c>
      <c r="F331" s="32">
        <v>1721</v>
      </c>
      <c r="G331" s="33" t="s">
        <v>54</v>
      </c>
      <c r="H331" s="32" t="s">
        <v>47</v>
      </c>
      <c r="I331" s="32"/>
      <c r="J331" s="34">
        <v>45941</v>
      </c>
      <c r="K331" s="34">
        <v>45941</v>
      </c>
      <c r="L331" s="32" t="s">
        <v>48</v>
      </c>
      <c r="M331" s="48">
        <v>108753.1</v>
      </c>
      <c r="N331" s="48">
        <v>0</v>
      </c>
      <c r="O331" s="48">
        <v>0</v>
      </c>
      <c r="P331" s="48">
        <v>0</v>
      </c>
      <c r="Q331" s="48">
        <v>0</v>
      </c>
      <c r="R331" s="48">
        <v>0</v>
      </c>
      <c r="S331" s="48"/>
      <c r="T331" s="48">
        <f t="shared" si="30"/>
        <v>0</v>
      </c>
      <c r="U331" s="48">
        <f t="shared" si="31"/>
        <v>0</v>
      </c>
      <c r="V331" s="49">
        <f>+Tabla_Auditorias[[#This Row],[AJUSTE
EGRESO
COSTO]]+Tabla_Auditorias[[#This Row],[AJUSTE EGRESO
MAL ESTADO]]+Tabla_Auditorias[[#This Row],[AJUSTE
INGRESO
COSTO]]</f>
        <v>0</v>
      </c>
      <c r="W331" s="48">
        <v>0</v>
      </c>
      <c r="X331" s="48"/>
      <c r="Y331" s="48"/>
      <c r="Z331" s="48">
        <v>0</v>
      </c>
      <c r="AA331" s="50">
        <f>+SUM(Tabla_Auditorias[[#This Row],[AJUSTE
EGRESO
COSTO]:[AJUSTE
INGRESO
COSTO]])</f>
        <v>0</v>
      </c>
      <c r="AB331" s="36" t="str">
        <f t="shared" si="32"/>
        <v>BAJO</v>
      </c>
      <c r="AC331" s="37">
        <f t="shared" si="33"/>
        <v>0</v>
      </c>
      <c r="AD331" s="35">
        <v>0</v>
      </c>
      <c r="AE331" s="41" t="s">
        <v>49</v>
      </c>
      <c r="AF331" s="38" t="str">
        <f>IF(Tabla_Auditorias[[#This Row],[TOTAL
COSTO
NETO]]&lt;&gt;0,"Si","No")</f>
        <v>No</v>
      </c>
      <c r="AG331" s="39" t="s">
        <v>221</v>
      </c>
      <c r="AH331" s="40"/>
      <c r="AI331" s="51" t="str">
        <f t="shared" si="34"/>
        <v/>
      </c>
      <c r="AJ331" s="38" t="str">
        <f t="shared" si="35"/>
        <v>Pendiente</v>
      </c>
    </row>
    <row r="332" spans="1:36" s="31" customFormat="1" ht="25.5" customHeight="1" x14ac:dyDescent="0.2">
      <c r="A332" s="32">
        <v>328</v>
      </c>
      <c r="B332" s="33" t="s">
        <v>50</v>
      </c>
      <c r="C332" s="32" t="s">
        <v>51</v>
      </c>
      <c r="D332" s="32" t="s">
        <v>52</v>
      </c>
      <c r="E332" s="32" t="s">
        <v>53</v>
      </c>
      <c r="F332" s="32">
        <v>1732</v>
      </c>
      <c r="G332" s="33" t="s">
        <v>54</v>
      </c>
      <c r="H332" s="32" t="s">
        <v>47</v>
      </c>
      <c r="I332" s="32"/>
      <c r="J332" s="34">
        <v>45946</v>
      </c>
      <c r="K332" s="34">
        <v>45946</v>
      </c>
      <c r="L332" s="32" t="s">
        <v>48</v>
      </c>
      <c r="M332" s="48">
        <v>50441.81</v>
      </c>
      <c r="N332" s="48">
        <v>0</v>
      </c>
      <c r="O332" s="48">
        <v>0</v>
      </c>
      <c r="P332" s="48">
        <v>0</v>
      </c>
      <c r="Q332" s="48">
        <v>0</v>
      </c>
      <c r="R332" s="48">
        <v>0</v>
      </c>
      <c r="S332" s="48"/>
      <c r="T332" s="48">
        <f t="shared" si="30"/>
        <v>0</v>
      </c>
      <c r="U332" s="48">
        <f t="shared" si="31"/>
        <v>0</v>
      </c>
      <c r="V332" s="49">
        <f>+Tabla_Auditorias[[#This Row],[AJUSTE
EGRESO
COSTO]]+Tabla_Auditorias[[#This Row],[AJUSTE EGRESO
MAL ESTADO]]+Tabla_Auditorias[[#This Row],[AJUSTE
INGRESO
COSTO]]</f>
        <v>0</v>
      </c>
      <c r="W332" s="48">
        <v>0</v>
      </c>
      <c r="X332" s="48"/>
      <c r="Y332" s="48"/>
      <c r="Z332" s="48">
        <v>0</v>
      </c>
      <c r="AA332" s="50">
        <f>+SUM(Tabla_Auditorias[[#This Row],[AJUSTE
EGRESO
COSTO]:[AJUSTE
INGRESO
COSTO]])</f>
        <v>0</v>
      </c>
      <c r="AB332" s="36" t="str">
        <f t="shared" si="32"/>
        <v>BAJO</v>
      </c>
      <c r="AC332" s="37">
        <f t="shared" si="33"/>
        <v>0</v>
      </c>
      <c r="AD332" s="35">
        <v>0</v>
      </c>
      <c r="AE332" s="41" t="s">
        <v>49</v>
      </c>
      <c r="AF332" s="38" t="str">
        <f>IF(Tabla_Auditorias[[#This Row],[TOTAL
COSTO
NETO]]&lt;&gt;0,"Si","No")</f>
        <v>No</v>
      </c>
      <c r="AG332" s="39" t="s">
        <v>221</v>
      </c>
      <c r="AH332" s="40"/>
      <c r="AI332" s="51" t="str">
        <f t="shared" si="34"/>
        <v/>
      </c>
      <c r="AJ332" s="38" t="str">
        <f t="shared" si="35"/>
        <v>Pendiente</v>
      </c>
    </row>
    <row r="333" spans="1:36" s="31" customFormat="1" ht="25.5" customHeight="1" x14ac:dyDescent="0.2">
      <c r="A333" s="32">
        <v>329</v>
      </c>
      <c r="B333" s="33" t="s">
        <v>222</v>
      </c>
      <c r="C333" s="32" t="s">
        <v>43</v>
      </c>
      <c r="D333" s="32" t="s">
        <v>44</v>
      </c>
      <c r="E333" s="32" t="s">
        <v>58</v>
      </c>
      <c r="F333" s="32">
        <v>1501</v>
      </c>
      <c r="G333" s="33" t="s">
        <v>59</v>
      </c>
      <c r="H333" s="32" t="s">
        <v>47</v>
      </c>
      <c r="I333" s="32"/>
      <c r="J333" s="34">
        <v>45948</v>
      </c>
      <c r="K333" s="34">
        <v>45948</v>
      </c>
      <c r="L333" s="32" t="s">
        <v>48</v>
      </c>
      <c r="M333" s="48">
        <v>240939.41</v>
      </c>
      <c r="N333" s="48">
        <v>164.32</v>
      </c>
      <c r="O333" s="48">
        <v>-2704.79</v>
      </c>
      <c r="P333" s="48">
        <v>-0.5</v>
      </c>
      <c r="Q333" s="48">
        <v>-197.92</v>
      </c>
      <c r="R333" s="48">
        <v>0</v>
      </c>
      <c r="S333" s="48"/>
      <c r="T333" s="48">
        <f t="shared" si="30"/>
        <v>-2738.89</v>
      </c>
      <c r="U333" s="48">
        <f t="shared" si="31"/>
        <v>-2738.89</v>
      </c>
      <c r="V333" s="49">
        <f>+Tabla_Auditorias[[#This Row],[AJUSTE
EGRESO
COSTO]]+Tabla_Auditorias[[#This Row],[AJUSTE EGRESO
MAL ESTADO]]+Tabla_Auditorias[[#This Row],[AJUSTE
INGRESO
COSTO]]</f>
        <v>-1157.67</v>
      </c>
      <c r="W333" s="48">
        <v>-1450.13</v>
      </c>
      <c r="X333" s="48"/>
      <c r="Y333" s="48"/>
      <c r="Z333" s="48">
        <v>292.45999999999998</v>
      </c>
      <c r="AA333" s="50">
        <f>+SUM(Tabla_Auditorias[[#This Row],[AJUSTE
EGRESO
COSTO]:[AJUSTE
INGRESO
COSTO]])</f>
        <v>-1157.67</v>
      </c>
      <c r="AB333" s="36" t="str">
        <f t="shared" si="32"/>
        <v>ALTO</v>
      </c>
      <c r="AC333" s="37">
        <f t="shared" si="33"/>
        <v>60</v>
      </c>
      <c r="AD333" s="35">
        <v>0</v>
      </c>
      <c r="AE333" s="41" t="s">
        <v>353</v>
      </c>
      <c r="AF333" s="38" t="str">
        <f>IF(Tabla_Auditorias[[#This Row],[TOTAL
COSTO
NETO]]&lt;&gt;0,"Si","No")</f>
        <v>Si</v>
      </c>
      <c r="AG333" s="39" t="s">
        <v>354</v>
      </c>
      <c r="AH333" s="40"/>
      <c r="AI333" s="51">
        <f t="shared" si="34"/>
        <v>0</v>
      </c>
      <c r="AJ333" s="38" t="str">
        <f t="shared" si="35"/>
        <v>Pendiente</v>
      </c>
    </row>
    <row r="334" spans="1:36" s="31" customFormat="1" ht="25.5" customHeight="1" x14ac:dyDescent="0.2">
      <c r="A334" s="32">
        <v>330</v>
      </c>
      <c r="B334" s="33" t="s">
        <v>97</v>
      </c>
      <c r="C334" s="32" t="s">
        <v>51</v>
      </c>
      <c r="D334" s="32" t="s">
        <v>57</v>
      </c>
      <c r="E334" s="32" t="s">
        <v>53</v>
      </c>
      <c r="F334" s="32">
        <v>1701</v>
      </c>
      <c r="G334" s="33" t="s">
        <v>54</v>
      </c>
      <c r="H334" s="32" t="s">
        <v>47</v>
      </c>
      <c r="I334" s="32"/>
      <c r="J334" s="34">
        <v>45951</v>
      </c>
      <c r="K334" s="34">
        <v>45951</v>
      </c>
      <c r="L334" s="32" t="s">
        <v>48</v>
      </c>
      <c r="M334" s="48">
        <v>137539.19</v>
      </c>
      <c r="N334" s="48">
        <v>0</v>
      </c>
      <c r="O334" s="48">
        <v>0</v>
      </c>
      <c r="P334" s="48">
        <v>0</v>
      </c>
      <c r="Q334" s="48">
        <v>0</v>
      </c>
      <c r="R334" s="48">
        <v>-327.87</v>
      </c>
      <c r="S334" s="48"/>
      <c r="T334" s="48">
        <f t="shared" si="30"/>
        <v>-327.87</v>
      </c>
      <c r="U334" s="48">
        <f t="shared" si="31"/>
        <v>0</v>
      </c>
      <c r="V334" s="49">
        <f>+Tabla_Auditorias[[#This Row],[AJUSTE
EGRESO
COSTO]]+Tabla_Auditorias[[#This Row],[AJUSTE EGRESO
MAL ESTADO]]+Tabla_Auditorias[[#This Row],[AJUSTE
INGRESO
COSTO]]</f>
        <v>0</v>
      </c>
      <c r="W334" s="48">
        <v>0</v>
      </c>
      <c r="X334" s="48"/>
      <c r="Y334" s="48"/>
      <c r="Z334" s="48">
        <v>0</v>
      </c>
      <c r="AA334" s="50">
        <f>+SUM(Tabla_Auditorias[[#This Row],[AJUSTE
EGRESO
COSTO]:[AJUSTE
INGRESO
COSTO]])</f>
        <v>0</v>
      </c>
      <c r="AB334" s="36" t="str">
        <f t="shared" si="32"/>
        <v>BAJO</v>
      </c>
      <c r="AC334" s="37">
        <f t="shared" si="33"/>
        <v>5</v>
      </c>
      <c r="AD334" s="35">
        <v>0</v>
      </c>
      <c r="AE334" s="41" t="s">
        <v>49</v>
      </c>
      <c r="AF334" s="38" t="str">
        <f>IF(Tabla_Auditorias[[#This Row],[TOTAL
COSTO
NETO]]&lt;&gt;0,"Si","No")</f>
        <v>No</v>
      </c>
      <c r="AG334" s="39" t="s">
        <v>355</v>
      </c>
      <c r="AH334" s="40"/>
      <c r="AI334" s="51" t="str">
        <f t="shared" si="34"/>
        <v/>
      </c>
      <c r="AJ334" s="38" t="str">
        <f t="shared" si="35"/>
        <v>Pendiente</v>
      </c>
    </row>
    <row r="335" spans="1:36" s="31" customFormat="1" ht="25.5" customHeight="1" x14ac:dyDescent="0.2">
      <c r="A335" s="32">
        <v>331</v>
      </c>
      <c r="B335" s="33" t="s">
        <v>63</v>
      </c>
      <c r="C335" s="32" t="s">
        <v>51</v>
      </c>
      <c r="D335" s="32" t="s">
        <v>64</v>
      </c>
      <c r="E335" s="32" t="s">
        <v>53</v>
      </c>
      <c r="F335" s="32">
        <v>1729</v>
      </c>
      <c r="G335" s="33" t="s">
        <v>54</v>
      </c>
      <c r="H335" s="32" t="s">
        <v>47</v>
      </c>
      <c r="I335" s="32"/>
      <c r="J335" s="34">
        <v>45952</v>
      </c>
      <c r="K335" s="34">
        <v>45952</v>
      </c>
      <c r="L335" s="32" t="s">
        <v>48</v>
      </c>
      <c r="M335" s="48">
        <v>199793.82</v>
      </c>
      <c r="N335" s="48">
        <v>0</v>
      </c>
      <c r="O335" s="48">
        <v>0</v>
      </c>
      <c r="P335" s="48">
        <v>0</v>
      </c>
      <c r="Q335" s="48">
        <v>0</v>
      </c>
      <c r="R335" s="48">
        <v>0</v>
      </c>
      <c r="S335" s="48"/>
      <c r="T335" s="48">
        <f t="shared" si="30"/>
        <v>0</v>
      </c>
      <c r="U335" s="48">
        <f t="shared" si="31"/>
        <v>0</v>
      </c>
      <c r="V335" s="49">
        <f>+Tabla_Auditorias[[#This Row],[AJUSTE
EGRESO
COSTO]]+Tabla_Auditorias[[#This Row],[AJUSTE EGRESO
MAL ESTADO]]+Tabla_Auditorias[[#This Row],[AJUSTE
INGRESO
COSTO]]</f>
        <v>0</v>
      </c>
      <c r="W335" s="48">
        <v>0</v>
      </c>
      <c r="X335" s="48"/>
      <c r="Y335" s="48"/>
      <c r="Z335" s="48">
        <v>0</v>
      </c>
      <c r="AA335" s="50">
        <f>+SUM(Tabla_Auditorias[[#This Row],[AJUSTE
EGRESO
COSTO]:[AJUSTE
INGRESO
COSTO]])</f>
        <v>0</v>
      </c>
      <c r="AB335" s="36" t="str">
        <f t="shared" si="32"/>
        <v>BAJO</v>
      </c>
      <c r="AC335" s="37">
        <f t="shared" si="33"/>
        <v>0</v>
      </c>
      <c r="AD335" s="35">
        <v>0</v>
      </c>
      <c r="AE335" s="41" t="s">
        <v>49</v>
      </c>
      <c r="AF335" s="38" t="str">
        <f>IF(Tabla_Auditorias[[#This Row],[TOTAL
COSTO
NETO]]&lt;&gt;0,"Si","No")</f>
        <v>No</v>
      </c>
      <c r="AG335" s="39" t="s">
        <v>221</v>
      </c>
      <c r="AH335" s="40"/>
      <c r="AI335" s="51" t="str">
        <f t="shared" si="34"/>
        <v/>
      </c>
      <c r="AJ335" s="38" t="str">
        <f t="shared" si="35"/>
        <v>Pendiente</v>
      </c>
    </row>
    <row r="336" spans="1:36" s="31" customFormat="1" ht="25.5" customHeight="1" x14ac:dyDescent="0.2">
      <c r="A336" s="32">
        <v>332</v>
      </c>
      <c r="B336" s="33" t="s">
        <v>160</v>
      </c>
      <c r="C336" s="32" t="s">
        <v>51</v>
      </c>
      <c r="D336" s="32" t="s">
        <v>52</v>
      </c>
      <c r="E336" s="32" t="s">
        <v>53</v>
      </c>
      <c r="F336" s="32">
        <v>1739</v>
      </c>
      <c r="G336" s="33" t="s">
        <v>54</v>
      </c>
      <c r="H336" s="32" t="s">
        <v>47</v>
      </c>
      <c r="I336" s="32"/>
      <c r="J336" s="34">
        <v>45952</v>
      </c>
      <c r="K336" s="34">
        <v>45952</v>
      </c>
      <c r="L336" s="32" t="s">
        <v>48</v>
      </c>
      <c r="M336" s="48">
        <v>26619.95</v>
      </c>
      <c r="N336" s="48">
        <v>0</v>
      </c>
      <c r="O336" s="48">
        <v>0</v>
      </c>
      <c r="P336" s="48">
        <v>0</v>
      </c>
      <c r="Q336" s="48">
        <v>0</v>
      </c>
      <c r="R336" s="48">
        <v>0</v>
      </c>
      <c r="S336" s="48"/>
      <c r="T336" s="48">
        <f t="shared" si="30"/>
        <v>0</v>
      </c>
      <c r="U336" s="48">
        <f t="shared" si="31"/>
        <v>0</v>
      </c>
      <c r="V336" s="49">
        <f>+Tabla_Auditorias[[#This Row],[AJUSTE
EGRESO
COSTO]]+Tabla_Auditorias[[#This Row],[AJUSTE EGRESO
MAL ESTADO]]+Tabla_Auditorias[[#This Row],[AJUSTE
INGRESO
COSTO]]</f>
        <v>0</v>
      </c>
      <c r="W336" s="48">
        <v>0</v>
      </c>
      <c r="X336" s="48"/>
      <c r="Y336" s="48"/>
      <c r="Z336" s="48">
        <v>0</v>
      </c>
      <c r="AA336" s="50">
        <f>+SUM(Tabla_Auditorias[[#This Row],[AJUSTE
EGRESO
COSTO]:[AJUSTE
INGRESO
COSTO]])</f>
        <v>0</v>
      </c>
      <c r="AB336" s="36" t="str">
        <f t="shared" si="32"/>
        <v>BAJO</v>
      </c>
      <c r="AC336" s="37">
        <f t="shared" si="33"/>
        <v>0</v>
      </c>
      <c r="AD336" s="35">
        <v>0</v>
      </c>
      <c r="AE336" s="41" t="s">
        <v>49</v>
      </c>
      <c r="AF336" s="38" t="str">
        <f>IF(Tabla_Auditorias[[#This Row],[TOTAL
COSTO
NETO]]&lt;&gt;0,"Si","No")</f>
        <v>No</v>
      </c>
      <c r="AG336" s="39" t="s">
        <v>221</v>
      </c>
      <c r="AH336" s="40"/>
      <c r="AI336" s="51" t="str">
        <f t="shared" si="34"/>
        <v/>
      </c>
      <c r="AJ336" s="38" t="str">
        <f t="shared" si="35"/>
        <v>Pendiente</v>
      </c>
    </row>
    <row r="337" spans="1:36" s="31" customFormat="1" ht="25.5" customHeight="1" x14ac:dyDescent="0.2">
      <c r="A337" s="32">
        <v>333</v>
      </c>
      <c r="B337" s="33" t="s">
        <v>152</v>
      </c>
      <c r="C337" s="32" t="s">
        <v>153</v>
      </c>
      <c r="D337" s="32" t="s">
        <v>89</v>
      </c>
      <c r="E337" s="32" t="s">
        <v>45</v>
      </c>
      <c r="F337" s="32">
        <v>3041</v>
      </c>
      <c r="G337" s="33" t="s">
        <v>314</v>
      </c>
      <c r="H337" s="32" t="s">
        <v>47</v>
      </c>
      <c r="I337" s="32"/>
      <c r="J337" s="34">
        <v>45952</v>
      </c>
      <c r="K337" s="34">
        <v>45952</v>
      </c>
      <c r="L337" s="32" t="s">
        <v>48</v>
      </c>
      <c r="M337" s="48">
        <v>19183.09</v>
      </c>
      <c r="N337" s="48">
        <v>112.28</v>
      </c>
      <c r="O337" s="48">
        <v>-64.62</v>
      </c>
      <c r="P337" s="48">
        <v>-0.18</v>
      </c>
      <c r="Q337" s="48">
        <v>0</v>
      </c>
      <c r="R337" s="48">
        <v>0</v>
      </c>
      <c r="S337" s="48"/>
      <c r="T337" s="48">
        <f t="shared" si="30"/>
        <v>47.48</v>
      </c>
      <c r="U337" s="48">
        <f t="shared" si="31"/>
        <v>47.48</v>
      </c>
      <c r="V337" s="49">
        <f>+Tabla_Auditorias[[#This Row],[AJUSTE
EGRESO
COSTO]]+Tabla_Auditorias[[#This Row],[AJUSTE EGRESO
MAL ESTADO]]+Tabla_Auditorias[[#This Row],[AJUSTE
INGRESO
COSTO]]</f>
        <v>48.2286</v>
      </c>
      <c r="W337" s="48">
        <v>-97.588999999999999</v>
      </c>
      <c r="X337" s="48"/>
      <c r="Y337" s="48"/>
      <c r="Z337" s="48">
        <v>145.8176</v>
      </c>
      <c r="AA337" s="50">
        <f>+SUM(Tabla_Auditorias[[#This Row],[AJUSTE
EGRESO
COSTO]:[AJUSTE
INGRESO
COSTO]])</f>
        <v>48.2286</v>
      </c>
      <c r="AB337" s="36" t="str">
        <f t="shared" si="32"/>
        <v>MEDIO</v>
      </c>
      <c r="AC337" s="37">
        <f t="shared" si="33"/>
        <v>20</v>
      </c>
      <c r="AD337" s="35">
        <v>0</v>
      </c>
      <c r="AE337" s="41" t="s">
        <v>49</v>
      </c>
      <c r="AF337" s="38" t="str">
        <f>IF(Tabla_Auditorias[[#This Row],[TOTAL
COSTO
NETO]]&lt;&gt;0,"Si","No")</f>
        <v>Si</v>
      </c>
      <c r="AG337" s="39" t="s">
        <v>356</v>
      </c>
      <c r="AH337" s="40"/>
      <c r="AI337" s="51" t="str">
        <f t="shared" si="34"/>
        <v/>
      </c>
      <c r="AJ337" s="38" t="str">
        <f t="shared" si="35"/>
        <v>No Aplica</v>
      </c>
    </row>
    <row r="338" spans="1:36" s="31" customFormat="1" ht="25.5" customHeight="1" x14ac:dyDescent="0.2">
      <c r="A338" s="32">
        <v>334</v>
      </c>
      <c r="B338" s="33" t="s">
        <v>220</v>
      </c>
      <c r="C338" s="32" t="s">
        <v>51</v>
      </c>
      <c r="D338" s="32" t="s">
        <v>52</v>
      </c>
      <c r="E338" s="32" t="s">
        <v>45</v>
      </c>
      <c r="F338" s="32">
        <v>1744</v>
      </c>
      <c r="G338" s="33" t="s">
        <v>314</v>
      </c>
      <c r="H338" s="32" t="s">
        <v>47</v>
      </c>
      <c r="I338" s="32"/>
      <c r="J338" s="34">
        <v>45955</v>
      </c>
      <c r="K338" s="34">
        <v>45955</v>
      </c>
      <c r="L338" s="32" t="s">
        <v>48</v>
      </c>
      <c r="M338" s="48">
        <v>13780.15</v>
      </c>
      <c r="N338" s="48">
        <v>0</v>
      </c>
      <c r="O338" s="48">
        <v>0</v>
      </c>
      <c r="P338" s="48">
        <v>0</v>
      </c>
      <c r="Q338" s="48">
        <v>0</v>
      </c>
      <c r="R338" s="48">
        <v>0</v>
      </c>
      <c r="S338" s="48"/>
      <c r="T338" s="48">
        <f t="shared" si="30"/>
        <v>0</v>
      </c>
      <c r="U338" s="48">
        <f t="shared" si="31"/>
        <v>0</v>
      </c>
      <c r="V338" s="49">
        <f>+Tabla_Auditorias[[#This Row],[AJUSTE
EGRESO
COSTO]]+Tabla_Auditorias[[#This Row],[AJUSTE EGRESO
MAL ESTADO]]+Tabla_Auditorias[[#This Row],[AJUSTE
INGRESO
COSTO]]</f>
        <v>0</v>
      </c>
      <c r="W338" s="48">
        <v>0</v>
      </c>
      <c r="X338" s="48"/>
      <c r="Y338" s="48"/>
      <c r="Z338" s="48">
        <v>0</v>
      </c>
      <c r="AA338" s="50">
        <f>+SUM(Tabla_Auditorias[[#This Row],[AJUSTE
EGRESO
COSTO]:[AJUSTE
INGRESO
COSTO]])</f>
        <v>0</v>
      </c>
      <c r="AB338" s="36" t="str">
        <f t="shared" si="32"/>
        <v>BAJO</v>
      </c>
      <c r="AC338" s="37">
        <f t="shared" si="33"/>
        <v>0</v>
      </c>
      <c r="AD338" s="35">
        <v>0</v>
      </c>
      <c r="AE338" s="41" t="s">
        <v>49</v>
      </c>
      <c r="AF338" s="38" t="str">
        <f>IF(Tabla_Auditorias[[#This Row],[TOTAL
COSTO
NETO]]&lt;&gt;0,"Si","No")</f>
        <v>No</v>
      </c>
      <c r="AG338" s="39" t="s">
        <v>357</v>
      </c>
      <c r="AH338" s="40"/>
      <c r="AI338" s="51" t="str">
        <f t="shared" si="34"/>
        <v/>
      </c>
      <c r="AJ338" s="38" t="str">
        <f t="shared" si="35"/>
        <v>Pendiente</v>
      </c>
    </row>
    <row r="339" spans="1:36" s="31" customFormat="1" ht="25.5" customHeight="1" x14ac:dyDescent="0.2">
      <c r="A339" s="32">
        <v>335</v>
      </c>
      <c r="B339" s="33" t="s">
        <v>77</v>
      </c>
      <c r="C339" s="32" t="s">
        <v>43</v>
      </c>
      <c r="D339" s="32" t="s">
        <v>44</v>
      </c>
      <c r="E339" s="32" t="s">
        <v>58</v>
      </c>
      <c r="F339" s="32">
        <v>1508</v>
      </c>
      <c r="G339" s="33" t="s">
        <v>59</v>
      </c>
      <c r="H339" s="32" t="s">
        <v>47</v>
      </c>
      <c r="I339" s="32"/>
      <c r="J339" s="34">
        <v>45955</v>
      </c>
      <c r="K339" s="34">
        <v>45955</v>
      </c>
      <c r="L339" s="32" t="s">
        <v>48</v>
      </c>
      <c r="M339" s="48">
        <v>341994.52</v>
      </c>
      <c r="N339" s="48">
        <v>744.52</v>
      </c>
      <c r="O339" s="48">
        <v>-2719.52</v>
      </c>
      <c r="P339" s="48">
        <v>-46.81</v>
      </c>
      <c r="Q339" s="48">
        <v>-27.26</v>
      </c>
      <c r="R339" s="48">
        <v>0</v>
      </c>
      <c r="S339" s="48"/>
      <c r="T339" s="48">
        <f t="shared" si="30"/>
        <v>-2049.0700000000002</v>
      </c>
      <c r="U339" s="48">
        <f t="shared" si="31"/>
        <v>-2049.0700000000002</v>
      </c>
      <c r="V339" s="49">
        <f>+Tabla_Auditorias[[#This Row],[AJUSTE
EGRESO
COSTO]]+Tabla_Auditorias[[#This Row],[AJUSTE EGRESO
MAL ESTADO]]+Tabla_Auditorias[[#This Row],[AJUSTE
INGRESO
COSTO]]</f>
        <v>-1169.3599999999997</v>
      </c>
      <c r="W339" s="48">
        <v>-4575.12</v>
      </c>
      <c r="X339" s="48"/>
      <c r="Y339" s="48"/>
      <c r="Z339" s="48">
        <v>3405.76</v>
      </c>
      <c r="AA339" s="50">
        <f>+SUM(Tabla_Auditorias[[#This Row],[AJUSTE
EGRESO
COSTO]:[AJUSTE
INGRESO
COSTO]])</f>
        <v>-1169.3599999999997</v>
      </c>
      <c r="AB339" s="36" t="str">
        <f t="shared" si="32"/>
        <v>ALTO</v>
      </c>
      <c r="AC339" s="37">
        <f t="shared" si="33"/>
        <v>45</v>
      </c>
      <c r="AD339" s="35">
        <v>0</v>
      </c>
      <c r="AE339" s="41" t="s">
        <v>49</v>
      </c>
      <c r="AF339" s="38" t="str">
        <f>IF(Tabla_Auditorias[[#This Row],[TOTAL
COSTO
NETO]]&lt;&gt;0,"Si","No")</f>
        <v>Si</v>
      </c>
      <c r="AG339" s="39" t="s">
        <v>358</v>
      </c>
      <c r="AH339" s="40"/>
      <c r="AI339" s="51">
        <f t="shared" si="34"/>
        <v>0</v>
      </c>
      <c r="AJ339" s="38" t="str">
        <f t="shared" si="35"/>
        <v>Pendiente</v>
      </c>
    </row>
    <row r="340" spans="1:36" s="31" customFormat="1" ht="25.5" customHeight="1" x14ac:dyDescent="0.2">
      <c r="A340" s="32">
        <v>336</v>
      </c>
      <c r="B340" s="33" t="s">
        <v>101</v>
      </c>
      <c r="C340" s="32" t="s">
        <v>51</v>
      </c>
      <c r="D340" s="32" t="s">
        <v>64</v>
      </c>
      <c r="E340" s="32" t="s">
        <v>53</v>
      </c>
      <c r="F340" s="32">
        <v>1724</v>
      </c>
      <c r="G340" s="33" t="s">
        <v>54</v>
      </c>
      <c r="H340" s="32" t="s">
        <v>47</v>
      </c>
      <c r="I340" s="32"/>
      <c r="J340" s="34">
        <v>45956</v>
      </c>
      <c r="K340" s="34">
        <v>45956</v>
      </c>
      <c r="L340" s="32" t="s">
        <v>48</v>
      </c>
      <c r="M340" s="48">
        <v>288595.78000000003</v>
      </c>
      <c r="N340" s="48">
        <v>0</v>
      </c>
      <c r="O340" s="48">
        <v>-158.03</v>
      </c>
      <c r="P340" s="48">
        <v>0</v>
      </c>
      <c r="Q340" s="48">
        <v>0</v>
      </c>
      <c r="R340" s="48">
        <v>0</v>
      </c>
      <c r="S340" s="48"/>
      <c r="T340" s="48">
        <f t="shared" si="30"/>
        <v>-158.03</v>
      </c>
      <c r="U340" s="48">
        <f t="shared" si="31"/>
        <v>-158.03</v>
      </c>
      <c r="V340" s="49">
        <f>+Tabla_Auditorias[[#This Row],[AJUSTE
EGRESO
COSTO]]+Tabla_Auditorias[[#This Row],[AJUSTE EGRESO
MAL ESTADO]]+Tabla_Auditorias[[#This Row],[AJUSTE
INGRESO
COSTO]]</f>
        <v>-105.8</v>
      </c>
      <c r="W340" s="48">
        <v>-211.6</v>
      </c>
      <c r="X340" s="48"/>
      <c r="Y340" s="48"/>
      <c r="Z340" s="48">
        <v>105.8</v>
      </c>
      <c r="AA340" s="50">
        <f>+SUM(Tabla_Auditorias[[#This Row],[AJUSTE
EGRESO
COSTO]:[AJUSTE
INGRESO
COSTO]])</f>
        <v>-105.8</v>
      </c>
      <c r="AB340" s="36" t="str">
        <f t="shared" si="32"/>
        <v>MEDIO</v>
      </c>
      <c r="AC340" s="37">
        <f t="shared" si="33"/>
        <v>20</v>
      </c>
      <c r="AD340" s="35">
        <v>0</v>
      </c>
      <c r="AE340" s="41" t="s">
        <v>49</v>
      </c>
      <c r="AF340" s="38" t="str">
        <f>IF(Tabla_Auditorias[[#This Row],[TOTAL
COSTO
NETO]]&lt;&gt;0,"Si","No")</f>
        <v>Si</v>
      </c>
      <c r="AG340" s="39" t="s">
        <v>359</v>
      </c>
      <c r="AH340" s="40"/>
      <c r="AI340" s="51">
        <f t="shared" si="34"/>
        <v>0</v>
      </c>
      <c r="AJ340" s="38" t="str">
        <f t="shared" si="35"/>
        <v>Pendiente</v>
      </c>
    </row>
    <row r="341" spans="1:36" s="31" customFormat="1" ht="25.5" customHeight="1" x14ac:dyDescent="0.2">
      <c r="A341" s="32">
        <v>337</v>
      </c>
      <c r="B341" s="33" t="s">
        <v>69</v>
      </c>
      <c r="C341" s="32" t="s">
        <v>51</v>
      </c>
      <c r="D341" s="32" t="s">
        <v>57</v>
      </c>
      <c r="E341" s="32" t="s">
        <v>53</v>
      </c>
      <c r="F341" s="32">
        <v>1705</v>
      </c>
      <c r="G341" s="33" t="s">
        <v>54</v>
      </c>
      <c r="H341" s="32" t="s">
        <v>47</v>
      </c>
      <c r="I341" s="32"/>
      <c r="J341" s="34">
        <v>45967</v>
      </c>
      <c r="K341" s="34">
        <v>45967</v>
      </c>
      <c r="L341" s="32" t="s">
        <v>48</v>
      </c>
      <c r="M341" s="48">
        <v>123763.75</v>
      </c>
      <c r="N341" s="48">
        <v>0</v>
      </c>
      <c r="O341" s="48">
        <v>0</v>
      </c>
      <c r="P341" s="48">
        <v>-14.91</v>
      </c>
      <c r="Q341" s="48">
        <v>-643.12</v>
      </c>
      <c r="R341" s="48">
        <v>0</v>
      </c>
      <c r="S341" s="48"/>
      <c r="T341" s="48">
        <f t="shared" si="30"/>
        <v>-658.03</v>
      </c>
      <c r="U341" s="48">
        <f t="shared" si="31"/>
        <v>-658.03</v>
      </c>
      <c r="V341" s="49">
        <f>+Tabla_Auditorias[[#This Row],[AJUSTE
EGRESO
COSTO]]+Tabla_Auditorias[[#This Row],[AJUSTE EGRESO
MAL ESTADO]]+Tabla_Auditorias[[#This Row],[AJUSTE
INGRESO
COSTO]]</f>
        <v>-539.28049999999996</v>
      </c>
      <c r="W341" s="48">
        <v>-559.28719999999998</v>
      </c>
      <c r="X341" s="48"/>
      <c r="Y341" s="48"/>
      <c r="Z341" s="48">
        <v>20.006699999999999</v>
      </c>
      <c r="AA341" s="50">
        <f>+SUM(Tabla_Auditorias[[#This Row],[AJUSTE
EGRESO
COSTO]:[AJUSTE
INGRESO
COSTO]])</f>
        <v>-539.28049999999996</v>
      </c>
      <c r="AB341" s="36" t="str">
        <f t="shared" si="32"/>
        <v>MEDIO</v>
      </c>
      <c r="AC341" s="37">
        <f t="shared" si="33"/>
        <v>27</v>
      </c>
      <c r="AD341" s="35">
        <v>0</v>
      </c>
      <c r="AE341" s="41" t="s">
        <v>49</v>
      </c>
      <c r="AF341" s="38" t="str">
        <f>IF(Tabla_Auditorias[[#This Row],[TOTAL
COSTO
NETO]]&lt;&gt;0,"Si","No")</f>
        <v>Si</v>
      </c>
      <c r="AG341" s="39" t="s">
        <v>360</v>
      </c>
      <c r="AH341" s="40"/>
      <c r="AI341" s="51">
        <f t="shared" si="34"/>
        <v>0</v>
      </c>
      <c r="AJ341" s="38" t="str">
        <f t="shared" si="35"/>
        <v>Pendiente</v>
      </c>
    </row>
    <row r="342" spans="1:36" s="31" customFormat="1" ht="25.5" customHeight="1" x14ac:dyDescent="0.2">
      <c r="A342" s="32">
        <v>338</v>
      </c>
      <c r="B342" s="33" t="s">
        <v>361</v>
      </c>
      <c r="C342" s="32" t="s">
        <v>51</v>
      </c>
      <c r="D342" s="32" t="s">
        <v>362</v>
      </c>
      <c r="E342" s="32" t="s">
        <v>45</v>
      </c>
      <c r="F342" s="32">
        <v>1714</v>
      </c>
      <c r="G342" s="33" t="s">
        <v>363</v>
      </c>
      <c r="H342" s="32" t="s">
        <v>47</v>
      </c>
      <c r="I342" s="32"/>
      <c r="J342" s="34">
        <v>45967</v>
      </c>
      <c r="K342" s="34">
        <v>45967</v>
      </c>
      <c r="L342" s="32" t="s">
        <v>48</v>
      </c>
      <c r="M342" s="48">
        <v>37274.428500000002</v>
      </c>
      <c r="N342" s="48">
        <v>969.79720000000009</v>
      </c>
      <c r="O342" s="48">
        <v>-526.74369999999999</v>
      </c>
      <c r="P342" s="48">
        <v>0</v>
      </c>
      <c r="Q342" s="48">
        <v>0</v>
      </c>
      <c r="R342" s="48">
        <v>0</v>
      </c>
      <c r="S342" s="48"/>
      <c r="T342" s="48">
        <f t="shared" si="30"/>
        <v>443.0535000000001</v>
      </c>
      <c r="U342" s="48">
        <f t="shared" si="31"/>
        <v>443.0535000000001</v>
      </c>
      <c r="V342" s="49">
        <f>+Tabla_Auditorias[[#This Row],[AJUSTE
EGRESO
COSTO]]+Tabla_Auditorias[[#This Row],[AJUSTE EGRESO
MAL ESTADO]]+Tabla_Auditorias[[#This Row],[AJUSTE
INGRESO
COSTO]]</f>
        <v>174.4036000000001</v>
      </c>
      <c r="W342" s="48">
        <v>1092.0667000000001</v>
      </c>
      <c r="X342" s="48"/>
      <c r="Y342" s="48"/>
      <c r="Z342" s="48">
        <v>-917.66309999999999</v>
      </c>
      <c r="AA342" s="50">
        <f>+SUM(Tabla_Auditorias[[#This Row],[AJUSTE
EGRESO
COSTO]:[AJUSTE
INGRESO
COSTO]])</f>
        <v>174.4036000000001</v>
      </c>
      <c r="AB342" s="36" t="str">
        <f t="shared" si="32"/>
        <v>ALTO</v>
      </c>
      <c r="AC342" s="37">
        <f t="shared" si="33"/>
        <v>40</v>
      </c>
      <c r="AD342" s="35">
        <v>0</v>
      </c>
      <c r="AE342" s="41" t="s">
        <v>49</v>
      </c>
      <c r="AF342" s="38" t="str">
        <f>IF(Tabla_Auditorias[[#This Row],[TOTAL
COSTO
NETO]]&lt;&gt;0,"Si","No")</f>
        <v>Si</v>
      </c>
      <c r="AG342" s="39" t="s">
        <v>364</v>
      </c>
      <c r="AH342" s="40"/>
      <c r="AI342" s="51" t="str">
        <f t="shared" si="34"/>
        <v/>
      </c>
      <c r="AJ342" s="38" t="str">
        <f t="shared" si="35"/>
        <v>No Aplica</v>
      </c>
    </row>
    <row r="343" spans="1:36" s="31" customFormat="1" ht="25.5" customHeight="1" x14ac:dyDescent="0.2">
      <c r="A343" s="32">
        <v>339</v>
      </c>
      <c r="B343" s="33" t="s">
        <v>365</v>
      </c>
      <c r="C343" s="32" t="s">
        <v>51</v>
      </c>
      <c r="D343" s="32" t="s">
        <v>362</v>
      </c>
      <c r="E343" s="32" t="s">
        <v>58</v>
      </c>
      <c r="F343" s="32">
        <v>1715</v>
      </c>
      <c r="G343" s="33" t="s">
        <v>366</v>
      </c>
      <c r="H343" s="32" t="s">
        <v>47</v>
      </c>
      <c r="I343" s="32"/>
      <c r="J343" s="34">
        <v>45967</v>
      </c>
      <c r="K343" s="34">
        <v>45967</v>
      </c>
      <c r="L343" s="32" t="s">
        <v>48</v>
      </c>
      <c r="M343" s="48">
        <v>53774.384720284448</v>
      </c>
      <c r="N343" s="48">
        <v>2240.165735892157</v>
      </c>
      <c r="O343" s="48">
        <v>-2276.690641540878</v>
      </c>
      <c r="P343" s="48">
        <v>0</v>
      </c>
      <c r="Q343" s="48">
        <v>0</v>
      </c>
      <c r="R343" s="48">
        <v>0</v>
      </c>
      <c r="S343" s="48"/>
      <c r="T343" s="48">
        <f t="shared" si="30"/>
        <v>-36.52490564872096</v>
      </c>
      <c r="U343" s="48">
        <f t="shared" si="31"/>
        <v>-36.52490564872096</v>
      </c>
      <c r="V343" s="49">
        <f>+Tabla_Auditorias[[#This Row],[AJUSTE
EGRESO
COSTO]]+Tabla_Auditorias[[#This Row],[AJUSTE EGRESO
MAL ESTADO]]+Tabla_Auditorias[[#This Row],[AJUSTE
INGRESO
COSTO]]</f>
        <v>3929.4259659962813</v>
      </c>
      <c r="W343" s="48">
        <v>5481.0714969577302</v>
      </c>
      <c r="X343" s="48"/>
      <c r="Y343" s="48"/>
      <c r="Z343" s="48">
        <v>-1551.6455309614489</v>
      </c>
      <c r="AA343" s="50">
        <f>+SUM(Tabla_Auditorias[[#This Row],[AJUSTE
EGRESO
COSTO]:[AJUSTE
INGRESO
COSTO]])</f>
        <v>3929.4259659962813</v>
      </c>
      <c r="AB343" s="36" t="str">
        <f t="shared" si="32"/>
        <v>ALTO</v>
      </c>
      <c r="AC343" s="37">
        <f t="shared" si="33"/>
        <v>50</v>
      </c>
      <c r="AD343" s="35">
        <v>0</v>
      </c>
      <c r="AE343" s="41" t="s">
        <v>49</v>
      </c>
      <c r="AF343" s="38" t="str">
        <f>IF(Tabla_Auditorias[[#This Row],[TOTAL
COSTO
NETO]]&lt;&gt;0,"Si","No")</f>
        <v>Si</v>
      </c>
      <c r="AG343" s="39" t="s">
        <v>364</v>
      </c>
      <c r="AH343" s="40"/>
      <c r="AI343" s="51" t="str">
        <f t="shared" si="34"/>
        <v/>
      </c>
      <c r="AJ343" s="38" t="str">
        <f t="shared" si="35"/>
        <v>No Aplica</v>
      </c>
    </row>
    <row r="344" spans="1:36" s="31" customFormat="1" ht="31.5" customHeight="1" x14ac:dyDescent="0.2">
      <c r="A344" s="32">
        <v>340</v>
      </c>
      <c r="B344" s="33" t="s">
        <v>367</v>
      </c>
      <c r="C344" s="32" t="s">
        <v>51</v>
      </c>
      <c r="D344" s="32" t="s">
        <v>368</v>
      </c>
      <c r="E344" s="32" t="s">
        <v>45</v>
      </c>
      <c r="F344" s="32">
        <v>1718</v>
      </c>
      <c r="G344" s="33" t="s">
        <v>314</v>
      </c>
      <c r="H344" s="32" t="s">
        <v>47</v>
      </c>
      <c r="I344" s="32"/>
      <c r="J344" s="34">
        <v>45967</v>
      </c>
      <c r="K344" s="34">
        <v>45967</v>
      </c>
      <c r="L344" s="32" t="s">
        <v>48</v>
      </c>
      <c r="M344" s="48">
        <v>585865.06561723247</v>
      </c>
      <c r="N344" s="48">
        <v>14354.022892974501</v>
      </c>
      <c r="O344" s="48">
        <v>-17661.230906933</v>
      </c>
      <c r="P344" s="48"/>
      <c r="Q344" s="48">
        <v>0</v>
      </c>
      <c r="R344" s="48">
        <v>0</v>
      </c>
      <c r="S344" s="48"/>
      <c r="T344" s="48">
        <f t="shared" si="30"/>
        <v>-3307.2080139584996</v>
      </c>
      <c r="U344" s="48">
        <f t="shared" si="31"/>
        <v>-3307.2080139584996</v>
      </c>
      <c r="V344" s="49">
        <f>+Tabla_Auditorias[[#This Row],[AJUSTE
EGRESO
COSTO]]+Tabla_Auditorias[[#This Row],[AJUSTE EGRESO
MAL ESTADO]]+Tabla_Auditorias[[#This Row],[AJUSTE
INGRESO
COSTO]]</f>
        <v>-10831.55447172845</v>
      </c>
      <c r="W344" s="48">
        <v>19991.68548997449</v>
      </c>
      <c r="X344" s="48"/>
      <c r="Y344" s="48"/>
      <c r="Z344" s="48">
        <v>-30823.23996170294</v>
      </c>
      <c r="AA344" s="50">
        <f>+SUM(Tabla_Auditorias[[#This Row],[AJUSTE
EGRESO
COSTO]:[AJUSTE
INGRESO
COSTO]])</f>
        <v>-10831.55447172845</v>
      </c>
      <c r="AB344" s="36" t="str">
        <f t="shared" si="32"/>
        <v>CRÍTICO</v>
      </c>
      <c r="AC344" s="37">
        <f t="shared" si="33"/>
        <v>70</v>
      </c>
      <c r="AD344" s="35">
        <v>0</v>
      </c>
      <c r="AE344" s="41" t="s">
        <v>49</v>
      </c>
      <c r="AF344" s="38" t="str">
        <f>IF(Tabla_Auditorias[[#This Row],[TOTAL
COSTO
NETO]]&lt;&gt;0,"Si","No")</f>
        <v>Si</v>
      </c>
      <c r="AG344" s="39" t="s">
        <v>364</v>
      </c>
      <c r="AH344" s="40"/>
      <c r="AI344" s="51">
        <f t="shared" si="34"/>
        <v>0</v>
      </c>
      <c r="AJ344" s="38" t="str">
        <f t="shared" si="35"/>
        <v>Pendiente</v>
      </c>
    </row>
    <row r="345" spans="1:36" s="31" customFormat="1" ht="25.5" customHeight="1" x14ac:dyDescent="0.2">
      <c r="A345" s="32">
        <v>341</v>
      </c>
      <c r="B345" s="33" t="s">
        <v>369</v>
      </c>
      <c r="C345" s="32" t="s">
        <v>51</v>
      </c>
      <c r="D345" s="32" t="s">
        <v>362</v>
      </c>
      <c r="E345" s="32" t="s">
        <v>53</v>
      </c>
      <c r="F345" s="32">
        <v>1719</v>
      </c>
      <c r="G345" s="33" t="s">
        <v>370</v>
      </c>
      <c r="H345" s="32" t="s">
        <v>47</v>
      </c>
      <c r="I345" s="32"/>
      <c r="J345" s="34">
        <v>45967</v>
      </c>
      <c r="K345" s="34">
        <v>45967</v>
      </c>
      <c r="L345" s="32" t="s">
        <v>48</v>
      </c>
      <c r="M345" s="48">
        <v>125085.9675122476</v>
      </c>
      <c r="N345" s="48">
        <v>299.38297999999998</v>
      </c>
      <c r="O345" s="48">
        <v>-918.32105162679431</v>
      </c>
      <c r="P345" s="48"/>
      <c r="Q345" s="48">
        <v>0</v>
      </c>
      <c r="R345" s="48">
        <v>0</v>
      </c>
      <c r="S345" s="48"/>
      <c r="T345" s="48">
        <f t="shared" si="30"/>
        <v>-618.93807162679434</v>
      </c>
      <c r="U345" s="48">
        <f t="shared" si="31"/>
        <v>-618.93807162679434</v>
      </c>
      <c r="V345" s="49">
        <f>+Tabla_Auditorias[[#This Row],[AJUSTE
EGRESO
COSTO]]+Tabla_Auditorias[[#This Row],[AJUSTE EGRESO
MAL ESTADO]]+Tabla_Auditorias[[#This Row],[AJUSTE
INGRESO
COSTO]]</f>
        <v>1.9672104655869589</v>
      </c>
      <c r="W345" s="48">
        <v>1576.276515</v>
      </c>
      <c r="X345" s="48"/>
      <c r="Y345" s="48"/>
      <c r="Z345" s="48">
        <v>-1574.3093045344131</v>
      </c>
      <c r="AA345" s="50">
        <f>+SUM(Tabla_Auditorias[[#This Row],[AJUSTE
EGRESO
COSTO]:[AJUSTE
INGRESO
COSTO]])</f>
        <v>1.9672104655869589</v>
      </c>
      <c r="AB345" s="36" t="str">
        <f t="shared" si="32"/>
        <v>MEDIO</v>
      </c>
      <c r="AC345" s="37">
        <f t="shared" si="33"/>
        <v>32</v>
      </c>
      <c r="AD345" s="35">
        <v>0</v>
      </c>
      <c r="AE345" s="41" t="s">
        <v>49</v>
      </c>
      <c r="AF345" s="38" t="str">
        <f>IF(Tabla_Auditorias[[#This Row],[TOTAL
COSTO
NETO]]&lt;&gt;0,"Si","No")</f>
        <v>Si</v>
      </c>
      <c r="AG345" s="39" t="s">
        <v>364</v>
      </c>
      <c r="AH345" s="40"/>
      <c r="AI345" s="51" t="str">
        <f t="shared" si="34"/>
        <v/>
      </c>
      <c r="AJ345" s="38" t="str">
        <f t="shared" si="35"/>
        <v>No Aplica</v>
      </c>
    </row>
    <row r="346" spans="1:36" s="31" customFormat="1" ht="25.5" customHeight="1" x14ac:dyDescent="0.2">
      <c r="A346" s="32">
        <v>342</v>
      </c>
      <c r="B346" s="33" t="s">
        <v>371</v>
      </c>
      <c r="C346" s="32" t="s">
        <v>51</v>
      </c>
      <c r="D346" s="32" t="s">
        <v>362</v>
      </c>
      <c r="E346" s="32" t="s">
        <v>53</v>
      </c>
      <c r="F346" s="32">
        <v>1720</v>
      </c>
      <c r="G346" s="33" t="s">
        <v>372</v>
      </c>
      <c r="H346" s="32" t="s">
        <v>47</v>
      </c>
      <c r="I346" s="32"/>
      <c r="J346" s="34">
        <v>45967</v>
      </c>
      <c r="K346" s="34">
        <v>45967</v>
      </c>
      <c r="L346" s="32" t="s">
        <v>48</v>
      </c>
      <c r="M346" s="48">
        <v>18703.529132057549</v>
      </c>
      <c r="N346" s="48">
        <v>3.3317277777777781</v>
      </c>
      <c r="O346" s="48">
        <v>-65.713200000000001</v>
      </c>
      <c r="P346" s="48"/>
      <c r="Q346" s="48">
        <v>0</v>
      </c>
      <c r="R346" s="48">
        <v>0</v>
      </c>
      <c r="S346" s="48"/>
      <c r="T346" s="48">
        <f t="shared" si="30"/>
        <v>-62.381472222222222</v>
      </c>
      <c r="U346" s="48">
        <f t="shared" si="31"/>
        <v>-62.381472222222222</v>
      </c>
      <c r="V346" s="49">
        <f>+Tabla_Auditorias[[#This Row],[AJUSTE
EGRESO
COSTO]]+Tabla_Auditorias[[#This Row],[AJUSTE EGRESO
MAL ESTADO]]+Tabla_Auditorias[[#This Row],[AJUSTE
INGRESO
COSTO]]</f>
        <v>117.22951349206349</v>
      </c>
      <c r="W346" s="48">
        <v>312.24911349206349</v>
      </c>
      <c r="X346" s="48"/>
      <c r="Y346" s="48"/>
      <c r="Z346" s="48">
        <v>-195.0196</v>
      </c>
      <c r="AA346" s="50">
        <f>+SUM(Tabla_Auditorias[[#This Row],[AJUSTE
EGRESO
COSTO]:[AJUSTE
INGRESO
COSTO]])</f>
        <v>117.22951349206349</v>
      </c>
      <c r="AB346" s="36" t="str">
        <f t="shared" si="32"/>
        <v>MEDIO</v>
      </c>
      <c r="AC346" s="37">
        <f t="shared" si="33"/>
        <v>20</v>
      </c>
      <c r="AD346" s="35">
        <v>0</v>
      </c>
      <c r="AE346" s="41" t="s">
        <v>49</v>
      </c>
      <c r="AF346" s="38" t="str">
        <f>IF(Tabla_Auditorias[[#This Row],[TOTAL
COSTO
NETO]]&lt;&gt;0,"Si","No")</f>
        <v>Si</v>
      </c>
      <c r="AG346" s="39" t="s">
        <v>364</v>
      </c>
      <c r="AH346" s="40"/>
      <c r="AI346" s="51" t="str">
        <f t="shared" si="34"/>
        <v/>
      </c>
      <c r="AJ346" s="38" t="str">
        <f t="shared" si="35"/>
        <v>No Aplica</v>
      </c>
    </row>
    <row r="347" spans="1:36" s="31" customFormat="1" ht="25.5" customHeight="1" x14ac:dyDescent="0.2">
      <c r="A347" s="32">
        <v>343</v>
      </c>
      <c r="B347" s="33" t="s">
        <v>373</v>
      </c>
      <c r="C347" s="32" t="s">
        <v>51</v>
      </c>
      <c r="D347" s="32" t="s">
        <v>362</v>
      </c>
      <c r="E347" s="32" t="s">
        <v>58</v>
      </c>
      <c r="F347" s="32">
        <v>1736</v>
      </c>
      <c r="G347" s="33" t="s">
        <v>374</v>
      </c>
      <c r="H347" s="32" t="s">
        <v>47</v>
      </c>
      <c r="I347" s="32" t="s">
        <v>375</v>
      </c>
      <c r="J347" s="34">
        <v>45967</v>
      </c>
      <c r="K347" s="34">
        <v>45967</v>
      </c>
      <c r="L347" s="32" t="s">
        <v>48</v>
      </c>
      <c r="M347" s="48">
        <v>40837.56107962961</v>
      </c>
      <c r="N347" s="48">
        <v>59.691031193648847</v>
      </c>
      <c r="O347" s="48">
        <v>-21.134800505617939</v>
      </c>
      <c r="P347" s="48"/>
      <c r="Q347" s="48">
        <v>0</v>
      </c>
      <c r="R347" s="48">
        <v>0</v>
      </c>
      <c r="S347" s="48"/>
      <c r="T347" s="48">
        <f t="shared" si="30"/>
        <v>38.556230688030908</v>
      </c>
      <c r="U347" s="48">
        <f t="shared" si="31"/>
        <v>38.556230688030908</v>
      </c>
      <c r="V347" s="49">
        <f>+Tabla_Auditorias[[#This Row],[AJUSTE
EGRESO
COSTO]]+Tabla_Auditorias[[#This Row],[AJUSTE EGRESO
MAL ESTADO]]+Tabla_Auditorias[[#This Row],[AJUSTE
INGRESO
COSTO]]</f>
        <v>828.32873068803099</v>
      </c>
      <c r="W347" s="48">
        <v>943.0374311936489</v>
      </c>
      <c r="X347" s="48"/>
      <c r="Y347" s="48"/>
      <c r="Z347" s="48">
        <v>-114.7087005056179</v>
      </c>
      <c r="AA347" s="50">
        <f>+SUM(Tabla_Auditorias[[#This Row],[AJUSTE
EGRESO
COSTO]:[AJUSTE
INGRESO
COSTO]])</f>
        <v>828.32873068803099</v>
      </c>
      <c r="AB347" s="36" t="str">
        <f t="shared" si="32"/>
        <v>MEDIO</v>
      </c>
      <c r="AC347" s="37">
        <f t="shared" si="33"/>
        <v>20</v>
      </c>
      <c r="AD347" s="35">
        <v>0</v>
      </c>
      <c r="AE347" s="41" t="s">
        <v>49</v>
      </c>
      <c r="AF347" s="38" t="str">
        <f>IF(Tabla_Auditorias[[#This Row],[TOTAL
COSTO
NETO]]&lt;&gt;0,"Si","No")</f>
        <v>Si</v>
      </c>
      <c r="AG347" s="39" t="s">
        <v>364</v>
      </c>
      <c r="AH347" s="40"/>
      <c r="AI347" s="51" t="str">
        <f t="shared" si="34"/>
        <v/>
      </c>
      <c r="AJ347" s="38" t="str">
        <f t="shared" si="35"/>
        <v>No Aplica</v>
      </c>
    </row>
    <row r="348" spans="1:36" s="31" customFormat="1" ht="25.5" customHeight="1" x14ac:dyDescent="0.2">
      <c r="A348" s="32">
        <v>344</v>
      </c>
      <c r="B348" s="33" t="s">
        <v>376</v>
      </c>
      <c r="C348" s="32" t="s">
        <v>51</v>
      </c>
      <c r="D348" s="32" t="s">
        <v>377</v>
      </c>
      <c r="E348" s="32" t="s">
        <v>45</v>
      </c>
      <c r="F348" s="32">
        <v>1760</v>
      </c>
      <c r="G348" s="33" t="s">
        <v>378</v>
      </c>
      <c r="H348" s="32" t="s">
        <v>47</v>
      </c>
      <c r="I348" s="32"/>
      <c r="J348" s="34">
        <v>45967</v>
      </c>
      <c r="K348" s="34">
        <v>45967</v>
      </c>
      <c r="L348" s="32" t="s">
        <v>48</v>
      </c>
      <c r="M348" s="48">
        <v>19656.790361564621</v>
      </c>
      <c r="N348" s="48">
        <v>491.87313333333333</v>
      </c>
      <c r="O348" s="48">
        <v>-1200.1595179999999</v>
      </c>
      <c r="P348" s="48"/>
      <c r="Q348" s="48">
        <v>0</v>
      </c>
      <c r="R348" s="48">
        <v>0</v>
      </c>
      <c r="S348" s="48"/>
      <c r="T348" s="48">
        <f t="shared" si="30"/>
        <v>-708.28638466666666</v>
      </c>
      <c r="U348" s="48">
        <f t="shared" si="31"/>
        <v>-708.28638466666666</v>
      </c>
      <c r="V348" s="49">
        <f>+Tabla_Auditorias[[#This Row],[AJUSTE
EGRESO
COSTO]]+Tabla_Auditorias[[#This Row],[AJUSTE EGRESO
MAL ESTADO]]+Tabla_Auditorias[[#This Row],[AJUSTE
INGRESO
COSTO]]</f>
        <v>15.231926897959056</v>
      </c>
      <c r="W348" s="48">
        <v>1447.492015333333</v>
      </c>
      <c r="X348" s="48"/>
      <c r="Y348" s="48"/>
      <c r="Z348" s="48">
        <v>-1432.260088435374</v>
      </c>
      <c r="AA348" s="50">
        <f>+SUM(Tabla_Auditorias[[#This Row],[AJUSTE
EGRESO
COSTO]:[AJUSTE
INGRESO
COSTO]])</f>
        <v>15.231926897959056</v>
      </c>
      <c r="AB348" s="36" t="str">
        <f t="shared" si="32"/>
        <v>CRÍTICO</v>
      </c>
      <c r="AC348" s="37">
        <f t="shared" si="33"/>
        <v>72</v>
      </c>
      <c r="AD348" s="35">
        <v>0</v>
      </c>
      <c r="AE348" s="41" t="s">
        <v>49</v>
      </c>
      <c r="AF348" s="38" t="str">
        <f>IF(Tabla_Auditorias[[#This Row],[TOTAL
COSTO
NETO]]&lt;&gt;0,"Si","No")</f>
        <v>Si</v>
      </c>
      <c r="AG348" s="39" t="s">
        <v>364</v>
      </c>
      <c r="AH348" s="40"/>
      <c r="AI348" s="51" t="str">
        <f t="shared" si="34"/>
        <v/>
      </c>
      <c r="AJ348" s="38" t="str">
        <f t="shared" si="35"/>
        <v>No Aplica</v>
      </c>
    </row>
    <row r="349" spans="1:36" s="31" customFormat="1" ht="25.5" customHeight="1" x14ac:dyDescent="0.2">
      <c r="A349" s="32">
        <v>345</v>
      </c>
      <c r="B349" s="33" t="s">
        <v>379</v>
      </c>
      <c r="C349" s="32" t="s">
        <v>51</v>
      </c>
      <c r="D349" s="32" t="s">
        <v>362</v>
      </c>
      <c r="E349" s="32" t="s">
        <v>45</v>
      </c>
      <c r="F349" s="32">
        <v>1716</v>
      </c>
      <c r="G349" s="33" t="s">
        <v>380</v>
      </c>
      <c r="H349" s="32" t="s">
        <v>47</v>
      </c>
      <c r="I349" s="32"/>
      <c r="J349" s="34">
        <v>45967</v>
      </c>
      <c r="K349" s="34">
        <v>45967</v>
      </c>
      <c r="L349" s="32" t="s">
        <v>48</v>
      </c>
      <c r="M349" s="48">
        <v>39805.316700000003</v>
      </c>
      <c r="N349" s="48">
        <v>423.45389999999998</v>
      </c>
      <c r="O349" s="48">
        <v>-780.1609000000002</v>
      </c>
      <c r="P349" s="48"/>
      <c r="Q349" s="48">
        <v>0</v>
      </c>
      <c r="R349" s="48">
        <v>0</v>
      </c>
      <c r="S349" s="48"/>
      <c r="T349" s="48">
        <f t="shared" si="30"/>
        <v>-356.70700000000022</v>
      </c>
      <c r="U349" s="48">
        <f t="shared" si="31"/>
        <v>-356.70700000000022</v>
      </c>
      <c r="V349" s="49">
        <f>+Tabla_Auditorias[[#This Row],[AJUSTE
EGRESO
COSTO]]+Tabla_Auditorias[[#This Row],[AJUSTE EGRESO
MAL ESTADO]]+Tabla_Auditorias[[#This Row],[AJUSTE
INGRESO
COSTO]]</f>
        <v>-226.77520000000004</v>
      </c>
      <c r="W349" s="48">
        <v>625.53859999999997</v>
      </c>
      <c r="X349" s="48"/>
      <c r="Y349" s="48"/>
      <c r="Z349" s="48">
        <v>-852.31380000000001</v>
      </c>
      <c r="AA349" s="50">
        <f>+SUM(Tabla_Auditorias[[#This Row],[AJUSTE
EGRESO
COSTO]:[AJUSTE
INGRESO
COSTO]])</f>
        <v>-226.77520000000004</v>
      </c>
      <c r="AB349" s="36" t="str">
        <f t="shared" si="32"/>
        <v>ALTO</v>
      </c>
      <c r="AC349" s="37">
        <f t="shared" si="33"/>
        <v>40</v>
      </c>
      <c r="AD349" s="35">
        <v>0</v>
      </c>
      <c r="AE349" s="41" t="s">
        <v>49</v>
      </c>
      <c r="AF349" s="38" t="str">
        <f>IF(Tabla_Auditorias[[#This Row],[TOTAL
COSTO
NETO]]&lt;&gt;0,"Si","No")</f>
        <v>Si</v>
      </c>
      <c r="AG349" s="39" t="s">
        <v>364</v>
      </c>
      <c r="AH349" s="40"/>
      <c r="AI349" s="51">
        <f t="shared" si="34"/>
        <v>0</v>
      </c>
      <c r="AJ349" s="38" t="str">
        <f t="shared" si="35"/>
        <v>Pendiente</v>
      </c>
    </row>
    <row r="350" spans="1:36" s="31" customFormat="1" ht="25.5" customHeight="1" x14ac:dyDescent="0.2">
      <c r="A350" s="32">
        <v>346</v>
      </c>
      <c r="B350" s="33" t="s">
        <v>381</v>
      </c>
      <c r="C350" s="32" t="s">
        <v>51</v>
      </c>
      <c r="D350" s="32" t="s">
        <v>377</v>
      </c>
      <c r="E350" s="32" t="s">
        <v>58</v>
      </c>
      <c r="F350" s="32">
        <v>1762</v>
      </c>
      <c r="G350" s="33" t="s">
        <v>382</v>
      </c>
      <c r="H350" s="32" t="s">
        <v>47</v>
      </c>
      <c r="I350" s="32"/>
      <c r="J350" s="34">
        <v>45967</v>
      </c>
      <c r="K350" s="34">
        <v>45967</v>
      </c>
      <c r="L350" s="32" t="s">
        <v>48</v>
      </c>
      <c r="M350" s="48">
        <v>648.1624999999998</v>
      </c>
      <c r="N350" s="48">
        <v>0</v>
      </c>
      <c r="O350" s="48">
        <v>-74.2271333333332</v>
      </c>
      <c r="P350" s="48"/>
      <c r="Q350" s="48">
        <v>0</v>
      </c>
      <c r="R350" s="48">
        <v>0</v>
      </c>
      <c r="S350" s="48"/>
      <c r="T350" s="48">
        <f t="shared" si="30"/>
        <v>-74.2271333333332</v>
      </c>
      <c r="U350" s="48">
        <f t="shared" si="31"/>
        <v>-74.2271333333332</v>
      </c>
      <c r="V350" s="49">
        <f>+Tabla_Auditorias[[#This Row],[AJUSTE
EGRESO
COSTO]]+Tabla_Auditorias[[#This Row],[AJUSTE EGRESO
MAL ESTADO]]+Tabla_Auditorias[[#This Row],[AJUSTE
INGRESO
COSTO]]</f>
        <v>-26.7271333333332</v>
      </c>
      <c r="W350" s="48">
        <v>47.5</v>
      </c>
      <c r="X350" s="48"/>
      <c r="Y350" s="48"/>
      <c r="Z350" s="48">
        <v>-74.2271333333332</v>
      </c>
      <c r="AA350" s="50">
        <f>+SUM(Tabla_Auditorias[[#This Row],[AJUSTE
EGRESO
COSTO]:[AJUSTE
INGRESO
COSTO]])</f>
        <v>-26.7271333333332</v>
      </c>
      <c r="AB350" s="36" t="str">
        <f t="shared" si="32"/>
        <v>ALTO</v>
      </c>
      <c r="AC350" s="37">
        <f t="shared" si="33"/>
        <v>60</v>
      </c>
      <c r="AD350" s="35">
        <v>0</v>
      </c>
      <c r="AE350" s="41" t="s">
        <v>49</v>
      </c>
      <c r="AF350" s="38" t="str">
        <f>IF(Tabla_Auditorias[[#This Row],[TOTAL
COSTO
NETO]]&lt;&gt;0,"Si","No")</f>
        <v>Si</v>
      </c>
      <c r="AG350" s="39" t="s">
        <v>364</v>
      </c>
      <c r="AH350" s="40"/>
      <c r="AI350" s="51">
        <f t="shared" si="34"/>
        <v>0</v>
      </c>
      <c r="AJ350" s="38" t="str">
        <f t="shared" si="35"/>
        <v>Pendiente</v>
      </c>
    </row>
    <row r="351" spans="1:36" s="31" customFormat="1" ht="25.5" customHeight="1" x14ac:dyDescent="0.2">
      <c r="A351" s="32">
        <v>347</v>
      </c>
      <c r="B351" s="33" t="s">
        <v>139</v>
      </c>
      <c r="C351" s="32" t="s">
        <v>51</v>
      </c>
      <c r="D351" s="32" t="s">
        <v>52</v>
      </c>
      <c r="E351" s="32" t="s">
        <v>45</v>
      </c>
      <c r="F351" s="32">
        <v>1730</v>
      </c>
      <c r="G351" s="33" t="s">
        <v>314</v>
      </c>
      <c r="H351" s="32" t="s">
        <v>47</v>
      </c>
      <c r="I351" s="32"/>
      <c r="J351" s="34">
        <v>45968</v>
      </c>
      <c r="K351" s="34">
        <v>45968</v>
      </c>
      <c r="L351" s="32" t="s">
        <v>48</v>
      </c>
      <c r="M351" s="48">
        <v>53560.13</v>
      </c>
      <c r="N351" s="48">
        <v>0</v>
      </c>
      <c r="O351" s="48">
        <v>0</v>
      </c>
      <c r="P351" s="48">
        <v>0</v>
      </c>
      <c r="Q351" s="48">
        <v>0</v>
      </c>
      <c r="R351" s="48">
        <v>-6674.76</v>
      </c>
      <c r="S351" s="48"/>
      <c r="T351" s="48">
        <f t="shared" si="30"/>
        <v>-6674.76</v>
      </c>
      <c r="U351" s="48">
        <f t="shared" si="31"/>
        <v>0</v>
      </c>
      <c r="V351" s="49">
        <f>+Tabla_Auditorias[[#This Row],[AJUSTE
EGRESO
COSTO]]+Tabla_Auditorias[[#This Row],[AJUSTE EGRESO
MAL ESTADO]]+Tabla_Auditorias[[#This Row],[AJUSTE
INGRESO
COSTO]]</f>
        <v>0</v>
      </c>
      <c r="W351" s="48">
        <v>0</v>
      </c>
      <c r="X351" s="48"/>
      <c r="Y351" s="48"/>
      <c r="Z351" s="48">
        <v>0</v>
      </c>
      <c r="AA351" s="50">
        <f>+SUM(Tabla_Auditorias[[#This Row],[AJUSTE
EGRESO
COSTO]:[AJUSTE
INGRESO
COSTO]])</f>
        <v>0</v>
      </c>
      <c r="AB351" s="36" t="str">
        <f t="shared" si="32"/>
        <v>BAJO</v>
      </c>
      <c r="AC351" s="37">
        <f t="shared" si="33"/>
        <v>5</v>
      </c>
      <c r="AD351" s="35">
        <v>0</v>
      </c>
      <c r="AE351" s="41" t="s">
        <v>49</v>
      </c>
      <c r="AF351" s="38" t="str">
        <f>IF(Tabla_Auditorias[[#This Row],[TOTAL
COSTO
NETO]]&lt;&gt;0,"Si","No")</f>
        <v>No</v>
      </c>
      <c r="AG351" s="39" t="s">
        <v>383</v>
      </c>
      <c r="AH351" s="40"/>
      <c r="AI351" s="51" t="str">
        <f t="shared" si="34"/>
        <v/>
      </c>
      <c r="AJ351" s="38" t="str">
        <f t="shared" si="35"/>
        <v>Pendiente</v>
      </c>
    </row>
    <row r="352" spans="1:36" s="31" customFormat="1" ht="25.5" customHeight="1" x14ac:dyDescent="0.2">
      <c r="A352" s="32">
        <v>348</v>
      </c>
      <c r="B352" s="33" t="s">
        <v>94</v>
      </c>
      <c r="C352" s="32" t="s">
        <v>43</v>
      </c>
      <c r="D352" s="32" t="s">
        <v>44</v>
      </c>
      <c r="E352" s="32" t="s">
        <v>53</v>
      </c>
      <c r="F352" s="32">
        <v>1502</v>
      </c>
      <c r="G352" s="33" t="s">
        <v>54</v>
      </c>
      <c r="H352" s="32" t="s">
        <v>47</v>
      </c>
      <c r="I352" s="32"/>
      <c r="J352" s="34">
        <v>45972</v>
      </c>
      <c r="K352" s="34">
        <v>45972</v>
      </c>
      <c r="L352" s="32" t="s">
        <v>48</v>
      </c>
      <c r="M352" s="48">
        <v>178813.51</v>
      </c>
      <c r="N352" s="48">
        <v>13.12</v>
      </c>
      <c r="O352" s="48">
        <v>0</v>
      </c>
      <c r="P352" s="48">
        <v>0</v>
      </c>
      <c r="Q352" s="48">
        <v>0</v>
      </c>
      <c r="R352" s="48">
        <v>0</v>
      </c>
      <c r="S352" s="48"/>
      <c r="T352" s="48">
        <f t="shared" si="30"/>
        <v>13.12</v>
      </c>
      <c r="U352" s="48">
        <f t="shared" si="31"/>
        <v>13.12</v>
      </c>
      <c r="V352" s="49">
        <f>+Tabla_Auditorias[[#This Row],[AJUSTE
EGRESO
COSTO]]+Tabla_Auditorias[[#This Row],[AJUSTE EGRESO
MAL ESTADO]]+Tabla_Auditorias[[#This Row],[AJUSTE
INGRESO
COSTO]]</f>
        <v>6.3499999999999943</v>
      </c>
      <c r="W352" s="48">
        <v>-130.21</v>
      </c>
      <c r="X352" s="48"/>
      <c r="Y352" s="48"/>
      <c r="Z352" s="48">
        <v>136.56</v>
      </c>
      <c r="AA352" s="50">
        <f>+SUM(Tabla_Auditorias[[#This Row],[AJUSTE
EGRESO
COSTO]:[AJUSTE
INGRESO
COSTO]])</f>
        <v>6.3499999999999943</v>
      </c>
      <c r="AB352" s="36" t="str">
        <f t="shared" si="32"/>
        <v>BAJO</v>
      </c>
      <c r="AC352" s="37">
        <f t="shared" si="33"/>
        <v>10</v>
      </c>
      <c r="AD352" s="35">
        <v>0</v>
      </c>
      <c r="AE352" s="41" t="s">
        <v>49</v>
      </c>
      <c r="AF352" s="38" t="str">
        <f>IF(Tabla_Auditorias[[#This Row],[TOTAL
COSTO
NETO]]&lt;&gt;0,"Si","No")</f>
        <v>Si</v>
      </c>
      <c r="AG352" s="39" t="s">
        <v>384</v>
      </c>
      <c r="AH352" s="40"/>
      <c r="AI352" s="51" t="str">
        <f t="shared" si="34"/>
        <v/>
      </c>
      <c r="AJ352" s="38" t="str">
        <f t="shared" si="35"/>
        <v>No Aplica</v>
      </c>
    </row>
    <row r="353" spans="1:36" s="31" customFormat="1" ht="25.5" customHeight="1" x14ac:dyDescent="0.2">
      <c r="A353" s="32">
        <v>349</v>
      </c>
      <c r="B353" s="33" t="s">
        <v>291</v>
      </c>
      <c r="C353" s="32" t="s">
        <v>153</v>
      </c>
      <c r="D353" s="32" t="s">
        <v>89</v>
      </c>
      <c r="E353" s="32" t="s">
        <v>53</v>
      </c>
      <c r="F353" s="32">
        <v>3043</v>
      </c>
      <c r="G353" s="33" t="s">
        <v>54</v>
      </c>
      <c r="H353" s="32" t="s">
        <v>47</v>
      </c>
      <c r="I353" s="32"/>
      <c r="J353" s="34">
        <v>45973</v>
      </c>
      <c r="K353" s="34">
        <v>45973</v>
      </c>
      <c r="L353" s="32" t="s">
        <v>48</v>
      </c>
      <c r="M353" s="48">
        <v>19686.54</v>
      </c>
      <c r="N353" s="48">
        <v>0</v>
      </c>
      <c r="O353" s="48">
        <v>0</v>
      </c>
      <c r="P353" s="48">
        <v>0</v>
      </c>
      <c r="Q353" s="48">
        <v>0</v>
      </c>
      <c r="R353" s="48">
        <v>0</v>
      </c>
      <c r="S353" s="48"/>
      <c r="T353" s="48">
        <f t="shared" si="30"/>
        <v>0</v>
      </c>
      <c r="U353" s="48">
        <f t="shared" si="31"/>
        <v>0</v>
      </c>
      <c r="V353" s="49">
        <f>+Tabla_Auditorias[[#This Row],[AJUSTE
EGRESO
COSTO]]+Tabla_Auditorias[[#This Row],[AJUSTE EGRESO
MAL ESTADO]]+Tabla_Auditorias[[#This Row],[AJUSTE
INGRESO
COSTO]]</f>
        <v>0</v>
      </c>
      <c r="W353" s="48">
        <v>-1035.3699999999999</v>
      </c>
      <c r="X353" s="48"/>
      <c r="Y353" s="48"/>
      <c r="Z353" s="48">
        <v>1035.3699999999999</v>
      </c>
      <c r="AA353" s="50">
        <f>+SUM(Tabla_Auditorias[[#This Row],[AJUSTE
EGRESO
COSTO]:[AJUSTE
INGRESO
COSTO]])</f>
        <v>0</v>
      </c>
      <c r="AB353" s="36" t="str">
        <f t="shared" si="32"/>
        <v>BAJO</v>
      </c>
      <c r="AC353" s="37">
        <f t="shared" si="33"/>
        <v>0</v>
      </c>
      <c r="AD353" s="35">
        <v>0</v>
      </c>
      <c r="AE353" s="41" t="s">
        <v>49</v>
      </c>
      <c r="AF353" s="38" t="str">
        <f>IF(Tabla_Auditorias[[#This Row],[TOTAL
COSTO
NETO]]&lt;&gt;0,"Si","No")</f>
        <v>No</v>
      </c>
      <c r="AG353" s="39" t="s">
        <v>385</v>
      </c>
      <c r="AH353" s="40"/>
      <c r="AI353" s="51" t="str">
        <f t="shared" si="34"/>
        <v/>
      </c>
      <c r="AJ353" s="38" t="str">
        <f t="shared" si="35"/>
        <v>Pendiente</v>
      </c>
    </row>
    <row r="354" spans="1:36" s="31" customFormat="1" ht="25.5" customHeight="1" x14ac:dyDescent="0.2">
      <c r="A354" s="32">
        <v>350</v>
      </c>
      <c r="B354" s="33" t="s">
        <v>328</v>
      </c>
      <c r="C354" s="32" t="s">
        <v>153</v>
      </c>
      <c r="D354" s="32" t="s">
        <v>89</v>
      </c>
      <c r="E354" s="32" t="s">
        <v>45</v>
      </c>
      <c r="F354" s="32">
        <v>3044</v>
      </c>
      <c r="G354" s="33" t="s">
        <v>314</v>
      </c>
      <c r="H354" s="32" t="s">
        <v>47</v>
      </c>
      <c r="I354" s="32"/>
      <c r="J354" s="34">
        <v>45973</v>
      </c>
      <c r="K354" s="34">
        <v>45973</v>
      </c>
      <c r="L354" s="32" t="s">
        <v>48</v>
      </c>
      <c r="M354" s="48">
        <v>17264.5</v>
      </c>
      <c r="N354" s="48">
        <v>487.32</v>
      </c>
      <c r="O354" s="48">
        <v>-410.16</v>
      </c>
      <c r="P354" s="48">
        <v>-1.08</v>
      </c>
      <c r="Q354" s="48">
        <v>-102.36</v>
      </c>
      <c r="R354" s="48">
        <v>0</v>
      </c>
      <c r="S354" s="48"/>
      <c r="T354" s="48">
        <f t="shared" si="30"/>
        <v>-26.28000000000003</v>
      </c>
      <c r="U354" s="48">
        <f t="shared" si="31"/>
        <v>-26.28000000000003</v>
      </c>
      <c r="V354" s="49">
        <f>+Tabla_Auditorias[[#This Row],[AJUSTE
EGRESO
COSTO]]+Tabla_Auditorias[[#This Row],[AJUSTE EGRESO
MAL ESTADO]]+Tabla_Auditorias[[#This Row],[AJUSTE
INGRESO
COSTO]]</f>
        <v>-7.9165000000002692</v>
      </c>
      <c r="W354" s="48">
        <v>-2150.1849000000002</v>
      </c>
      <c r="X354" s="48"/>
      <c r="Y354" s="48"/>
      <c r="Z354" s="48">
        <v>2142.2683999999999</v>
      </c>
      <c r="AA354" s="50">
        <f>+SUM(Tabla_Auditorias[[#This Row],[AJUSTE
EGRESO
COSTO]:[AJUSTE
INGRESO
COSTO]])</f>
        <v>-7.9165000000002692</v>
      </c>
      <c r="AB354" s="36" t="str">
        <f t="shared" si="32"/>
        <v>ALTO</v>
      </c>
      <c r="AC354" s="37">
        <f t="shared" si="33"/>
        <v>40</v>
      </c>
      <c r="AD354" s="35">
        <v>0</v>
      </c>
      <c r="AE354" s="41" t="s">
        <v>49</v>
      </c>
      <c r="AF354" s="38" t="str">
        <f>IF(Tabla_Auditorias[[#This Row],[TOTAL
COSTO
NETO]]&lt;&gt;0,"Si","No")</f>
        <v>Si</v>
      </c>
      <c r="AG354" s="39" t="s">
        <v>386</v>
      </c>
      <c r="AH354" s="40"/>
      <c r="AI354" s="51">
        <f t="shared" si="34"/>
        <v>0</v>
      </c>
      <c r="AJ354" s="38" t="str">
        <f t="shared" si="35"/>
        <v>Pendiente</v>
      </c>
    </row>
    <row r="355" spans="1:36" s="31" customFormat="1" ht="31.5" customHeight="1" x14ac:dyDescent="0.2">
      <c r="A355" s="32">
        <v>351</v>
      </c>
      <c r="B355" s="33" t="s">
        <v>85</v>
      </c>
      <c r="C355" s="32" t="s">
        <v>43</v>
      </c>
      <c r="D355" s="32" t="s">
        <v>44</v>
      </c>
      <c r="E355" s="32" t="s">
        <v>53</v>
      </c>
      <c r="F355" s="32">
        <v>1510</v>
      </c>
      <c r="G355" s="33" t="s">
        <v>387</v>
      </c>
      <c r="H355" s="32" t="s">
        <v>47</v>
      </c>
      <c r="I355" s="32"/>
      <c r="J355" s="34">
        <v>45976</v>
      </c>
      <c r="K355" s="34">
        <v>45976</v>
      </c>
      <c r="L355" s="32" t="s">
        <v>48</v>
      </c>
      <c r="M355" s="48">
        <v>79966.94</v>
      </c>
      <c r="N355" s="48">
        <v>245.91</v>
      </c>
      <c r="O355" s="48">
        <v>-493.95</v>
      </c>
      <c r="P355" s="48">
        <v>-10.83</v>
      </c>
      <c r="Q355" s="48">
        <v>0</v>
      </c>
      <c r="R355" s="48">
        <v>0</v>
      </c>
      <c r="S355" s="48"/>
      <c r="T355" s="48">
        <f t="shared" si="30"/>
        <v>-258.87</v>
      </c>
      <c r="U355" s="48">
        <f t="shared" si="31"/>
        <v>-258.87</v>
      </c>
      <c r="V355" s="49">
        <f>+Tabla_Auditorias[[#This Row],[AJUSTE
EGRESO
COSTO]]+Tabla_Auditorias[[#This Row],[AJUSTE EGRESO
MAL ESTADO]]+Tabla_Auditorias[[#This Row],[AJUSTE
INGRESO
COSTO]]</f>
        <v>-207.86450000000002</v>
      </c>
      <c r="W355" s="48">
        <v>-290.51900000000001</v>
      </c>
      <c r="X355" s="48"/>
      <c r="Y355" s="48"/>
      <c r="Z355" s="48">
        <v>82.654499999999999</v>
      </c>
      <c r="AA355" s="50">
        <f>+SUM(Tabla_Auditorias[[#This Row],[AJUSTE
EGRESO
COSTO]:[AJUSTE
INGRESO
COSTO]])</f>
        <v>-207.86450000000002</v>
      </c>
      <c r="AB355" s="36" t="str">
        <f t="shared" si="32"/>
        <v>MEDIO</v>
      </c>
      <c r="AC355" s="37">
        <f t="shared" si="33"/>
        <v>25</v>
      </c>
      <c r="AD355" s="35">
        <v>0</v>
      </c>
      <c r="AE355" s="41" t="s">
        <v>49</v>
      </c>
      <c r="AF355" s="38" t="str">
        <f>IF(Tabla_Auditorias[[#This Row],[TOTAL
COSTO
NETO]]&lt;&gt;0,"Si","No")</f>
        <v>Si</v>
      </c>
      <c r="AG355" s="39" t="s">
        <v>388</v>
      </c>
      <c r="AH355" s="40"/>
      <c r="AI355" s="51">
        <f t="shared" si="34"/>
        <v>0</v>
      </c>
      <c r="AJ355" s="38" t="str">
        <f t="shared" si="35"/>
        <v>Pendiente</v>
      </c>
    </row>
    <row r="356" spans="1:36" s="31" customFormat="1" ht="25.5" customHeight="1" x14ac:dyDescent="0.2">
      <c r="A356" s="32">
        <v>352</v>
      </c>
      <c r="B356" s="33" t="s">
        <v>188</v>
      </c>
      <c r="C356" s="32" t="s">
        <v>51</v>
      </c>
      <c r="D356" s="32" t="s">
        <v>57</v>
      </c>
      <c r="E356" s="32" t="s">
        <v>58</v>
      </c>
      <c r="F356" s="32">
        <v>1742</v>
      </c>
      <c r="G356" s="33" t="s">
        <v>389</v>
      </c>
      <c r="H356" s="32" t="s">
        <v>47</v>
      </c>
      <c r="I356" s="32"/>
      <c r="J356" s="34">
        <v>45978</v>
      </c>
      <c r="K356" s="34">
        <v>45978</v>
      </c>
      <c r="L356" s="32" t="s">
        <v>48</v>
      </c>
      <c r="M356" s="48">
        <v>134059.97</v>
      </c>
      <c r="N356" s="48">
        <v>86.34</v>
      </c>
      <c r="O356" s="48">
        <v>-184.69</v>
      </c>
      <c r="P356" s="48">
        <v>84.34</v>
      </c>
      <c r="Q356" s="48">
        <v>0</v>
      </c>
      <c r="R356" s="48">
        <v>0</v>
      </c>
      <c r="S356" s="48"/>
      <c r="T356" s="48">
        <f t="shared" si="30"/>
        <v>-14.009999999999991</v>
      </c>
      <c r="U356" s="48">
        <f t="shared" si="31"/>
        <v>-14.009999999999991</v>
      </c>
      <c r="V356" s="49">
        <f>+Tabla_Auditorias[[#This Row],[AJUSTE
EGRESO
COSTO]]+Tabla_Auditorias[[#This Row],[AJUSTE EGRESO
MAL ESTADO]]+Tabla_Auditorias[[#This Row],[AJUSTE
INGRESO
COSTO]]</f>
        <v>-5.2944000000000528</v>
      </c>
      <c r="W356" s="48">
        <v>-514.45900000000006</v>
      </c>
      <c r="X356" s="48"/>
      <c r="Y356" s="48"/>
      <c r="Z356" s="48">
        <v>509.16460000000001</v>
      </c>
      <c r="AA356" s="50">
        <f>+SUM(Tabla_Auditorias[[#This Row],[AJUSTE
EGRESO
COSTO]:[AJUSTE
INGRESO
COSTO]])</f>
        <v>-5.2944000000000528</v>
      </c>
      <c r="AB356" s="36" t="str">
        <f t="shared" si="32"/>
        <v>MEDIO</v>
      </c>
      <c r="AC356" s="37">
        <f t="shared" si="33"/>
        <v>20</v>
      </c>
      <c r="AD356" s="35">
        <v>0</v>
      </c>
      <c r="AE356" s="41" t="s">
        <v>49</v>
      </c>
      <c r="AF356" s="38" t="str">
        <f>IF(Tabla_Auditorias[[#This Row],[TOTAL
COSTO
NETO]]&lt;&gt;0,"Si","No")</f>
        <v>Si</v>
      </c>
      <c r="AG356" s="39" t="s">
        <v>390</v>
      </c>
      <c r="AH356" s="40"/>
      <c r="AI356" s="51">
        <f t="shared" si="34"/>
        <v>0</v>
      </c>
      <c r="AJ356" s="38" t="str">
        <f t="shared" si="35"/>
        <v>Pendiente</v>
      </c>
    </row>
    <row r="357" spans="1:36" s="31" customFormat="1" ht="25.5" customHeight="1" x14ac:dyDescent="0.2">
      <c r="A357" s="32">
        <v>353</v>
      </c>
      <c r="B357" s="33" t="s">
        <v>208</v>
      </c>
      <c r="C357" s="32" t="s">
        <v>43</v>
      </c>
      <c r="D357" s="32" t="s">
        <v>44</v>
      </c>
      <c r="E357" s="32" t="s">
        <v>58</v>
      </c>
      <c r="F357" s="32">
        <v>1521</v>
      </c>
      <c r="G357" s="33" t="s">
        <v>389</v>
      </c>
      <c r="H357" s="32" t="s">
        <v>47</v>
      </c>
      <c r="I357" s="32"/>
      <c r="J357" s="34">
        <v>45979</v>
      </c>
      <c r="K357" s="34">
        <v>45979</v>
      </c>
      <c r="L357" s="32" t="s">
        <v>48</v>
      </c>
      <c r="M357" s="48">
        <v>191581.55</v>
      </c>
      <c r="N357" s="48">
        <v>2497.5500000000002</v>
      </c>
      <c r="O357" s="48">
        <v>-1008.38</v>
      </c>
      <c r="P357" s="48">
        <v>24.29</v>
      </c>
      <c r="Q357" s="48">
        <v>0</v>
      </c>
      <c r="R357" s="48">
        <v>0</v>
      </c>
      <c r="S357" s="48"/>
      <c r="T357" s="48">
        <f t="shared" si="30"/>
        <v>1513.46</v>
      </c>
      <c r="U357" s="48">
        <f t="shared" si="31"/>
        <v>1513.46</v>
      </c>
      <c r="V357" s="49">
        <f>+Tabla_Auditorias[[#This Row],[AJUSTE
EGRESO
COSTO]]+Tabla_Auditorias[[#This Row],[AJUSTE EGRESO
MAL ESTADO]]+Tabla_Auditorias[[#This Row],[AJUSTE
INGRESO
COSTO]]</f>
        <v>0</v>
      </c>
      <c r="W357" s="48">
        <v>0</v>
      </c>
      <c r="X357" s="48"/>
      <c r="Y357" s="48"/>
      <c r="Z357" s="48">
        <v>0</v>
      </c>
      <c r="AA357" s="50">
        <f>+SUM(Tabla_Auditorias[[#This Row],[AJUSTE
EGRESO
COSTO]:[AJUSTE
INGRESO
COSTO]])</f>
        <v>0</v>
      </c>
      <c r="AB357" s="36" t="str">
        <f t="shared" si="32"/>
        <v>MEDIO</v>
      </c>
      <c r="AC357" s="37">
        <f t="shared" si="33"/>
        <v>32</v>
      </c>
      <c r="AD357" s="35">
        <v>0</v>
      </c>
      <c r="AE357" s="41" t="s">
        <v>49</v>
      </c>
      <c r="AF357" s="38" t="str">
        <f>IF(Tabla_Auditorias[[#This Row],[TOTAL
COSTO
NETO]]&lt;&gt;0,"Si","No")</f>
        <v>No</v>
      </c>
      <c r="AG357" s="39" t="s">
        <v>391</v>
      </c>
      <c r="AH357" s="40"/>
      <c r="AI357" s="51" t="str">
        <f t="shared" si="34"/>
        <v/>
      </c>
      <c r="AJ357" s="38" t="str">
        <f t="shared" si="35"/>
        <v>Pendiente</v>
      </c>
    </row>
    <row r="358" spans="1:36" s="31" customFormat="1" ht="25.5" customHeight="1" x14ac:dyDescent="0.2">
      <c r="A358" s="32">
        <v>354</v>
      </c>
      <c r="B358" s="33" t="s">
        <v>131</v>
      </c>
      <c r="C358" s="32" t="s">
        <v>51</v>
      </c>
      <c r="D358" s="32" t="s">
        <v>57</v>
      </c>
      <c r="E358" s="32" t="s">
        <v>45</v>
      </c>
      <c r="F358" s="32">
        <v>1703</v>
      </c>
      <c r="G358" s="33" t="s">
        <v>380</v>
      </c>
      <c r="H358" s="32" t="s">
        <v>47</v>
      </c>
      <c r="I358" s="32"/>
      <c r="J358" s="34">
        <v>45979</v>
      </c>
      <c r="K358" s="34">
        <v>45979</v>
      </c>
      <c r="L358" s="32" t="s">
        <v>48</v>
      </c>
      <c r="M358" s="48">
        <v>115480.01</v>
      </c>
      <c r="N358" s="48">
        <v>248.65</v>
      </c>
      <c r="O358" s="48">
        <v>-44.65</v>
      </c>
      <c r="P358" s="48">
        <v>-11.81</v>
      </c>
      <c r="Q358" s="48">
        <v>-235.09</v>
      </c>
      <c r="R358" s="48">
        <v>0</v>
      </c>
      <c r="S358" s="48"/>
      <c r="T358" s="48">
        <f t="shared" si="30"/>
        <v>-42.900000000000006</v>
      </c>
      <c r="U358" s="48">
        <f t="shared" si="31"/>
        <v>-42.900000000000006</v>
      </c>
      <c r="V358" s="49">
        <f>+Tabla_Auditorias[[#This Row],[AJUSTE
EGRESO
COSTO]]+Tabla_Auditorias[[#This Row],[AJUSTE EGRESO
MAL ESTADO]]+Tabla_Auditorias[[#This Row],[AJUSTE
INGRESO
COSTO]]</f>
        <v>128.09969999999998</v>
      </c>
      <c r="W358" s="48">
        <v>-224.67320000000001</v>
      </c>
      <c r="X358" s="48"/>
      <c r="Y358" s="48"/>
      <c r="Z358" s="48">
        <v>352.77289999999999</v>
      </c>
      <c r="AA358" s="50">
        <f>+SUM(Tabla_Auditorias[[#This Row],[AJUSTE
EGRESO
COSTO]:[AJUSTE
INGRESO
COSTO]])</f>
        <v>128.09969999999998</v>
      </c>
      <c r="AB358" s="36" t="str">
        <f t="shared" si="32"/>
        <v>MEDIO</v>
      </c>
      <c r="AC358" s="37">
        <f t="shared" si="33"/>
        <v>25</v>
      </c>
      <c r="AD358" s="35">
        <v>0</v>
      </c>
      <c r="AE358" s="41" t="s">
        <v>49</v>
      </c>
      <c r="AF358" s="38" t="str">
        <f>IF(Tabla_Auditorias[[#This Row],[TOTAL
COSTO
NETO]]&lt;&gt;0,"Si","No")</f>
        <v>Si</v>
      </c>
      <c r="AG358" s="39" t="s">
        <v>392</v>
      </c>
      <c r="AH358" s="40"/>
      <c r="AI358" s="51" t="str">
        <f t="shared" si="34"/>
        <v/>
      </c>
      <c r="AJ358" s="38" t="str">
        <f t="shared" si="35"/>
        <v>No Aplica</v>
      </c>
    </row>
    <row r="359" spans="1:36" s="31" customFormat="1" ht="25.5" customHeight="1" x14ac:dyDescent="0.2">
      <c r="A359" s="32">
        <v>355</v>
      </c>
      <c r="B359" s="33" t="s">
        <v>159</v>
      </c>
      <c r="C359" s="32" t="s">
        <v>51</v>
      </c>
      <c r="D359" s="32" t="s">
        <v>57</v>
      </c>
      <c r="E359" s="32" t="s">
        <v>53</v>
      </c>
      <c r="F359" s="32">
        <v>1743</v>
      </c>
      <c r="G359" s="33" t="s">
        <v>387</v>
      </c>
      <c r="H359" s="32" t="s">
        <v>47</v>
      </c>
      <c r="I359" s="32"/>
      <c r="J359" s="34">
        <v>45980</v>
      </c>
      <c r="K359" s="34">
        <v>45980</v>
      </c>
      <c r="L359" s="32" t="s">
        <v>48</v>
      </c>
      <c r="M359" s="48">
        <v>128708.63</v>
      </c>
      <c r="N359" s="48">
        <v>12.59</v>
      </c>
      <c r="O359" s="48">
        <v>0</v>
      </c>
      <c r="P359" s="48">
        <v>-144.49</v>
      </c>
      <c r="Q359" s="48">
        <v>0</v>
      </c>
      <c r="R359" s="48">
        <v>0</v>
      </c>
      <c r="S359" s="48"/>
      <c r="T359" s="48">
        <f t="shared" si="30"/>
        <v>-131.9</v>
      </c>
      <c r="U359" s="48">
        <f t="shared" si="31"/>
        <v>-131.9</v>
      </c>
      <c r="V359" s="49">
        <f>+Tabla_Auditorias[[#This Row],[AJUSTE
EGRESO
COSTO]]+Tabla_Auditorias[[#This Row],[AJUSTE EGRESO
MAL ESTADO]]+Tabla_Auditorias[[#This Row],[AJUSTE
INGRESO
COSTO]]</f>
        <v>8.8699999999999477</v>
      </c>
      <c r="W359" s="48">
        <v>-294.72000000000003</v>
      </c>
      <c r="X359" s="48"/>
      <c r="Y359" s="48"/>
      <c r="Z359" s="48">
        <v>303.58999999999997</v>
      </c>
      <c r="AA359" s="50">
        <f>+SUM(Tabla_Auditorias[[#This Row],[AJUSTE
EGRESO
COSTO]:[AJUSTE
INGRESO
COSTO]])</f>
        <v>8.8699999999999477</v>
      </c>
      <c r="AB359" s="36" t="str">
        <f t="shared" si="32"/>
        <v>BAJO</v>
      </c>
      <c r="AC359" s="37">
        <f t="shared" si="33"/>
        <v>10</v>
      </c>
      <c r="AD359" s="35">
        <v>0</v>
      </c>
      <c r="AE359" s="41" t="s">
        <v>49</v>
      </c>
      <c r="AF359" s="38" t="str">
        <f>IF(Tabla_Auditorias[[#This Row],[TOTAL
COSTO
NETO]]&lt;&gt;0,"Si","No")</f>
        <v>Si</v>
      </c>
      <c r="AG359" s="39" t="s">
        <v>393</v>
      </c>
      <c r="AH359" s="40"/>
      <c r="AI359" s="51" t="str">
        <f t="shared" si="34"/>
        <v/>
      </c>
      <c r="AJ359" s="38" t="str">
        <f t="shared" si="35"/>
        <v>No Aplica</v>
      </c>
    </row>
    <row r="360" spans="1:36" s="31" customFormat="1" ht="25.5" customHeight="1" x14ac:dyDescent="0.2">
      <c r="A360" s="32">
        <v>356</v>
      </c>
      <c r="B360" s="33" t="s">
        <v>227</v>
      </c>
      <c r="C360" s="32" t="s">
        <v>88</v>
      </c>
      <c r="D360" s="32" t="s">
        <v>228</v>
      </c>
      <c r="E360" s="32" t="s">
        <v>53</v>
      </c>
      <c r="F360" s="32">
        <v>1450</v>
      </c>
      <c r="G360" s="33" t="s">
        <v>387</v>
      </c>
      <c r="H360" s="32" t="s">
        <v>47</v>
      </c>
      <c r="I360" s="32"/>
      <c r="J360" s="34">
        <v>45982</v>
      </c>
      <c r="K360" s="34">
        <v>45982</v>
      </c>
      <c r="L360" s="32" t="s">
        <v>48</v>
      </c>
      <c r="M360" s="48"/>
      <c r="N360" s="48"/>
      <c r="O360" s="48"/>
      <c r="P360" s="48"/>
      <c r="Q360" s="48"/>
      <c r="R360" s="48"/>
      <c r="S360" s="48"/>
      <c r="T360" s="48">
        <f t="shared" si="30"/>
        <v>0</v>
      </c>
      <c r="U360" s="48">
        <f t="shared" si="31"/>
        <v>0</v>
      </c>
      <c r="V360" s="49">
        <f>+Tabla_Auditorias[[#This Row],[AJUSTE
EGRESO
COSTO]]+Tabla_Auditorias[[#This Row],[AJUSTE EGRESO
MAL ESTADO]]+Tabla_Auditorias[[#This Row],[AJUSTE
INGRESO
COSTO]]</f>
        <v>0</v>
      </c>
      <c r="W360" s="48"/>
      <c r="X360" s="48"/>
      <c r="Y360" s="48"/>
      <c r="Z360" s="48"/>
      <c r="AA360" s="50">
        <f>+SUM(Tabla_Auditorias[[#This Row],[AJUSTE
EGRESO
COSTO]:[AJUSTE
INGRESO
COSTO]])</f>
        <v>0</v>
      </c>
      <c r="AB360" s="36" t="str">
        <f t="shared" si="32"/>
        <v>BAJO</v>
      </c>
      <c r="AC360" s="37">
        <f t="shared" si="33"/>
        <v>0</v>
      </c>
      <c r="AD360" s="35">
        <v>0</v>
      </c>
      <c r="AE360" s="41" t="s">
        <v>49</v>
      </c>
      <c r="AF360" s="38" t="str">
        <f>IF(Tabla_Auditorias[[#This Row],[TOTAL
COSTO
NETO]]&lt;&gt;0,"Si","No")</f>
        <v>No</v>
      </c>
      <c r="AG360" s="39" t="s">
        <v>394</v>
      </c>
      <c r="AH360" s="40"/>
      <c r="AI360" s="51" t="str">
        <f t="shared" si="34"/>
        <v/>
      </c>
      <c r="AJ360" s="38" t="str">
        <f t="shared" si="35"/>
        <v>Pendiente</v>
      </c>
    </row>
    <row r="361" spans="1:36" s="31" customFormat="1" ht="25.5" customHeight="1" x14ac:dyDescent="0.2">
      <c r="A361" s="32">
        <v>357</v>
      </c>
      <c r="B361" s="33" t="s">
        <v>175</v>
      </c>
      <c r="C361" s="32" t="s">
        <v>51</v>
      </c>
      <c r="D361" s="32" t="s">
        <v>52</v>
      </c>
      <c r="E361" s="32" t="s">
        <v>58</v>
      </c>
      <c r="F361" s="32">
        <v>1738</v>
      </c>
      <c r="G361" s="33" t="s">
        <v>389</v>
      </c>
      <c r="H361" s="32" t="s">
        <v>47</v>
      </c>
      <c r="I361" s="32"/>
      <c r="J361" s="34">
        <v>45983</v>
      </c>
      <c r="K361" s="34">
        <v>45983</v>
      </c>
      <c r="L361" s="32" t="s">
        <v>48</v>
      </c>
      <c r="M361" s="48">
        <v>39139.699999999997</v>
      </c>
      <c r="N361" s="48">
        <v>0</v>
      </c>
      <c r="O361" s="48">
        <v>0</v>
      </c>
      <c r="P361" s="48">
        <v>0</v>
      </c>
      <c r="Q361" s="48">
        <v>0</v>
      </c>
      <c r="R361" s="48">
        <v>0</v>
      </c>
      <c r="S361" s="48"/>
      <c r="T361" s="48">
        <f t="shared" si="30"/>
        <v>0</v>
      </c>
      <c r="U361" s="48">
        <f t="shared" si="31"/>
        <v>0</v>
      </c>
      <c r="V361" s="49">
        <f>+Tabla_Auditorias[[#This Row],[AJUSTE
EGRESO
COSTO]]+Tabla_Auditorias[[#This Row],[AJUSTE EGRESO
MAL ESTADO]]+Tabla_Auditorias[[#This Row],[AJUSTE
INGRESO
COSTO]]</f>
        <v>0</v>
      </c>
      <c r="W361" s="48">
        <v>0</v>
      </c>
      <c r="X361" s="48"/>
      <c r="Y361" s="48"/>
      <c r="Z361" s="48">
        <v>0</v>
      </c>
      <c r="AA361" s="50">
        <f>+SUM(Tabla_Auditorias[[#This Row],[AJUSTE
EGRESO
COSTO]:[AJUSTE
INGRESO
COSTO]])</f>
        <v>0</v>
      </c>
      <c r="AB361" s="36" t="str">
        <f t="shared" si="32"/>
        <v>BAJO</v>
      </c>
      <c r="AC361" s="37">
        <f t="shared" si="33"/>
        <v>0</v>
      </c>
      <c r="AD361" s="35">
        <v>0</v>
      </c>
      <c r="AE361" s="41" t="s">
        <v>49</v>
      </c>
      <c r="AF361" s="38" t="str">
        <f>IF(Tabla_Auditorias[[#This Row],[TOTAL
COSTO
NETO]]&lt;&gt;0,"Si","No")</f>
        <v>No</v>
      </c>
      <c r="AG361" s="39" t="s">
        <v>221</v>
      </c>
      <c r="AH361" s="40"/>
      <c r="AI361" s="51" t="str">
        <f t="shared" si="34"/>
        <v/>
      </c>
      <c r="AJ361" s="38" t="str">
        <f t="shared" si="35"/>
        <v>Pendiente</v>
      </c>
    </row>
    <row r="362" spans="1:36" s="31" customFormat="1" ht="25.5" customHeight="1" x14ac:dyDescent="0.2">
      <c r="A362" s="32">
        <v>358</v>
      </c>
      <c r="B362" s="33" t="s">
        <v>160</v>
      </c>
      <c r="C362" s="32" t="s">
        <v>51</v>
      </c>
      <c r="D362" s="32" t="s">
        <v>52</v>
      </c>
      <c r="E362" s="32" t="s">
        <v>53</v>
      </c>
      <c r="F362" s="32">
        <v>1739</v>
      </c>
      <c r="G362" s="33" t="s">
        <v>387</v>
      </c>
      <c r="H362" s="32" t="s">
        <v>47</v>
      </c>
      <c r="I362" s="32"/>
      <c r="J362" s="34">
        <v>45983</v>
      </c>
      <c r="K362" s="34">
        <v>45983</v>
      </c>
      <c r="L362" s="32" t="s">
        <v>48</v>
      </c>
      <c r="M362" s="48">
        <v>21865.87</v>
      </c>
      <c r="N362" s="48">
        <v>0</v>
      </c>
      <c r="O362" s="48">
        <v>0</v>
      </c>
      <c r="P362" s="48">
        <v>0</v>
      </c>
      <c r="Q362" s="48">
        <v>0</v>
      </c>
      <c r="R362" s="48">
        <v>0</v>
      </c>
      <c r="S362" s="48"/>
      <c r="T362" s="48">
        <f t="shared" si="30"/>
        <v>0</v>
      </c>
      <c r="U362" s="48">
        <f t="shared" si="31"/>
        <v>0</v>
      </c>
      <c r="V362" s="49">
        <f>+Tabla_Auditorias[[#This Row],[AJUSTE
EGRESO
COSTO]]+Tabla_Auditorias[[#This Row],[AJUSTE EGRESO
MAL ESTADO]]+Tabla_Auditorias[[#This Row],[AJUSTE
INGRESO
COSTO]]</f>
        <v>0</v>
      </c>
      <c r="W362" s="48">
        <v>0</v>
      </c>
      <c r="X362" s="48"/>
      <c r="Y362" s="48"/>
      <c r="Z362" s="48">
        <v>0</v>
      </c>
      <c r="AA362" s="50">
        <f>+SUM(Tabla_Auditorias[[#This Row],[AJUSTE
EGRESO
COSTO]:[AJUSTE
INGRESO
COSTO]])</f>
        <v>0</v>
      </c>
      <c r="AB362" s="36" t="str">
        <f t="shared" si="32"/>
        <v>BAJO</v>
      </c>
      <c r="AC362" s="37">
        <f t="shared" si="33"/>
        <v>0</v>
      </c>
      <c r="AD362" s="35">
        <v>0</v>
      </c>
      <c r="AE362" s="41" t="s">
        <v>49</v>
      </c>
      <c r="AF362" s="38" t="str">
        <f>IF(Tabla_Auditorias[[#This Row],[TOTAL
COSTO
NETO]]&lt;&gt;0,"Si","No")</f>
        <v>No</v>
      </c>
      <c r="AG362" s="39" t="s">
        <v>296</v>
      </c>
      <c r="AH362" s="40"/>
      <c r="AI362" s="51" t="str">
        <f t="shared" si="34"/>
        <v/>
      </c>
      <c r="AJ362" s="38" t="str">
        <f t="shared" si="35"/>
        <v>Pendiente</v>
      </c>
    </row>
    <row r="363" spans="1:36" s="31" customFormat="1" ht="25.5" customHeight="1" x14ac:dyDescent="0.2">
      <c r="A363" s="32">
        <v>359</v>
      </c>
      <c r="B363" s="33" t="s">
        <v>241</v>
      </c>
      <c r="C363" s="32" t="s">
        <v>51</v>
      </c>
      <c r="D363" s="32" t="s">
        <v>57</v>
      </c>
      <c r="E363" s="32" t="s">
        <v>58</v>
      </c>
      <c r="F363" s="32">
        <v>1741</v>
      </c>
      <c r="G363" s="33" t="s">
        <v>59</v>
      </c>
      <c r="H363" s="32" t="s">
        <v>47</v>
      </c>
      <c r="I363" s="32"/>
      <c r="J363" s="34">
        <v>45985</v>
      </c>
      <c r="K363" s="34">
        <v>45985</v>
      </c>
      <c r="L363" s="32" t="s">
        <v>48</v>
      </c>
      <c r="M363" s="48">
        <v>69086.39</v>
      </c>
      <c r="N363" s="48">
        <v>33.31</v>
      </c>
      <c r="O363" s="48">
        <v>-35.11</v>
      </c>
      <c r="P363" s="48">
        <v>0</v>
      </c>
      <c r="Q363" s="48">
        <v>-754.96</v>
      </c>
      <c r="R363" s="48">
        <v>0</v>
      </c>
      <c r="S363" s="48"/>
      <c r="T363" s="48">
        <f t="shared" si="30"/>
        <v>-756.76</v>
      </c>
      <c r="U363" s="48">
        <f t="shared" si="31"/>
        <v>-756.76</v>
      </c>
      <c r="V363" s="49">
        <f>+Tabla_Auditorias[[#This Row],[AJUSTE
EGRESO
COSTO]]+Tabla_Auditorias[[#This Row],[AJUSTE EGRESO
MAL ESTADO]]+Tabla_Auditorias[[#This Row],[AJUSTE
INGRESO
COSTO]]</f>
        <v>-539.28</v>
      </c>
      <c r="W363" s="48">
        <v>-560.30999999999995</v>
      </c>
      <c r="X363" s="48"/>
      <c r="Y363" s="48"/>
      <c r="Z363" s="48">
        <v>21.03</v>
      </c>
      <c r="AA363" s="50">
        <f>+SUM(Tabla_Auditorias[[#This Row],[AJUSTE
EGRESO
COSTO]:[AJUSTE
INGRESO
COSTO]])</f>
        <v>-539.28</v>
      </c>
      <c r="AB363" s="36" t="str">
        <f t="shared" si="32"/>
        <v>ALTO</v>
      </c>
      <c r="AC363" s="37">
        <f t="shared" si="33"/>
        <v>37</v>
      </c>
      <c r="AD363" s="35">
        <v>0</v>
      </c>
      <c r="AE363" s="41" t="s">
        <v>49</v>
      </c>
      <c r="AF363" s="38" t="str">
        <f>IF(Tabla_Auditorias[[#This Row],[TOTAL
COSTO
NETO]]&lt;&gt;0,"Si","No")</f>
        <v>Si</v>
      </c>
      <c r="AG363" s="39" t="s">
        <v>395</v>
      </c>
      <c r="AH363" s="40"/>
      <c r="AI363" s="51">
        <f t="shared" si="34"/>
        <v>0</v>
      </c>
      <c r="AJ363" s="38" t="str">
        <f t="shared" si="35"/>
        <v>Pendiente</v>
      </c>
    </row>
    <row r="364" spans="1:36" s="31" customFormat="1" ht="25.5" customHeight="1" x14ac:dyDescent="0.2">
      <c r="A364" s="32">
        <v>360</v>
      </c>
      <c r="B364" s="33" t="s">
        <v>82</v>
      </c>
      <c r="C364" s="32" t="s">
        <v>43</v>
      </c>
      <c r="D364" s="32" t="s">
        <v>44</v>
      </c>
      <c r="E364" s="32" t="s">
        <v>45</v>
      </c>
      <c r="F364" s="32">
        <v>1515</v>
      </c>
      <c r="G364" s="33" t="s">
        <v>380</v>
      </c>
      <c r="H364" s="32" t="s">
        <v>47</v>
      </c>
      <c r="I364" s="32"/>
      <c r="J364" s="34">
        <v>45986</v>
      </c>
      <c r="K364" s="34">
        <v>45986</v>
      </c>
      <c r="L364" s="32" t="s">
        <v>48</v>
      </c>
      <c r="M364" s="48">
        <v>254982.88</v>
      </c>
      <c r="N364" s="48"/>
      <c r="O364" s="48">
        <v>-256.19</v>
      </c>
      <c r="P364" s="48"/>
      <c r="Q364" s="48"/>
      <c r="R364" s="48">
        <v>-90.68</v>
      </c>
      <c r="S364" s="48"/>
      <c r="T364" s="48">
        <f t="shared" si="30"/>
        <v>-346.87</v>
      </c>
      <c r="U364" s="48">
        <f t="shared" si="31"/>
        <v>-256.19</v>
      </c>
      <c r="V364" s="49">
        <f>+Tabla_Auditorias[[#This Row],[AJUSTE
EGRESO
COSTO]]+Tabla_Auditorias[[#This Row],[AJUSTE EGRESO
MAL ESTADO]]+Tabla_Auditorias[[#This Row],[AJUSTE
INGRESO
COSTO]]</f>
        <v>0</v>
      </c>
      <c r="W364" s="48"/>
      <c r="X364" s="48"/>
      <c r="Y364" s="48"/>
      <c r="Z364" s="48"/>
      <c r="AA364" s="50">
        <f>+SUM(Tabla_Auditorias[[#This Row],[AJUSTE
EGRESO
COSTO]:[AJUSTE
INGRESO
COSTO]])</f>
        <v>0</v>
      </c>
      <c r="AB364" s="36" t="str">
        <f t="shared" si="32"/>
        <v>MEDIO</v>
      </c>
      <c r="AC364" s="37">
        <f t="shared" si="33"/>
        <v>30</v>
      </c>
      <c r="AD364" s="35">
        <v>0</v>
      </c>
      <c r="AE364" s="41" t="s">
        <v>49</v>
      </c>
      <c r="AF364" s="38" t="str">
        <f>IF(Tabla_Auditorias[[#This Row],[TOTAL
COSTO
NETO]]&lt;&gt;0,"Si","No")</f>
        <v>No</v>
      </c>
      <c r="AG364" s="39" t="s">
        <v>396</v>
      </c>
      <c r="AH364" s="40"/>
      <c r="AI364" s="51" t="str">
        <f t="shared" si="34"/>
        <v/>
      </c>
      <c r="AJ364" s="38" t="str">
        <f t="shared" si="35"/>
        <v>Pendiente</v>
      </c>
    </row>
    <row r="365" spans="1:36" s="31" customFormat="1" ht="25.5" customHeight="1" x14ac:dyDescent="0.2">
      <c r="A365" s="32">
        <v>361</v>
      </c>
      <c r="B365" s="33" t="s">
        <v>203</v>
      </c>
      <c r="C365" s="32" t="s">
        <v>43</v>
      </c>
      <c r="D365" s="32" t="s">
        <v>44</v>
      </c>
      <c r="E365" s="32" t="s">
        <v>58</v>
      </c>
      <c r="F365" s="32">
        <v>1520</v>
      </c>
      <c r="G365" s="33" t="s">
        <v>59</v>
      </c>
      <c r="H365" s="32" t="s">
        <v>47</v>
      </c>
      <c r="I365" s="32"/>
      <c r="J365" s="34">
        <v>45987</v>
      </c>
      <c r="K365" s="34">
        <v>45987</v>
      </c>
      <c r="L365" s="32" t="s">
        <v>48</v>
      </c>
      <c r="M365" s="48">
        <v>168160.74</v>
      </c>
      <c r="N365" s="48">
        <v>85.91</v>
      </c>
      <c r="O365" s="48">
        <v>-674.84</v>
      </c>
      <c r="P365" s="48">
        <v>-11.83</v>
      </c>
      <c r="Q365" s="48">
        <v>-658.47</v>
      </c>
      <c r="R365" s="48">
        <v>0</v>
      </c>
      <c r="S365" s="48"/>
      <c r="T365" s="48">
        <f t="shared" si="30"/>
        <v>-1259.23</v>
      </c>
      <c r="U365" s="48">
        <f t="shared" si="31"/>
        <v>-1259.23</v>
      </c>
      <c r="V365" s="49">
        <f>+Tabla_Auditorias[[#This Row],[AJUSTE
EGRESO
COSTO]]+Tabla_Auditorias[[#This Row],[AJUSTE EGRESO
MAL ESTADO]]+Tabla_Auditorias[[#This Row],[AJUSTE
INGRESO
COSTO]]</f>
        <v>-745.86</v>
      </c>
      <c r="W365" s="48">
        <v>-893.69</v>
      </c>
      <c r="X365" s="48"/>
      <c r="Y365" s="48"/>
      <c r="Z365" s="48">
        <v>147.83000000000001</v>
      </c>
      <c r="AA365" s="50">
        <f>+SUM(Tabla_Auditorias[[#This Row],[AJUSTE
EGRESO
COSTO]:[AJUSTE
INGRESO
COSTO]])</f>
        <v>-745.86</v>
      </c>
      <c r="AB365" s="36" t="str">
        <f t="shared" si="32"/>
        <v>ALTO</v>
      </c>
      <c r="AC365" s="37">
        <f t="shared" si="33"/>
        <v>37</v>
      </c>
      <c r="AD365" s="35">
        <v>0</v>
      </c>
      <c r="AE365" s="41" t="s">
        <v>49</v>
      </c>
      <c r="AF365" s="38" t="str">
        <f>IF(Tabla_Auditorias[[#This Row],[TOTAL
COSTO
NETO]]&lt;&gt;0,"Si","No")</f>
        <v>Si</v>
      </c>
      <c r="AG365" s="39" t="s">
        <v>397</v>
      </c>
      <c r="AH365" s="40"/>
      <c r="AI365" s="51">
        <f t="shared" si="34"/>
        <v>0</v>
      </c>
      <c r="AJ365" s="38" t="str">
        <f t="shared" si="35"/>
        <v>Pendiente</v>
      </c>
    </row>
    <row r="366" spans="1:36" s="31" customFormat="1" ht="25.5" customHeight="1" x14ac:dyDescent="0.2">
      <c r="A366" s="32">
        <v>362</v>
      </c>
      <c r="B366" s="33" t="s">
        <v>91</v>
      </c>
      <c r="C366" s="32" t="s">
        <v>43</v>
      </c>
      <c r="D366" s="32" t="s">
        <v>44</v>
      </c>
      <c r="E366" s="32" t="s">
        <v>53</v>
      </c>
      <c r="F366" s="32">
        <v>1518</v>
      </c>
      <c r="G366" s="33" t="s">
        <v>54</v>
      </c>
      <c r="H366" s="32" t="s">
        <v>47</v>
      </c>
      <c r="I366" s="32"/>
      <c r="J366" s="34">
        <v>45996</v>
      </c>
      <c r="K366" s="34">
        <v>45996</v>
      </c>
      <c r="L366" s="32" t="s">
        <v>48</v>
      </c>
      <c r="M366" s="48">
        <v>80441.67</v>
      </c>
      <c r="N366" s="48">
        <v>0</v>
      </c>
      <c r="O366" s="48">
        <v>0</v>
      </c>
      <c r="P366" s="48">
        <v>181.3</v>
      </c>
      <c r="Q366" s="48">
        <v>0</v>
      </c>
      <c r="R366" s="48">
        <v>0</v>
      </c>
      <c r="S366" s="48"/>
      <c r="T366" s="48">
        <f t="shared" si="30"/>
        <v>181.3</v>
      </c>
      <c r="U366" s="48">
        <f t="shared" si="31"/>
        <v>181.3</v>
      </c>
      <c r="V366" s="49">
        <f>+Tabla_Auditorias[[#This Row],[AJUSTE
EGRESO
COSTO]]+Tabla_Auditorias[[#This Row],[AJUSTE EGRESO
MAL ESTADO]]+Tabla_Auditorias[[#This Row],[AJUSTE
INGRESO
COSTO]]</f>
        <v>175.88069999999999</v>
      </c>
      <c r="W366" s="48">
        <v>-289.33420000000001</v>
      </c>
      <c r="X366" s="48"/>
      <c r="Y366" s="48"/>
      <c r="Z366" s="48">
        <v>465.2149</v>
      </c>
      <c r="AA366" s="50">
        <f>+SUM(Tabla_Auditorias[[#This Row],[AJUSTE
EGRESO
COSTO]:[AJUSTE
INGRESO
COSTO]])</f>
        <v>175.88069999999999</v>
      </c>
      <c r="AB366" s="36" t="str">
        <f t="shared" si="32"/>
        <v>BAJO</v>
      </c>
      <c r="AC366" s="37">
        <f t="shared" si="33"/>
        <v>10</v>
      </c>
      <c r="AD366" s="35">
        <v>0</v>
      </c>
      <c r="AE366" s="41" t="s">
        <v>49</v>
      </c>
      <c r="AF366" s="38" t="str">
        <f>IF(Tabla_Auditorias[[#This Row],[TOTAL
COSTO
NETO]]&lt;&gt;0,"Si","No")</f>
        <v>Si</v>
      </c>
      <c r="AG366" s="39" t="s">
        <v>398</v>
      </c>
      <c r="AH366" s="40"/>
      <c r="AI366" s="51" t="str">
        <f t="shared" si="34"/>
        <v/>
      </c>
      <c r="AJ366" s="38" t="str">
        <f t="shared" si="35"/>
        <v>No Aplica</v>
      </c>
    </row>
    <row r="367" spans="1:36" s="31" customFormat="1" ht="25.5" customHeight="1" x14ac:dyDescent="0.2">
      <c r="A367" s="32">
        <v>363</v>
      </c>
      <c r="B367" s="33" t="s">
        <v>72</v>
      </c>
      <c r="C367" s="32" t="s">
        <v>43</v>
      </c>
      <c r="D367" s="32" t="s">
        <v>44</v>
      </c>
      <c r="E367" s="32" t="s">
        <v>58</v>
      </c>
      <c r="F367" s="32">
        <v>1514</v>
      </c>
      <c r="G367" s="33" t="s">
        <v>59</v>
      </c>
      <c r="H367" s="32" t="s">
        <v>47</v>
      </c>
      <c r="I367" s="32"/>
      <c r="J367" s="34">
        <v>45997</v>
      </c>
      <c r="K367" s="34">
        <v>45997</v>
      </c>
      <c r="L367" s="32" t="s">
        <v>48</v>
      </c>
      <c r="M367" s="48">
        <v>86101.11</v>
      </c>
      <c r="N367" s="48">
        <v>264.95</v>
      </c>
      <c r="O367" s="48">
        <v>-2376.16</v>
      </c>
      <c r="P367" s="48">
        <v>11.97</v>
      </c>
      <c r="Q367" s="48">
        <v>-559.16</v>
      </c>
      <c r="R367" s="48">
        <v>0</v>
      </c>
      <c r="S367" s="48"/>
      <c r="T367" s="48">
        <f t="shared" si="30"/>
        <v>-2658.4</v>
      </c>
      <c r="U367" s="48">
        <f t="shared" si="31"/>
        <v>-2658.4</v>
      </c>
      <c r="V367" s="49">
        <f>+Tabla_Auditorias[[#This Row],[AJUSTE
EGRESO
COSTO]]+Tabla_Auditorias[[#This Row],[AJUSTE EGRESO
MAL ESTADO]]+Tabla_Auditorias[[#This Row],[AJUSTE
INGRESO
COSTO]]</f>
        <v>-1438.2923000000001</v>
      </c>
      <c r="W367" s="48">
        <v>-2392.0473999999999</v>
      </c>
      <c r="X367" s="48"/>
      <c r="Y367" s="48"/>
      <c r="Z367" s="48">
        <v>953.75509999999997</v>
      </c>
      <c r="AA367" s="50">
        <f>+SUM(Tabla_Auditorias[[#This Row],[AJUSTE
EGRESO
COSTO]:[AJUSTE
INGRESO
COSTO]])</f>
        <v>-1438.2923000000001</v>
      </c>
      <c r="AB367" s="36" t="str">
        <f t="shared" si="32"/>
        <v>ALTO</v>
      </c>
      <c r="AC367" s="37">
        <f t="shared" si="33"/>
        <v>60</v>
      </c>
      <c r="AD367" s="35">
        <v>0</v>
      </c>
      <c r="AE367" s="41" t="s">
        <v>49</v>
      </c>
      <c r="AF367" s="38" t="str">
        <f>IF(Tabla_Auditorias[[#This Row],[TOTAL
COSTO
NETO]]&lt;&gt;0,"Si","No")</f>
        <v>Si</v>
      </c>
      <c r="AG367" s="39" t="s">
        <v>399</v>
      </c>
      <c r="AH367" s="40"/>
      <c r="AI367" s="51">
        <f t="shared" si="34"/>
        <v>0</v>
      </c>
      <c r="AJ367" s="38" t="str">
        <f t="shared" si="35"/>
        <v>Pendiente</v>
      </c>
    </row>
    <row r="368" spans="1:36" s="31" customFormat="1" ht="25.5" customHeight="1" x14ac:dyDescent="0.2">
      <c r="A368" s="32">
        <v>364</v>
      </c>
      <c r="B368" s="33" t="s">
        <v>85</v>
      </c>
      <c r="C368" s="32" t="s">
        <v>43</v>
      </c>
      <c r="D368" s="32" t="s">
        <v>44</v>
      </c>
      <c r="E368" s="32" t="s">
        <v>53</v>
      </c>
      <c r="F368" s="32">
        <v>1510</v>
      </c>
      <c r="G368" s="33" t="s">
        <v>54</v>
      </c>
      <c r="H368" s="32" t="s">
        <v>47</v>
      </c>
      <c r="I368" s="32"/>
      <c r="J368" s="34">
        <v>45999</v>
      </c>
      <c r="K368" s="34">
        <v>45999</v>
      </c>
      <c r="L368" s="32" t="s">
        <v>48</v>
      </c>
      <c r="M368" s="48">
        <v>79280.92</v>
      </c>
      <c r="N368" s="48">
        <v>481.62</v>
      </c>
      <c r="O368" s="48">
        <v>-1962.48</v>
      </c>
      <c r="P368" s="48">
        <v>0</v>
      </c>
      <c r="Q368" s="48">
        <v>0</v>
      </c>
      <c r="R368" s="48">
        <v>0</v>
      </c>
      <c r="S368" s="48"/>
      <c r="T368" s="48">
        <f t="shared" si="30"/>
        <v>-1480.8600000000001</v>
      </c>
      <c r="U368" s="48">
        <f t="shared" si="31"/>
        <v>-1480.8600000000001</v>
      </c>
      <c r="V368" s="49">
        <f>+Tabla_Auditorias[[#This Row],[AJUSTE
EGRESO
COSTO]]+Tabla_Auditorias[[#This Row],[AJUSTE EGRESO
MAL ESTADO]]+Tabla_Auditorias[[#This Row],[AJUSTE
INGRESO
COSTO]]</f>
        <v>0</v>
      </c>
      <c r="W368" s="48"/>
      <c r="X368" s="48"/>
      <c r="Y368" s="48"/>
      <c r="Z368" s="48"/>
      <c r="AA368" s="50">
        <f>+SUM(Tabla_Auditorias[[#This Row],[AJUSTE
EGRESO
COSTO]:[AJUSTE
INGRESO
COSTO]])</f>
        <v>0</v>
      </c>
      <c r="AB368" s="36" t="str">
        <f t="shared" si="32"/>
        <v>ALTO</v>
      </c>
      <c r="AC368" s="37">
        <f t="shared" si="33"/>
        <v>47</v>
      </c>
      <c r="AD368" s="35">
        <v>0</v>
      </c>
      <c r="AE368" s="41" t="s">
        <v>49</v>
      </c>
      <c r="AF368" s="38" t="str">
        <f>IF(Tabla_Auditorias[[#This Row],[TOTAL
COSTO
NETO]]&lt;&gt;0,"Si","No")</f>
        <v>No</v>
      </c>
      <c r="AG368" s="39"/>
      <c r="AH368" s="40"/>
      <c r="AI368" s="51" t="str">
        <f t="shared" si="34"/>
        <v/>
      </c>
      <c r="AJ368" s="38" t="str">
        <f t="shared" si="35"/>
        <v>Pendiente</v>
      </c>
    </row>
    <row r="369" spans="1:36" s="31" customFormat="1" ht="25.5" customHeight="1" x14ac:dyDescent="0.2">
      <c r="A369" s="32">
        <v>365</v>
      </c>
      <c r="B369" s="33" t="s">
        <v>118</v>
      </c>
      <c r="C369" s="32" t="s">
        <v>43</v>
      </c>
      <c r="D369" s="32" t="s">
        <v>44</v>
      </c>
      <c r="E369" s="32" t="s">
        <v>53</v>
      </c>
      <c r="F369" s="32">
        <v>1507</v>
      </c>
      <c r="G369" s="33" t="s">
        <v>54</v>
      </c>
      <c r="H369" s="32" t="s">
        <v>47</v>
      </c>
      <c r="I369" s="32"/>
      <c r="J369" s="34">
        <v>46001</v>
      </c>
      <c r="K369" s="34">
        <v>46001</v>
      </c>
      <c r="L369" s="32" t="s">
        <v>48</v>
      </c>
      <c r="M369" s="48">
        <v>76436.039999999994</v>
      </c>
      <c r="N369" s="48">
        <v>0</v>
      </c>
      <c r="O369" s="48">
        <v>0</v>
      </c>
      <c r="P369" s="48">
        <v>0</v>
      </c>
      <c r="Q369" s="48">
        <v>0</v>
      </c>
      <c r="R369" s="48">
        <v>0</v>
      </c>
      <c r="S369" s="48"/>
      <c r="T369" s="48">
        <f t="shared" si="30"/>
        <v>0</v>
      </c>
      <c r="U369" s="48">
        <f t="shared" si="31"/>
        <v>0</v>
      </c>
      <c r="V369" s="49">
        <f>+Tabla_Auditorias[[#This Row],[AJUSTE
EGRESO
COSTO]]+Tabla_Auditorias[[#This Row],[AJUSTE EGRESO
MAL ESTADO]]+Tabla_Auditorias[[#This Row],[AJUSTE
INGRESO
COSTO]]</f>
        <v>0</v>
      </c>
      <c r="W369" s="48">
        <v>0</v>
      </c>
      <c r="X369" s="48"/>
      <c r="Y369" s="48"/>
      <c r="Z369" s="48">
        <v>0</v>
      </c>
      <c r="AA369" s="50">
        <f>+SUM(Tabla_Auditorias[[#This Row],[AJUSTE
EGRESO
COSTO]:[AJUSTE
INGRESO
COSTO]])</f>
        <v>0</v>
      </c>
      <c r="AB369" s="36" t="str">
        <f t="shared" si="32"/>
        <v>BAJO</v>
      </c>
      <c r="AC369" s="37">
        <f t="shared" si="33"/>
        <v>0</v>
      </c>
      <c r="AD369" s="35">
        <v>0</v>
      </c>
      <c r="AE369" s="41" t="s">
        <v>49</v>
      </c>
      <c r="AF369" s="38" t="str">
        <f>IF(Tabla_Auditorias[[#This Row],[TOTAL
COSTO
NETO]]&lt;&gt;0,"Si","No")</f>
        <v>No</v>
      </c>
      <c r="AG369" s="39" t="s">
        <v>221</v>
      </c>
      <c r="AH369" s="40"/>
      <c r="AI369" s="51" t="str">
        <f t="shared" si="34"/>
        <v/>
      </c>
      <c r="AJ369" s="38" t="str">
        <f t="shared" si="35"/>
        <v>Pendiente</v>
      </c>
    </row>
    <row r="370" spans="1:36" s="31" customFormat="1" ht="25.5" customHeight="1" x14ac:dyDescent="0.2">
      <c r="A370" s="32">
        <v>366</v>
      </c>
      <c r="B370" s="33" t="s">
        <v>113</v>
      </c>
      <c r="C370" s="32" t="s">
        <v>51</v>
      </c>
      <c r="D370" s="32" t="s">
        <v>57</v>
      </c>
      <c r="E370" s="32" t="s">
        <v>58</v>
      </c>
      <c r="F370" s="32">
        <v>1728</v>
      </c>
      <c r="G370" s="33" t="s">
        <v>59</v>
      </c>
      <c r="H370" s="32" t="s">
        <v>47</v>
      </c>
      <c r="I370" s="32"/>
      <c r="J370" s="34">
        <v>46001</v>
      </c>
      <c r="K370" s="34">
        <v>46001</v>
      </c>
      <c r="L370" s="32" t="s">
        <v>48</v>
      </c>
      <c r="M370" s="48">
        <v>53251.01</v>
      </c>
      <c r="N370" s="48">
        <v>0</v>
      </c>
      <c r="O370" s="48">
        <v>0</v>
      </c>
      <c r="P370" s="48">
        <v>0</v>
      </c>
      <c r="Q370" s="48">
        <v>0</v>
      </c>
      <c r="R370" s="48">
        <v>0</v>
      </c>
      <c r="S370" s="48"/>
      <c r="T370" s="48">
        <f t="shared" si="30"/>
        <v>0</v>
      </c>
      <c r="U370" s="48">
        <f t="shared" si="31"/>
        <v>0</v>
      </c>
      <c r="V370" s="49">
        <f>+Tabla_Auditorias[[#This Row],[AJUSTE
EGRESO
COSTO]]+Tabla_Auditorias[[#This Row],[AJUSTE EGRESO
MAL ESTADO]]+Tabla_Auditorias[[#This Row],[AJUSTE
INGRESO
COSTO]]</f>
        <v>0</v>
      </c>
      <c r="W370" s="48">
        <v>0</v>
      </c>
      <c r="X370" s="48"/>
      <c r="Y370" s="48"/>
      <c r="Z370" s="48">
        <v>0</v>
      </c>
      <c r="AA370" s="50">
        <f>+SUM(Tabla_Auditorias[[#This Row],[AJUSTE
EGRESO
COSTO]:[AJUSTE
INGRESO
COSTO]])</f>
        <v>0</v>
      </c>
      <c r="AB370" s="36" t="str">
        <f t="shared" si="32"/>
        <v>BAJO</v>
      </c>
      <c r="AC370" s="37">
        <f t="shared" si="33"/>
        <v>0</v>
      </c>
      <c r="AD370" s="35">
        <v>0</v>
      </c>
      <c r="AE370" s="41" t="s">
        <v>49</v>
      </c>
      <c r="AF370" s="38" t="str">
        <f>IF(Tabla_Auditorias[[#This Row],[TOTAL
COSTO
NETO]]&lt;&gt;0,"Si","No")</f>
        <v>No</v>
      </c>
      <c r="AG370" s="39" t="s">
        <v>400</v>
      </c>
      <c r="AH370" s="40"/>
      <c r="AI370" s="51" t="str">
        <f t="shared" si="34"/>
        <v/>
      </c>
      <c r="AJ370" s="38" t="str">
        <f t="shared" si="35"/>
        <v>Pendiente</v>
      </c>
    </row>
    <row r="371" spans="1:36" s="31" customFormat="1" ht="25.5" customHeight="1" x14ac:dyDescent="0.2">
      <c r="A371" s="32">
        <v>367</v>
      </c>
      <c r="B371" s="33" t="s">
        <v>379</v>
      </c>
      <c r="C371" s="32" t="s">
        <v>51</v>
      </c>
      <c r="D371" s="32" t="s">
        <v>362</v>
      </c>
      <c r="E371" s="32" t="s">
        <v>45</v>
      </c>
      <c r="F371" s="32">
        <v>1716</v>
      </c>
      <c r="G371" s="33" t="s">
        <v>314</v>
      </c>
      <c r="H371" s="32" t="s">
        <v>47</v>
      </c>
      <c r="I371" s="32"/>
      <c r="J371" s="34">
        <v>46001</v>
      </c>
      <c r="K371" s="34">
        <v>46001</v>
      </c>
      <c r="L371" s="32" t="s">
        <v>48</v>
      </c>
      <c r="M371" s="48">
        <v>51481.72</v>
      </c>
      <c r="N371" s="48">
        <v>161.78</v>
      </c>
      <c r="O371" s="48">
        <v>-90.81</v>
      </c>
      <c r="P371" s="48">
        <v>0</v>
      </c>
      <c r="Q371" s="48">
        <v>0</v>
      </c>
      <c r="R371" s="48">
        <v>0</v>
      </c>
      <c r="S371" s="48"/>
      <c r="T371" s="48">
        <f t="shared" si="30"/>
        <v>70.97</v>
      </c>
      <c r="U371" s="48">
        <f t="shared" si="31"/>
        <v>70.97</v>
      </c>
      <c r="V371" s="49">
        <f>+Tabla_Auditorias[[#This Row],[AJUSTE
EGRESO
COSTO]]+Tabla_Auditorias[[#This Row],[AJUSTE EGRESO
MAL ESTADO]]+Tabla_Auditorias[[#This Row],[AJUSTE
INGRESO
COSTO]]</f>
        <v>70.97</v>
      </c>
      <c r="W371" s="48">
        <v>-90.81</v>
      </c>
      <c r="X371" s="48"/>
      <c r="Y371" s="48"/>
      <c r="Z371" s="48">
        <v>161.78</v>
      </c>
      <c r="AA371" s="50">
        <f>+SUM(Tabla_Auditorias[[#This Row],[AJUSTE
EGRESO
COSTO]:[AJUSTE
INGRESO
COSTO]])</f>
        <v>70.97</v>
      </c>
      <c r="AB371" s="36" t="str">
        <f t="shared" si="32"/>
        <v>MEDIO</v>
      </c>
      <c r="AC371" s="37">
        <f t="shared" si="33"/>
        <v>20</v>
      </c>
      <c r="AD371" s="35">
        <v>0</v>
      </c>
      <c r="AE371" s="41" t="s">
        <v>49</v>
      </c>
      <c r="AF371" s="38" t="str">
        <f>IF(Tabla_Auditorias[[#This Row],[TOTAL
COSTO
NETO]]&lt;&gt;0,"Si","No")</f>
        <v>Si</v>
      </c>
      <c r="AG371" s="39" t="s">
        <v>401</v>
      </c>
      <c r="AH371" s="40"/>
      <c r="AI371" s="51" t="str">
        <f t="shared" si="34"/>
        <v/>
      </c>
      <c r="AJ371" s="38" t="str">
        <f t="shared" si="35"/>
        <v>No Aplica</v>
      </c>
    </row>
    <row r="372" spans="1:36" s="31" customFormat="1" ht="25.5" customHeight="1" x14ac:dyDescent="0.2">
      <c r="A372" s="32">
        <v>368</v>
      </c>
      <c r="B372" s="33" t="s">
        <v>115</v>
      </c>
      <c r="C372" s="32" t="s">
        <v>51</v>
      </c>
      <c r="D372" s="32" t="s">
        <v>57</v>
      </c>
      <c r="E372" s="32" t="s">
        <v>58</v>
      </c>
      <c r="F372" s="32">
        <v>1734</v>
      </c>
      <c r="G372" s="33" t="s">
        <v>59</v>
      </c>
      <c r="H372" s="32" t="s">
        <v>47</v>
      </c>
      <c r="I372" s="32"/>
      <c r="J372" s="34">
        <v>46003</v>
      </c>
      <c r="K372" s="34">
        <v>46003</v>
      </c>
      <c r="L372" s="32" t="s">
        <v>48</v>
      </c>
      <c r="M372" s="48">
        <v>55559.19</v>
      </c>
      <c r="N372" s="48">
        <v>0</v>
      </c>
      <c r="O372" s="48">
        <v>0</v>
      </c>
      <c r="P372" s="48">
        <v>0</v>
      </c>
      <c r="Q372" s="48">
        <v>0</v>
      </c>
      <c r="R372" s="48">
        <v>0</v>
      </c>
      <c r="S372" s="48"/>
      <c r="T372" s="48">
        <f t="shared" si="30"/>
        <v>0</v>
      </c>
      <c r="U372" s="48">
        <f t="shared" si="31"/>
        <v>0</v>
      </c>
      <c r="V372" s="49">
        <f>+Tabla_Auditorias[[#This Row],[AJUSTE
EGRESO
COSTO]]+Tabla_Auditorias[[#This Row],[AJUSTE EGRESO
MAL ESTADO]]+Tabla_Auditorias[[#This Row],[AJUSTE
INGRESO
COSTO]]</f>
        <v>0</v>
      </c>
      <c r="W372" s="48">
        <v>0</v>
      </c>
      <c r="X372" s="48"/>
      <c r="Y372" s="48"/>
      <c r="Z372" s="48">
        <v>0</v>
      </c>
      <c r="AA372" s="50">
        <f>+SUM(Tabla_Auditorias[[#This Row],[AJUSTE
EGRESO
COSTO]:[AJUSTE
INGRESO
COSTO]])</f>
        <v>0</v>
      </c>
      <c r="AB372" s="36" t="str">
        <f t="shared" si="32"/>
        <v>BAJO</v>
      </c>
      <c r="AC372" s="37">
        <f t="shared" si="33"/>
        <v>0</v>
      </c>
      <c r="AD372" s="35">
        <v>0</v>
      </c>
      <c r="AE372" s="41" t="s">
        <v>49</v>
      </c>
      <c r="AF372" s="38" t="str">
        <f>IF(Tabla_Auditorias[[#This Row],[TOTAL
COSTO
NETO]]&lt;&gt;0,"Si","No")</f>
        <v>No</v>
      </c>
      <c r="AG372" s="39" t="s">
        <v>221</v>
      </c>
      <c r="AH372" s="40"/>
      <c r="AI372" s="51" t="str">
        <f t="shared" si="34"/>
        <v/>
      </c>
      <c r="AJ372" s="38" t="str">
        <f t="shared" si="35"/>
        <v>Pendiente</v>
      </c>
    </row>
    <row r="373" spans="1:36" s="31" customFormat="1" ht="25.5" customHeight="1" x14ac:dyDescent="0.2">
      <c r="A373" s="32">
        <v>369</v>
      </c>
      <c r="B373" s="33" t="s">
        <v>109</v>
      </c>
      <c r="C373" s="32" t="s">
        <v>43</v>
      </c>
      <c r="D373" s="32" t="s">
        <v>44</v>
      </c>
      <c r="E373" s="32" t="s">
        <v>58</v>
      </c>
      <c r="F373" s="32">
        <v>1505</v>
      </c>
      <c r="G373" s="33" t="s">
        <v>59</v>
      </c>
      <c r="H373" s="32" t="s">
        <v>47</v>
      </c>
      <c r="I373" s="32"/>
      <c r="J373" s="34">
        <v>46003</v>
      </c>
      <c r="K373" s="34">
        <v>46003</v>
      </c>
      <c r="L373" s="32" t="s">
        <v>48</v>
      </c>
      <c r="M373" s="48">
        <v>195399.72</v>
      </c>
      <c r="N373" s="48">
        <v>-59.41</v>
      </c>
      <c r="O373" s="48">
        <v>46.42</v>
      </c>
      <c r="P373" s="48">
        <v>26.38</v>
      </c>
      <c r="Q373" s="48">
        <v>0</v>
      </c>
      <c r="R373" s="48">
        <v>0</v>
      </c>
      <c r="S373" s="48"/>
      <c r="T373" s="48">
        <f t="shared" si="30"/>
        <v>13.390000000000004</v>
      </c>
      <c r="U373" s="48">
        <f t="shared" si="31"/>
        <v>13.390000000000004</v>
      </c>
      <c r="V373" s="49">
        <f>+Tabla_Auditorias[[#This Row],[AJUSTE
EGRESO
COSTO]]+Tabla_Auditorias[[#This Row],[AJUSTE EGRESO
MAL ESTADO]]+Tabla_Auditorias[[#This Row],[AJUSTE
INGRESO
COSTO]]</f>
        <v>18.862400000000008</v>
      </c>
      <c r="W373" s="48">
        <v>-209.142</v>
      </c>
      <c r="X373" s="48"/>
      <c r="Y373" s="48"/>
      <c r="Z373" s="48">
        <v>228.0044</v>
      </c>
      <c r="AA373" s="50">
        <f>+SUM(Tabla_Auditorias[[#This Row],[AJUSTE
EGRESO
COSTO]:[AJUSTE
INGRESO
COSTO]])</f>
        <v>18.862400000000008</v>
      </c>
      <c r="AB373" s="36" t="str">
        <f t="shared" si="32"/>
        <v>MEDIO</v>
      </c>
      <c r="AC373" s="37">
        <f t="shared" si="33"/>
        <v>20</v>
      </c>
      <c r="AD373" s="35">
        <v>0</v>
      </c>
      <c r="AE373" s="41" t="s">
        <v>49</v>
      </c>
      <c r="AF373" s="38" t="str">
        <f>IF(Tabla_Auditorias[[#This Row],[TOTAL
COSTO
NETO]]&lt;&gt;0,"Si","No")</f>
        <v>Si</v>
      </c>
      <c r="AG373" s="39" t="s">
        <v>402</v>
      </c>
      <c r="AH373" s="40"/>
      <c r="AI373" s="51" t="str">
        <f t="shared" si="34"/>
        <v/>
      </c>
      <c r="AJ373" s="38" t="str">
        <f t="shared" si="35"/>
        <v>No Aplica</v>
      </c>
    </row>
    <row r="374" spans="1:36" s="31" customFormat="1" ht="25.5" customHeight="1" x14ac:dyDescent="0.2">
      <c r="A374" s="32">
        <v>370</v>
      </c>
      <c r="B374" s="33" t="s">
        <v>111</v>
      </c>
      <c r="C374" s="32" t="s">
        <v>51</v>
      </c>
      <c r="D374" s="32" t="s">
        <v>57</v>
      </c>
      <c r="E374" s="32" t="s">
        <v>58</v>
      </c>
      <c r="F374" s="32">
        <v>1702</v>
      </c>
      <c r="G374" s="33" t="s">
        <v>59</v>
      </c>
      <c r="H374" s="32" t="s">
        <v>47</v>
      </c>
      <c r="I374" s="32"/>
      <c r="J374" s="34">
        <v>46004</v>
      </c>
      <c r="K374" s="34">
        <v>46004</v>
      </c>
      <c r="L374" s="32" t="s">
        <v>48</v>
      </c>
      <c r="M374" s="48">
        <v>116606.38</v>
      </c>
      <c r="N374" s="48">
        <v>0</v>
      </c>
      <c r="O374" s="48">
        <v>0</v>
      </c>
      <c r="P374" s="48">
        <v>0</v>
      </c>
      <c r="Q374" s="48">
        <v>0</v>
      </c>
      <c r="R374" s="48">
        <v>0</v>
      </c>
      <c r="S374" s="48"/>
      <c r="T374" s="48">
        <f t="shared" si="30"/>
        <v>0</v>
      </c>
      <c r="U374" s="48">
        <f t="shared" si="31"/>
        <v>0</v>
      </c>
      <c r="V374" s="49">
        <f>+Tabla_Auditorias[[#This Row],[AJUSTE
EGRESO
COSTO]]+Tabla_Auditorias[[#This Row],[AJUSTE EGRESO
MAL ESTADO]]+Tabla_Auditorias[[#This Row],[AJUSTE
INGRESO
COSTO]]</f>
        <v>0</v>
      </c>
      <c r="W374" s="48">
        <v>0</v>
      </c>
      <c r="X374" s="48"/>
      <c r="Y374" s="48"/>
      <c r="Z374" s="48">
        <v>0</v>
      </c>
      <c r="AA374" s="50">
        <f>+SUM(Tabla_Auditorias[[#This Row],[AJUSTE
EGRESO
COSTO]:[AJUSTE
INGRESO
COSTO]])</f>
        <v>0</v>
      </c>
      <c r="AB374" s="36" t="str">
        <f t="shared" si="32"/>
        <v>BAJO</v>
      </c>
      <c r="AC374" s="37">
        <f t="shared" si="33"/>
        <v>0</v>
      </c>
      <c r="AD374" s="35">
        <v>0</v>
      </c>
      <c r="AE374" s="41" t="s">
        <v>49</v>
      </c>
      <c r="AF374" s="38" t="str">
        <f>IF(Tabla_Auditorias[[#This Row],[TOTAL
COSTO
NETO]]&lt;&gt;0,"Si","No")</f>
        <v>No</v>
      </c>
      <c r="AG374" s="39" t="s">
        <v>221</v>
      </c>
      <c r="AH374" s="40"/>
      <c r="AI374" s="51" t="str">
        <f t="shared" si="34"/>
        <v/>
      </c>
      <c r="AJ374" s="38" t="str">
        <f t="shared" si="35"/>
        <v>Pendiente</v>
      </c>
    </row>
    <row r="375" spans="1:36" s="31" customFormat="1" ht="25.5" customHeight="1" x14ac:dyDescent="0.2">
      <c r="A375" s="32">
        <v>371</v>
      </c>
      <c r="B375" s="33" t="s">
        <v>105</v>
      </c>
      <c r="C375" s="32" t="s">
        <v>51</v>
      </c>
      <c r="D375" s="32" t="s">
        <v>57</v>
      </c>
      <c r="E375" s="32" t="s">
        <v>53</v>
      </c>
      <c r="F375" s="32">
        <v>1710</v>
      </c>
      <c r="G375" s="33" t="s">
        <v>54</v>
      </c>
      <c r="H375" s="32" t="s">
        <v>47</v>
      </c>
      <c r="I375" s="32"/>
      <c r="J375" s="34">
        <v>46007</v>
      </c>
      <c r="K375" s="34">
        <v>46007</v>
      </c>
      <c r="L375" s="32" t="s">
        <v>48</v>
      </c>
      <c r="M375" s="48">
        <v>87086.64</v>
      </c>
      <c r="N375" s="48">
        <v>0</v>
      </c>
      <c r="O375" s="48">
        <v>0</v>
      </c>
      <c r="P375" s="48">
        <v>-18.64</v>
      </c>
      <c r="Q375" s="48">
        <v>0</v>
      </c>
      <c r="R375" s="48">
        <v>0</v>
      </c>
      <c r="S375" s="48"/>
      <c r="T375" s="48">
        <f t="shared" si="30"/>
        <v>-18.64</v>
      </c>
      <c r="U375" s="48">
        <f t="shared" si="31"/>
        <v>-18.64</v>
      </c>
      <c r="V375" s="49">
        <f>+Tabla_Auditorias[[#This Row],[AJUSTE
EGRESO
COSTO]]+Tabla_Auditorias[[#This Row],[AJUSTE EGRESO
MAL ESTADO]]+Tabla_Auditorias[[#This Row],[AJUSTE
INGRESO
COSTO]]</f>
        <v>-778.67769999999996</v>
      </c>
      <c r="W375" s="48">
        <v>-812.2242</v>
      </c>
      <c r="X375" s="48"/>
      <c r="Y375" s="48"/>
      <c r="Z375" s="48">
        <v>33.546500000000002</v>
      </c>
      <c r="AA375" s="50">
        <f>+SUM(Tabla_Auditorias[[#This Row],[AJUSTE
EGRESO
COSTO]:[AJUSTE
INGRESO
COSTO]])</f>
        <v>-778.67769999999996</v>
      </c>
      <c r="AB375" s="36" t="str">
        <f t="shared" si="32"/>
        <v>BAJO</v>
      </c>
      <c r="AC375" s="37">
        <f t="shared" si="33"/>
        <v>10</v>
      </c>
      <c r="AD375" s="35">
        <v>0</v>
      </c>
      <c r="AE375" s="41" t="s">
        <v>49</v>
      </c>
      <c r="AF375" s="38" t="str">
        <f>IF(Tabla_Auditorias[[#This Row],[TOTAL
COSTO
NETO]]&lt;&gt;0,"Si","No")</f>
        <v>Si</v>
      </c>
      <c r="AG375" s="39" t="s">
        <v>403</v>
      </c>
      <c r="AH375" s="40"/>
      <c r="AI375" s="51">
        <f t="shared" si="34"/>
        <v>0</v>
      </c>
      <c r="AJ375" s="38" t="str">
        <f t="shared" si="35"/>
        <v>Pendiente</v>
      </c>
    </row>
    <row r="376" spans="1:36" s="31" customFormat="1" ht="25.5" customHeight="1" x14ac:dyDescent="0.2">
      <c r="A376" s="32">
        <v>372</v>
      </c>
      <c r="B376" s="33" t="s">
        <v>107</v>
      </c>
      <c r="C376" s="32" t="s">
        <v>51</v>
      </c>
      <c r="D376" s="32" t="s">
        <v>57</v>
      </c>
      <c r="E376" s="32" t="s">
        <v>58</v>
      </c>
      <c r="F376" s="32">
        <v>1708</v>
      </c>
      <c r="G376" s="33" t="s">
        <v>54</v>
      </c>
      <c r="H376" s="32" t="s">
        <v>47</v>
      </c>
      <c r="I376" s="32"/>
      <c r="J376" s="34">
        <v>46009</v>
      </c>
      <c r="K376" s="34">
        <v>46009</v>
      </c>
      <c r="L376" s="32" t="s">
        <v>48</v>
      </c>
      <c r="M376" s="48">
        <v>89930.47</v>
      </c>
      <c r="N376" s="48">
        <v>0</v>
      </c>
      <c r="O376" s="48">
        <v>0</v>
      </c>
      <c r="P376" s="48">
        <v>0</v>
      </c>
      <c r="Q376" s="48">
        <v>0</v>
      </c>
      <c r="R376" s="48">
        <v>0</v>
      </c>
      <c r="S376" s="48"/>
      <c r="T376" s="48">
        <f t="shared" si="30"/>
        <v>0</v>
      </c>
      <c r="U376" s="48">
        <f t="shared" si="31"/>
        <v>0</v>
      </c>
      <c r="V376" s="49">
        <f>+Tabla_Auditorias[[#This Row],[AJUSTE
EGRESO
COSTO]]+Tabla_Auditorias[[#This Row],[AJUSTE EGRESO
MAL ESTADO]]+Tabla_Auditorias[[#This Row],[AJUSTE
INGRESO
COSTO]]</f>
        <v>0</v>
      </c>
      <c r="W376" s="48">
        <v>0</v>
      </c>
      <c r="X376" s="48"/>
      <c r="Y376" s="48"/>
      <c r="Z376" s="48">
        <v>0</v>
      </c>
      <c r="AA376" s="50">
        <f>+SUM(Tabla_Auditorias[[#This Row],[AJUSTE
EGRESO
COSTO]:[AJUSTE
INGRESO
COSTO]])</f>
        <v>0</v>
      </c>
      <c r="AB376" s="36" t="str">
        <f t="shared" si="32"/>
        <v>BAJO</v>
      </c>
      <c r="AC376" s="37">
        <f t="shared" si="33"/>
        <v>0</v>
      </c>
      <c r="AD376" s="35">
        <v>0</v>
      </c>
      <c r="AE376" s="41" t="s">
        <v>49</v>
      </c>
      <c r="AF376" s="38" t="str">
        <f>IF(Tabla_Auditorias[[#This Row],[TOTAL
COSTO
NETO]]&lt;&gt;0,"Si","No")</f>
        <v>No</v>
      </c>
      <c r="AG376" s="39" t="s">
        <v>400</v>
      </c>
      <c r="AH376" s="40"/>
      <c r="AI376" s="51" t="str">
        <f t="shared" si="34"/>
        <v/>
      </c>
      <c r="AJ376" s="38" t="str">
        <f t="shared" si="35"/>
        <v>Pendiente</v>
      </c>
    </row>
    <row r="377" spans="1:36" s="31" customFormat="1" ht="25.5" customHeight="1" x14ac:dyDescent="0.2">
      <c r="A377" s="32">
        <v>373</v>
      </c>
      <c r="B377" s="33" t="s">
        <v>101</v>
      </c>
      <c r="C377" s="32" t="s">
        <v>51</v>
      </c>
      <c r="D377" s="32" t="s">
        <v>64</v>
      </c>
      <c r="E377" s="32" t="s">
        <v>53</v>
      </c>
      <c r="F377" s="32">
        <v>1724</v>
      </c>
      <c r="G377" s="33" t="s">
        <v>54</v>
      </c>
      <c r="H377" s="32" t="s">
        <v>47</v>
      </c>
      <c r="I377" s="32"/>
      <c r="J377" s="34">
        <v>46009</v>
      </c>
      <c r="K377" s="34">
        <v>46009</v>
      </c>
      <c r="L377" s="32" t="s">
        <v>48</v>
      </c>
      <c r="M377" s="48">
        <v>220915.19</v>
      </c>
      <c r="N377" s="48">
        <v>0</v>
      </c>
      <c r="O377" s="48">
        <v>0</v>
      </c>
      <c r="P377" s="48">
        <v>0</v>
      </c>
      <c r="Q377" s="48">
        <v>0</v>
      </c>
      <c r="R377" s="48">
        <v>0</v>
      </c>
      <c r="S377" s="48"/>
      <c r="T377" s="48">
        <f t="shared" si="30"/>
        <v>0</v>
      </c>
      <c r="U377" s="48">
        <f t="shared" si="31"/>
        <v>0</v>
      </c>
      <c r="V377" s="49">
        <f>+Tabla_Auditorias[[#This Row],[AJUSTE
EGRESO
COSTO]]+Tabla_Auditorias[[#This Row],[AJUSTE EGRESO
MAL ESTADO]]+Tabla_Auditorias[[#This Row],[AJUSTE
INGRESO
COSTO]]</f>
        <v>0</v>
      </c>
      <c r="W377" s="48">
        <v>0</v>
      </c>
      <c r="X377" s="48"/>
      <c r="Y377" s="48"/>
      <c r="Z377" s="48">
        <v>0</v>
      </c>
      <c r="AA377" s="50">
        <f>+SUM(Tabla_Auditorias[[#This Row],[AJUSTE
EGRESO
COSTO]:[AJUSTE
INGRESO
COSTO]])</f>
        <v>0</v>
      </c>
      <c r="AB377" s="36" t="str">
        <f t="shared" si="32"/>
        <v>BAJO</v>
      </c>
      <c r="AC377" s="37">
        <f t="shared" si="33"/>
        <v>0</v>
      </c>
      <c r="AD377" s="35">
        <v>0</v>
      </c>
      <c r="AE377" s="41" t="s">
        <v>49</v>
      </c>
      <c r="AF377" s="38" t="str">
        <f>IF(Tabla_Auditorias[[#This Row],[TOTAL
COSTO
NETO]]&lt;&gt;0,"Si","No")</f>
        <v>No</v>
      </c>
      <c r="AG377" s="39" t="s">
        <v>221</v>
      </c>
      <c r="AH377" s="40"/>
      <c r="AI377" s="51" t="str">
        <f t="shared" si="34"/>
        <v/>
      </c>
      <c r="AJ377" s="38" t="str">
        <f t="shared" si="35"/>
        <v>Pendiente</v>
      </c>
    </row>
    <row r="378" spans="1:36" s="31" customFormat="1" ht="25.5" customHeight="1" x14ac:dyDescent="0.2">
      <c r="A378" s="32">
        <v>374</v>
      </c>
      <c r="B378" s="33" t="s">
        <v>125</v>
      </c>
      <c r="C378" s="32" t="s">
        <v>43</v>
      </c>
      <c r="D378" s="32" t="s">
        <v>44</v>
      </c>
      <c r="E378" s="32" t="s">
        <v>53</v>
      </c>
      <c r="F378" s="32">
        <v>1516</v>
      </c>
      <c r="G378" s="33" t="s">
        <v>54</v>
      </c>
      <c r="H378" s="32" t="s">
        <v>47</v>
      </c>
      <c r="I378" s="32"/>
      <c r="J378" s="34">
        <v>46011</v>
      </c>
      <c r="K378" s="34">
        <v>46011</v>
      </c>
      <c r="L378" s="32" t="s">
        <v>48</v>
      </c>
      <c r="M378" s="48">
        <v>134450.17000000001</v>
      </c>
      <c r="N378" s="48">
        <v>2121.71</v>
      </c>
      <c r="O378" s="48">
        <v>-7529.59</v>
      </c>
      <c r="P378" s="48">
        <v>0</v>
      </c>
      <c r="Q378" s="48">
        <v>-127.96</v>
      </c>
      <c r="R378" s="48">
        <v>0</v>
      </c>
      <c r="S378" s="48"/>
      <c r="T378" s="48">
        <f t="shared" si="30"/>
        <v>-5535.84</v>
      </c>
      <c r="U378" s="48">
        <f t="shared" si="31"/>
        <v>-5535.84</v>
      </c>
      <c r="V378" s="49">
        <f>+Tabla_Auditorias[[#This Row],[AJUSTE
EGRESO
COSTO]]+Tabla_Auditorias[[#This Row],[AJUSTE EGRESO
MAL ESTADO]]+Tabla_Auditorias[[#This Row],[AJUSTE
INGRESO
COSTO]]</f>
        <v>-2937.5199999999995</v>
      </c>
      <c r="W378" s="48">
        <v>-4329.3599999999997</v>
      </c>
      <c r="X378" s="48"/>
      <c r="Y378" s="48"/>
      <c r="Z378" s="48">
        <v>1391.84</v>
      </c>
      <c r="AA378" s="50">
        <f>+SUM(Tabla_Auditorias[[#This Row],[AJUSTE
EGRESO
COSTO]:[AJUSTE
INGRESO
COSTO]])</f>
        <v>-2937.5199999999995</v>
      </c>
      <c r="AB378" s="36" t="str">
        <f t="shared" si="32"/>
        <v>CRÍTICO</v>
      </c>
      <c r="AC378" s="37">
        <f t="shared" si="33"/>
        <v>85</v>
      </c>
      <c r="AD378" s="35">
        <v>0</v>
      </c>
      <c r="AE378" s="41" t="s">
        <v>49</v>
      </c>
      <c r="AF378" s="38" t="str">
        <f>IF(Tabla_Auditorias[[#This Row],[TOTAL
COSTO
NETO]]&lt;&gt;0,"Si","No")</f>
        <v>Si</v>
      </c>
      <c r="AG378" s="39" t="s">
        <v>404</v>
      </c>
      <c r="AH378" s="40"/>
      <c r="AI378" s="51">
        <f t="shared" si="34"/>
        <v>0</v>
      </c>
      <c r="AJ378" s="38" t="str">
        <f t="shared" si="35"/>
        <v>Pendiente</v>
      </c>
    </row>
    <row r="379" spans="1:36" s="31" customFormat="1" ht="25.5" customHeight="1" x14ac:dyDescent="0.2">
      <c r="A379" s="32">
        <v>375</v>
      </c>
      <c r="B379" s="33" t="s">
        <v>72</v>
      </c>
      <c r="C379" s="32" t="s">
        <v>43</v>
      </c>
      <c r="D379" s="32" t="s">
        <v>44</v>
      </c>
      <c r="E379" s="32" t="s">
        <v>58</v>
      </c>
      <c r="F379" s="32">
        <v>1514</v>
      </c>
      <c r="G379" s="33" t="s">
        <v>59</v>
      </c>
      <c r="H379" s="32" t="s">
        <v>47</v>
      </c>
      <c r="I379" s="32"/>
      <c r="J379" s="34">
        <v>46013</v>
      </c>
      <c r="K379" s="34">
        <v>46013</v>
      </c>
      <c r="L379" s="32" t="s">
        <v>48</v>
      </c>
      <c r="M379" s="48">
        <v>82309.7</v>
      </c>
      <c r="N379" s="48">
        <v>264.95</v>
      </c>
      <c r="O379" s="48">
        <v>-3624.19</v>
      </c>
      <c r="P379" s="48">
        <v>-61.19</v>
      </c>
      <c r="Q379" s="48">
        <v>-304.49</v>
      </c>
      <c r="R379" s="48">
        <v>0</v>
      </c>
      <c r="S379" s="48"/>
      <c r="T379" s="48">
        <f t="shared" si="30"/>
        <v>-3724.92</v>
      </c>
      <c r="U379" s="48">
        <f t="shared" si="31"/>
        <v>-3724.92</v>
      </c>
      <c r="V379" s="49">
        <f>+Tabla_Auditorias[[#This Row],[AJUSTE
EGRESO
COSTO]]+Tabla_Auditorias[[#This Row],[AJUSTE EGRESO
MAL ESTADO]]+Tabla_Auditorias[[#This Row],[AJUSTE
INGRESO
COSTO]]</f>
        <v>-2115.4799999999996</v>
      </c>
      <c r="W379" s="48">
        <v>-2700.43</v>
      </c>
      <c r="X379" s="48"/>
      <c r="Y379" s="48"/>
      <c r="Z379" s="48">
        <v>584.95000000000005</v>
      </c>
      <c r="AA379" s="50">
        <f>+SUM(Tabla_Auditorias[[#This Row],[AJUSTE
EGRESO
COSTO]:[AJUSTE
INGRESO
COSTO]])</f>
        <v>-2115.4799999999996</v>
      </c>
      <c r="AB379" s="36" t="str">
        <f t="shared" si="32"/>
        <v>CRÍTICO</v>
      </c>
      <c r="AC379" s="37">
        <f t="shared" si="33"/>
        <v>75</v>
      </c>
      <c r="AD379" s="35">
        <v>0</v>
      </c>
      <c r="AE379" s="41" t="s">
        <v>49</v>
      </c>
      <c r="AF379" s="38" t="str">
        <f>IF(Tabla_Auditorias[[#This Row],[TOTAL
COSTO
NETO]]&lt;&gt;0,"Si","No")</f>
        <v>Si</v>
      </c>
      <c r="AG379" s="39" t="s">
        <v>405</v>
      </c>
      <c r="AH379" s="40"/>
      <c r="AI379" s="51">
        <f t="shared" si="34"/>
        <v>0</v>
      </c>
      <c r="AJ379" s="38" t="str">
        <f t="shared" si="35"/>
        <v>Pendiente</v>
      </c>
    </row>
    <row r="380" spans="1:36" s="31" customFormat="1" ht="25.5" customHeight="1" x14ac:dyDescent="0.2">
      <c r="A380" s="32">
        <v>376</v>
      </c>
      <c r="B380" s="33" t="s">
        <v>82</v>
      </c>
      <c r="C380" s="32" t="s">
        <v>43</v>
      </c>
      <c r="D380" s="32" t="s">
        <v>44</v>
      </c>
      <c r="E380" s="32" t="s">
        <v>45</v>
      </c>
      <c r="F380" s="32">
        <v>1515</v>
      </c>
      <c r="G380" s="33" t="s">
        <v>314</v>
      </c>
      <c r="H380" s="32" t="s">
        <v>47</v>
      </c>
      <c r="I380" s="32"/>
      <c r="J380" s="34">
        <v>46018</v>
      </c>
      <c r="K380" s="34">
        <v>46018</v>
      </c>
      <c r="L380" s="32" t="s">
        <v>48</v>
      </c>
      <c r="M380" s="48">
        <v>234977.23</v>
      </c>
      <c r="N380" s="48">
        <v>2785.84</v>
      </c>
      <c r="O380" s="48">
        <v>-4101.92</v>
      </c>
      <c r="P380" s="48">
        <v>-140.02000000000001</v>
      </c>
      <c r="Q380" s="48">
        <v>-163.83000000000001</v>
      </c>
      <c r="R380" s="48">
        <v>-137.16999999999999</v>
      </c>
      <c r="S380" s="48"/>
      <c r="T380" s="48">
        <f t="shared" si="30"/>
        <v>-1757.1</v>
      </c>
      <c r="U380" s="48">
        <f t="shared" si="31"/>
        <v>-1619.9299999999998</v>
      </c>
      <c r="V380" s="49">
        <f>+Tabla_Auditorias[[#This Row],[AJUSTE
EGRESO
COSTO]]+Tabla_Auditorias[[#This Row],[AJUSTE EGRESO
MAL ESTADO]]+Tabla_Auditorias[[#This Row],[AJUSTE
INGRESO
COSTO]]</f>
        <v>-3890.4700000000003</v>
      </c>
      <c r="W380" s="48">
        <v>-7461.1</v>
      </c>
      <c r="X380" s="48"/>
      <c r="Y380" s="48"/>
      <c r="Z380" s="48">
        <v>3570.63</v>
      </c>
      <c r="AA380" s="50">
        <f>+SUM(Tabla_Auditorias[[#This Row],[AJUSTE
EGRESO
COSTO]:[AJUSTE
INGRESO
COSTO]])</f>
        <v>-3890.4700000000003</v>
      </c>
      <c r="AB380" s="36" t="str">
        <f t="shared" si="32"/>
        <v>ALTO</v>
      </c>
      <c r="AC380" s="37">
        <f t="shared" si="33"/>
        <v>52</v>
      </c>
      <c r="AD380" s="35">
        <v>0</v>
      </c>
      <c r="AE380" s="41" t="s">
        <v>49</v>
      </c>
      <c r="AF380" s="38" t="str">
        <f>IF(Tabla_Auditorias[[#This Row],[TOTAL
COSTO
NETO]]&lt;&gt;0,"Si","No")</f>
        <v>Si</v>
      </c>
      <c r="AG380" s="39" t="s">
        <v>406</v>
      </c>
      <c r="AH380" s="40"/>
      <c r="AI380" s="51">
        <f t="shared" si="34"/>
        <v>0</v>
      </c>
      <c r="AJ380" s="38" t="str">
        <f t="shared" si="35"/>
        <v>Pendiente</v>
      </c>
    </row>
    <row r="381" spans="1:36" s="31" customFormat="1" ht="25.5" customHeight="1" x14ac:dyDescent="0.2">
      <c r="A381" s="32">
        <v>377</v>
      </c>
      <c r="B381" s="33" t="s">
        <v>233</v>
      </c>
      <c r="C381" s="32" t="s">
        <v>51</v>
      </c>
      <c r="D381" s="32" t="s">
        <v>52</v>
      </c>
      <c r="E381" s="32" t="s">
        <v>58</v>
      </c>
      <c r="F381" s="32">
        <v>1737</v>
      </c>
      <c r="G381" s="33" t="s">
        <v>59</v>
      </c>
      <c r="H381" s="32" t="s">
        <v>47</v>
      </c>
      <c r="I381" s="32"/>
      <c r="J381" s="34">
        <v>46022</v>
      </c>
      <c r="K381" s="34">
        <v>46022</v>
      </c>
      <c r="L381" s="32" t="s">
        <v>48</v>
      </c>
      <c r="M381" s="48">
        <v>72936.13</v>
      </c>
      <c r="N381" s="48">
        <v>0</v>
      </c>
      <c r="O381" s="48">
        <v>0</v>
      </c>
      <c r="P381" s="48">
        <v>0</v>
      </c>
      <c r="Q381" s="48">
        <v>0</v>
      </c>
      <c r="R381" s="48">
        <v>0</v>
      </c>
      <c r="S381" s="48"/>
      <c r="T381" s="48">
        <f t="shared" si="30"/>
        <v>0</v>
      </c>
      <c r="U381" s="48">
        <f t="shared" si="31"/>
        <v>0</v>
      </c>
      <c r="V381" s="49">
        <f>+Tabla_Auditorias[[#This Row],[AJUSTE
EGRESO
COSTO]]+Tabla_Auditorias[[#This Row],[AJUSTE EGRESO
MAL ESTADO]]+Tabla_Auditorias[[#This Row],[AJUSTE
INGRESO
COSTO]]</f>
        <v>0</v>
      </c>
      <c r="W381" s="48">
        <v>0</v>
      </c>
      <c r="X381" s="48"/>
      <c r="Y381" s="48"/>
      <c r="Z381" s="48">
        <v>0</v>
      </c>
      <c r="AA381" s="50">
        <f>+SUM(Tabla_Auditorias[[#This Row],[AJUSTE
EGRESO
COSTO]:[AJUSTE
INGRESO
COSTO]])</f>
        <v>0</v>
      </c>
      <c r="AB381" s="36" t="str">
        <f t="shared" si="32"/>
        <v>BAJO</v>
      </c>
      <c r="AC381" s="37">
        <f t="shared" si="33"/>
        <v>0</v>
      </c>
      <c r="AD381" s="35">
        <v>0</v>
      </c>
      <c r="AE381" s="41" t="s">
        <v>49</v>
      </c>
      <c r="AF381" s="38" t="str">
        <f>IF(Tabla_Auditorias[[#This Row],[TOTAL
COSTO
NETO]]&lt;&gt;0,"Si","No")</f>
        <v>No</v>
      </c>
      <c r="AG381" s="39" t="s">
        <v>221</v>
      </c>
      <c r="AH381" s="40"/>
      <c r="AI381" s="51" t="str">
        <f t="shared" si="34"/>
        <v/>
      </c>
      <c r="AJ381" s="38" t="str">
        <f t="shared" si="35"/>
        <v>Pendiente</v>
      </c>
    </row>
    <row r="382" spans="1:36" s="31" customFormat="1" ht="31.5" customHeight="1" x14ac:dyDescent="0.2">
      <c r="A382" s="32">
        <v>378</v>
      </c>
      <c r="B382" s="33" t="s">
        <v>376</v>
      </c>
      <c r="C382" s="32" t="s">
        <v>51</v>
      </c>
      <c r="D382" s="32" t="s">
        <v>377</v>
      </c>
      <c r="E382" s="32" t="s">
        <v>45</v>
      </c>
      <c r="F382" s="32">
        <v>1760</v>
      </c>
      <c r="G382" s="33" t="s">
        <v>314</v>
      </c>
      <c r="H382" s="32" t="s">
        <v>47</v>
      </c>
      <c r="I382" s="32" t="s">
        <v>407</v>
      </c>
      <c r="J382" s="34">
        <v>46028</v>
      </c>
      <c r="K382" s="34">
        <v>46111</v>
      </c>
      <c r="L382" s="32" t="s">
        <v>48</v>
      </c>
      <c r="M382" s="48">
        <v>5770.64</v>
      </c>
      <c r="N382" s="48">
        <v>0</v>
      </c>
      <c r="O382" s="48">
        <v>-171.65</v>
      </c>
      <c r="P382" s="48">
        <v>0</v>
      </c>
      <c r="Q382" s="48">
        <v>0</v>
      </c>
      <c r="R382" s="48">
        <v>0</v>
      </c>
      <c r="S382" s="48">
        <v>0</v>
      </c>
      <c r="T382" s="48">
        <f t="shared" si="30"/>
        <v>-171.65</v>
      </c>
      <c r="U382" s="48">
        <f t="shared" si="31"/>
        <v>-171.65</v>
      </c>
      <c r="V382" s="49">
        <f>+Tabla_Auditorias[[#This Row],[AJUSTE
EGRESO
COSTO]]+Tabla_Auditorias[[#This Row],[AJUSTE EGRESO
MAL ESTADO]]+Tabla_Auditorias[[#This Row],[AJUSTE
INGRESO
COSTO]]</f>
        <v>-171.65</v>
      </c>
      <c r="W382" s="48">
        <v>-171.65</v>
      </c>
      <c r="X382" s="48">
        <v>0</v>
      </c>
      <c r="Y382" s="48"/>
      <c r="Z382" s="48">
        <v>0</v>
      </c>
      <c r="AA382" s="50">
        <f>+SUM(Tabla_Auditorias[[#This Row],[AJUSTE
EGRESO
COSTO]:[AJUSTE
INGRESO
COSTO]])</f>
        <v>-171.65</v>
      </c>
      <c r="AB382" s="36" t="str">
        <f t="shared" si="32"/>
        <v>BAJO</v>
      </c>
      <c r="AC382" s="37">
        <f>IFERROR(IF(M382=0,0,IF(ABS(O382)/M382=0,0,IF(ABS(O382)/M382&lt;=0.01,10,IF(ABS(O382)/M382&lt;=0.03,25,IF(ABS(O382)/M382&lt;=0.05,40,50)))))+IF(ABS(U382)=0,0,IF(ABS(U382)&lt;=200,10,IF(ABS(U382)&lt;=500,15,IF(ABS(U382)&lt;=2000,22,30))))+IF(COUNTIFS(#REF!,B382,#REF!,"&lt;0")&gt;0,15,0)+IF(OR(Q382&lt;0,R382&lt;0),5,0),0)</f>
        <v>0</v>
      </c>
      <c r="AD382" s="35">
        <v>0</v>
      </c>
      <c r="AE382" s="41" t="s">
        <v>408</v>
      </c>
      <c r="AF382" s="38" t="str">
        <f>IF(Tabla_Auditorias[[#This Row],[TOTAL
COSTO
NETO]]&lt;&gt;0,"Si","No")</f>
        <v>Si</v>
      </c>
      <c r="AG382" s="39" t="s">
        <v>409</v>
      </c>
      <c r="AH382" s="40">
        <v>0</v>
      </c>
      <c r="AI382" s="51">
        <f t="shared" si="34"/>
        <v>0</v>
      </c>
      <c r="AJ382" s="38" t="str">
        <f t="shared" si="35"/>
        <v>Pendiente</v>
      </c>
    </row>
    <row r="383" spans="1:36" s="31" customFormat="1" ht="25.5" customHeight="1" x14ac:dyDescent="0.2">
      <c r="A383" s="32">
        <v>379</v>
      </c>
      <c r="B383" s="33" t="s">
        <v>410</v>
      </c>
      <c r="C383" s="32" t="s">
        <v>51</v>
      </c>
      <c r="D383" s="32" t="s">
        <v>377</v>
      </c>
      <c r="E383" s="32" t="s">
        <v>53</v>
      </c>
      <c r="F383" s="32">
        <v>1754</v>
      </c>
      <c r="G383" s="33" t="s">
        <v>54</v>
      </c>
      <c r="H383" s="32" t="s">
        <v>47</v>
      </c>
      <c r="I383" s="32" t="s">
        <v>411</v>
      </c>
      <c r="J383" s="34">
        <v>46028</v>
      </c>
      <c r="K383" s="34">
        <v>46111</v>
      </c>
      <c r="L383" s="32" t="s">
        <v>48</v>
      </c>
      <c r="M383" s="48">
        <v>0</v>
      </c>
      <c r="N383" s="48">
        <v>0</v>
      </c>
      <c r="O383" s="48">
        <v>0</v>
      </c>
      <c r="P383" s="48">
        <v>0</v>
      </c>
      <c r="Q383" s="48">
        <v>0</v>
      </c>
      <c r="R383" s="48">
        <v>0</v>
      </c>
      <c r="S383" s="48">
        <v>0</v>
      </c>
      <c r="T383" s="48">
        <f t="shared" si="30"/>
        <v>0</v>
      </c>
      <c r="U383" s="48">
        <f t="shared" si="31"/>
        <v>0</v>
      </c>
      <c r="V383" s="49">
        <f>+Tabla_Auditorias[[#This Row],[AJUSTE
EGRESO
COSTO]]+Tabla_Auditorias[[#This Row],[AJUSTE EGRESO
MAL ESTADO]]+Tabla_Auditorias[[#This Row],[AJUSTE
INGRESO
COSTO]]</f>
        <v>0</v>
      </c>
      <c r="W383" s="48">
        <v>0</v>
      </c>
      <c r="X383" s="48">
        <v>0</v>
      </c>
      <c r="Y383" s="48"/>
      <c r="Z383" s="48">
        <v>0</v>
      </c>
      <c r="AA383" s="50">
        <f>+SUM(Tabla_Auditorias[[#This Row],[AJUSTE
EGRESO
COSTO]:[AJUSTE
INGRESO
COSTO]])</f>
        <v>0</v>
      </c>
      <c r="AB383" s="36" t="str">
        <f t="shared" si="32"/>
        <v>BAJO</v>
      </c>
      <c r="AC383" s="37">
        <f>IFERROR(IF(M383=0,0,IF(ABS(O383)/M383=0,0,IF(ABS(O383)/M383&lt;=0.01,10,IF(ABS(O383)/M383&lt;=0.03,25,IF(ABS(O383)/M383&lt;=0.05,40,50)))))+IF(ABS(U383)=0,0,IF(ABS(U383)&lt;=200,10,IF(ABS(U383)&lt;=500,15,IF(ABS(U383)&lt;=2000,22,30))))+IF(COUNTIFS($B$382:B382,B383,$O$382:O382,"&lt;0")&gt;0,15,0)+IF(OR(Q383&lt;0,R383&lt;0),5,0),0)</f>
        <v>0</v>
      </c>
      <c r="AD383" s="35">
        <v>0</v>
      </c>
      <c r="AE383" s="41" t="s">
        <v>408</v>
      </c>
      <c r="AF383" s="38" t="str">
        <f>IF(Tabla_Auditorias[[#This Row],[TOTAL
COSTO
NETO]]&lt;&gt;0,"Si","No")</f>
        <v>No</v>
      </c>
      <c r="AG383" s="39" t="s">
        <v>412</v>
      </c>
      <c r="AH383" s="40">
        <v>0</v>
      </c>
      <c r="AI383" s="51" t="str">
        <f t="shared" si="34"/>
        <v/>
      </c>
      <c r="AJ383" s="38" t="str">
        <f t="shared" si="35"/>
        <v>Pendiente</v>
      </c>
    </row>
    <row r="384" spans="1:36" s="31" customFormat="1" ht="42" customHeight="1" x14ac:dyDescent="0.2">
      <c r="A384" s="32">
        <v>380</v>
      </c>
      <c r="B384" s="33" t="s">
        <v>413</v>
      </c>
      <c r="C384" s="32" t="s">
        <v>43</v>
      </c>
      <c r="D384" s="32" t="s">
        <v>44</v>
      </c>
      <c r="E384" s="32" t="s">
        <v>53</v>
      </c>
      <c r="F384" s="32">
        <v>1518</v>
      </c>
      <c r="G384" s="33" t="s">
        <v>54</v>
      </c>
      <c r="H384" s="32" t="s">
        <v>47</v>
      </c>
      <c r="I384" s="32" t="s">
        <v>414</v>
      </c>
      <c r="J384" s="34">
        <v>46035</v>
      </c>
      <c r="K384" s="34">
        <v>46034</v>
      </c>
      <c r="L384" s="32" t="s">
        <v>48</v>
      </c>
      <c r="M384" s="48">
        <v>80282.17</v>
      </c>
      <c r="N384" s="48">
        <v>1363.75</v>
      </c>
      <c r="O384" s="48">
        <v>-2401.81</v>
      </c>
      <c r="P384" s="48">
        <v>148.16</v>
      </c>
      <c r="Q384" s="48">
        <v>-418.05</v>
      </c>
      <c r="R384" s="48">
        <v>0</v>
      </c>
      <c r="S384" s="48">
        <v>0</v>
      </c>
      <c r="T384" s="48">
        <f t="shared" si="30"/>
        <v>-1307.95</v>
      </c>
      <c r="U384" s="48">
        <f t="shared" si="31"/>
        <v>-1307.95</v>
      </c>
      <c r="V384" s="49">
        <f>+Tabla_Auditorias[[#This Row],[AJUSTE
EGRESO
COSTO]]+Tabla_Auditorias[[#This Row],[AJUSTE EGRESO
MAL ESTADO]]+Tabla_Auditorias[[#This Row],[AJUSTE
INGRESO
COSTO]]</f>
        <v>-1220.5</v>
      </c>
      <c r="W384" s="48">
        <v>-1999.04</v>
      </c>
      <c r="X384" s="48">
        <v>-245.17</v>
      </c>
      <c r="Y384" s="48"/>
      <c r="Z384" s="48">
        <v>1023.71</v>
      </c>
      <c r="AA384" s="50">
        <f>+SUM(Tabla_Auditorias[[#This Row],[AJUSTE
EGRESO
COSTO]:[AJUSTE
INGRESO
COSTO]])</f>
        <v>-1220.5</v>
      </c>
      <c r="AB384" s="36" t="str">
        <f t="shared" si="32"/>
        <v>ALTO</v>
      </c>
      <c r="AC384" s="37">
        <f>IFERROR(IF(M384=0,0,IF(ABS(O384)/M384=0,0,IF(ABS(O384)/M384&lt;=0.01,10,IF(ABS(O384)/M384&lt;=0.03,25,IF(ABS(O384)/M384&lt;=0.05,40,50)))))+IF(ABS(U384)=0,0,IF(ABS(U384)&lt;=200,10,IF(ABS(U384)&lt;=500,15,IF(ABS(U384)&lt;=2000,22,30))))+IF(COUNTIFS($B$382:B383,B384,$O$382:O383,"&lt;0")&gt;0,15,0)+IF(OR(Q384&lt;0,R384&lt;0),5,0),0)</f>
        <v>52</v>
      </c>
      <c r="AD384" s="35">
        <v>0</v>
      </c>
      <c r="AE384" s="41" t="s">
        <v>408</v>
      </c>
      <c r="AF384" s="38" t="str">
        <f>IF(Tabla_Auditorias[[#This Row],[TOTAL
COSTO
NETO]]&lt;&gt;0,"Si","No")</f>
        <v>Si</v>
      </c>
      <c r="AG384" s="39" t="s">
        <v>415</v>
      </c>
      <c r="AH384" s="40">
        <v>0</v>
      </c>
      <c r="AI384" s="51">
        <f t="shared" si="34"/>
        <v>0</v>
      </c>
      <c r="AJ384" s="38" t="str">
        <f t="shared" si="35"/>
        <v>Pendiente</v>
      </c>
    </row>
    <row r="385" spans="1:36" s="31" customFormat="1" ht="31.5" customHeight="1" x14ac:dyDescent="0.2">
      <c r="A385" s="32">
        <v>381</v>
      </c>
      <c r="B385" s="33" t="s">
        <v>365</v>
      </c>
      <c r="C385" s="32" t="s">
        <v>51</v>
      </c>
      <c r="D385" s="32" t="s">
        <v>362</v>
      </c>
      <c r="E385" s="32" t="s">
        <v>58</v>
      </c>
      <c r="F385" s="32">
        <v>1715</v>
      </c>
      <c r="G385" s="33" t="s">
        <v>59</v>
      </c>
      <c r="H385" s="32" t="s">
        <v>47</v>
      </c>
      <c r="I385" s="32" t="s">
        <v>416</v>
      </c>
      <c r="J385" s="34">
        <v>46035</v>
      </c>
      <c r="K385" s="34">
        <v>46039</v>
      </c>
      <c r="L385" s="32" t="s">
        <v>48</v>
      </c>
      <c r="M385" s="48">
        <v>51691.7</v>
      </c>
      <c r="N385" s="48">
        <v>575.74</v>
      </c>
      <c r="O385" s="48">
        <v>-2592.44</v>
      </c>
      <c r="P385" s="48">
        <v>0</v>
      </c>
      <c r="Q385" s="48">
        <v>-47.5</v>
      </c>
      <c r="R385" s="48">
        <v>0</v>
      </c>
      <c r="S385" s="48">
        <v>0</v>
      </c>
      <c r="T385" s="48">
        <f t="shared" si="30"/>
        <v>-2064.1999999999998</v>
      </c>
      <c r="U385" s="48">
        <f t="shared" si="31"/>
        <v>-2064.1999999999998</v>
      </c>
      <c r="V385" s="49">
        <f>+Tabla_Auditorias[[#This Row],[AJUSTE
EGRESO
COSTO]]+Tabla_Auditorias[[#This Row],[AJUSTE EGRESO
MAL ESTADO]]+Tabla_Auditorias[[#This Row],[AJUSTE
INGRESO
COSTO]]</f>
        <v>-2064.1999999999998</v>
      </c>
      <c r="W385" s="48">
        <v>-2592.44</v>
      </c>
      <c r="X385" s="48">
        <v>-47.5</v>
      </c>
      <c r="Y385" s="48"/>
      <c r="Z385" s="48">
        <v>575.74</v>
      </c>
      <c r="AA385" s="50">
        <f>+SUM(Tabla_Auditorias[[#This Row],[AJUSTE
EGRESO
COSTO]:[AJUSTE
INGRESO
COSTO]])</f>
        <v>-2064.1999999999998</v>
      </c>
      <c r="AB385" s="36" t="str">
        <f t="shared" si="32"/>
        <v>CRÍTICO</v>
      </c>
      <c r="AC385" s="37">
        <f>IFERROR(IF(M385=0,0,IF(ABS(O385)/M385=0,0,IF(ABS(O385)/M385&lt;=0.01,10,IF(ABS(O385)/M385&lt;=0.03,25,IF(ABS(O385)/M385&lt;=0.05,40,50)))))+IF(ABS(U385)=0,0,IF(ABS(U385)&lt;=200,10,IF(ABS(U385)&lt;=500,15,IF(ABS(U385)&lt;=2000,22,30))))+IF(COUNTIFS($B$382:B384,B385,$O$382:O384,"&lt;0")&gt;0,15,0)+IF(OR(Q385&lt;0,R385&lt;0),5,0),0)</f>
        <v>85</v>
      </c>
      <c r="AD385" s="35">
        <v>275.27</v>
      </c>
      <c r="AE385" s="41" t="s">
        <v>408</v>
      </c>
      <c r="AF385" s="38" t="str">
        <f>IF(Tabla_Auditorias[[#This Row],[TOTAL
COSTO
NETO]]&lt;&gt;0,"Si","No")</f>
        <v>Si</v>
      </c>
      <c r="AG385" s="39" t="s">
        <v>417</v>
      </c>
      <c r="AH385" s="40">
        <v>0</v>
      </c>
      <c r="AI385" s="51">
        <f t="shared" si="34"/>
        <v>0</v>
      </c>
      <c r="AJ385" s="38" t="str">
        <f t="shared" si="35"/>
        <v>Pendiente</v>
      </c>
    </row>
    <row r="386" spans="1:36" s="31" customFormat="1" ht="25.5" customHeight="1" x14ac:dyDescent="0.2">
      <c r="A386" s="32">
        <v>382</v>
      </c>
      <c r="B386" s="33" t="s">
        <v>233</v>
      </c>
      <c r="C386" s="32" t="s">
        <v>51</v>
      </c>
      <c r="D386" s="32" t="s">
        <v>52</v>
      </c>
      <c r="E386" s="32" t="s">
        <v>58</v>
      </c>
      <c r="F386" s="32">
        <v>1737</v>
      </c>
      <c r="G386" s="33" t="s">
        <v>59</v>
      </c>
      <c r="H386" s="32" t="s">
        <v>47</v>
      </c>
      <c r="I386" s="32" t="s">
        <v>418</v>
      </c>
      <c r="J386" s="34">
        <v>46036</v>
      </c>
      <c r="K386" s="34">
        <v>46036</v>
      </c>
      <c r="L386" s="32" t="s">
        <v>48</v>
      </c>
      <c r="M386" s="48">
        <v>45955.86</v>
      </c>
      <c r="N386" s="48">
        <v>0</v>
      </c>
      <c r="O386" s="48">
        <v>0</v>
      </c>
      <c r="P386" s="48">
        <v>0</v>
      </c>
      <c r="Q386" s="48">
        <v>0</v>
      </c>
      <c r="R386" s="48">
        <v>0</v>
      </c>
      <c r="S386" s="48">
        <v>0</v>
      </c>
      <c r="T386" s="48">
        <v>0</v>
      </c>
      <c r="U386" s="48">
        <f t="shared" si="31"/>
        <v>0</v>
      </c>
      <c r="V386" s="49">
        <f>+Tabla_Auditorias[[#This Row],[AJUSTE
EGRESO
COSTO]]+Tabla_Auditorias[[#This Row],[AJUSTE EGRESO
MAL ESTADO]]+Tabla_Auditorias[[#This Row],[AJUSTE
INGRESO
COSTO]]</f>
        <v>0</v>
      </c>
      <c r="W386" s="48">
        <v>0</v>
      </c>
      <c r="X386" s="48">
        <v>0</v>
      </c>
      <c r="Y386" s="48"/>
      <c r="Z386" s="48">
        <v>0</v>
      </c>
      <c r="AA386" s="50">
        <f>+SUM(Tabla_Auditorias[[#This Row],[AJUSTE
EGRESO
COSTO]:[AJUSTE
INGRESO
COSTO]])</f>
        <v>0</v>
      </c>
      <c r="AB386" s="36" t="str">
        <f t="shared" si="32"/>
        <v>BAJO</v>
      </c>
      <c r="AC386" s="37">
        <f>IFERROR(IF(M386=0,0,IF(ABS(O386)/M386=0,0,IF(ABS(O386)/M386&lt;=0.01,10,IF(ABS(O386)/M386&lt;=0.03,25,IF(ABS(O386)/M386&lt;=0.05,40,50)))))+IF(ABS(U386)=0,0,IF(ABS(U386)&lt;=200,10,IF(ABS(U386)&lt;=500,15,IF(ABS(U386)&lt;=2000,22,30))))+IF(COUNTIFS($B$382:B385,B386,$O$382:O385,"&lt;0")&gt;0,15,0)+IF(OR(Q386&lt;0,R386&lt;0),5,0),0)</f>
        <v>0</v>
      </c>
      <c r="AD386" s="35">
        <v>0</v>
      </c>
      <c r="AE386" s="41" t="s">
        <v>408</v>
      </c>
      <c r="AF386" s="38" t="str">
        <f>IF(Tabla_Auditorias[[#This Row],[TOTAL
COSTO
NETO]]&lt;&gt;0,"Si","No")</f>
        <v>No</v>
      </c>
      <c r="AG386" s="39" t="s">
        <v>221</v>
      </c>
      <c r="AH386" s="40">
        <v>0</v>
      </c>
      <c r="AI386" s="51" t="str">
        <f t="shared" si="34"/>
        <v/>
      </c>
      <c r="AJ386" s="38" t="str">
        <f t="shared" si="35"/>
        <v>Pendiente</v>
      </c>
    </row>
    <row r="387" spans="1:36" s="31" customFormat="1" ht="25.5" customHeight="1" x14ac:dyDescent="0.2">
      <c r="A387" s="32">
        <v>383</v>
      </c>
      <c r="B387" s="33" t="s">
        <v>298</v>
      </c>
      <c r="C387" s="32" t="s">
        <v>51</v>
      </c>
      <c r="D387" s="32" t="s">
        <v>57</v>
      </c>
      <c r="E387" s="32" t="s">
        <v>45</v>
      </c>
      <c r="F387" s="32">
        <v>1746</v>
      </c>
      <c r="G387" s="33" t="s">
        <v>314</v>
      </c>
      <c r="H387" s="32" t="s">
        <v>47</v>
      </c>
      <c r="I387" s="32" t="s">
        <v>419</v>
      </c>
      <c r="J387" s="34">
        <v>46036</v>
      </c>
      <c r="K387" s="34">
        <v>46038</v>
      </c>
      <c r="L387" s="32" t="s">
        <v>48</v>
      </c>
      <c r="M387" s="48">
        <v>61190.53</v>
      </c>
      <c r="N387" s="48">
        <v>0</v>
      </c>
      <c r="O387" s="48">
        <v>-105.96</v>
      </c>
      <c r="P387" s="48">
        <v>96.27</v>
      </c>
      <c r="Q387" s="48">
        <v>0</v>
      </c>
      <c r="R387" s="48">
        <v>0</v>
      </c>
      <c r="S387" s="48">
        <v>0</v>
      </c>
      <c r="T387" s="48">
        <f t="shared" ref="T387:T393" si="36">N387+O387+P387+Q387+R387+S387</f>
        <v>-9.6899999999999977</v>
      </c>
      <c r="U387" s="48">
        <f t="shared" si="31"/>
        <v>-9.6899999999999977</v>
      </c>
      <c r="V387" s="49">
        <f>+Tabla_Auditorias[[#This Row],[AJUSTE
EGRESO
COSTO]]+Tabla_Auditorias[[#This Row],[AJUSTE EGRESO
MAL ESTADO]]+Tabla_Auditorias[[#This Row],[AJUSTE
INGRESO
COSTO]]</f>
        <v>4.2199999999999704</v>
      </c>
      <c r="W387" s="48">
        <v>-253.99</v>
      </c>
      <c r="X387" s="48">
        <v>0</v>
      </c>
      <c r="Y387" s="48"/>
      <c r="Z387" s="48">
        <v>258.20999999999998</v>
      </c>
      <c r="AA387" s="50">
        <f>+SUM(Tabla_Auditorias[[#This Row],[AJUSTE
EGRESO
COSTO]:[AJUSTE
INGRESO
COSTO]])</f>
        <v>4.2199999999999704</v>
      </c>
      <c r="AB387" s="36" t="str">
        <f t="shared" si="32"/>
        <v>MEDIO</v>
      </c>
      <c r="AC387" s="37">
        <f>IFERROR(IF(M387=0,0,IF(ABS(O387)/M387=0,0,IF(ABS(O387)/M387&lt;=0.01,10,IF(ABS(O387)/M387&lt;=0.03,25,IF(ABS(O387)/M387&lt;=0.05,40,50)))))+IF(ABS(U387)=0,0,IF(ABS(U387)&lt;=200,10,IF(ABS(U387)&lt;=500,15,IF(ABS(U387)&lt;=2000,22,30))))+IF(COUNTIFS($B$382:B386,B387,$O$382:O386,"&lt;0")&gt;0,15,0)+IF(OR(Q387&lt;0,R387&lt;0),5,0),0)</f>
        <v>20</v>
      </c>
      <c r="AD387" s="35">
        <v>0</v>
      </c>
      <c r="AE387" s="41" t="s">
        <v>408</v>
      </c>
      <c r="AF387" s="38" t="str">
        <f>IF(Tabla_Auditorias[[#This Row],[TOTAL
COSTO
NETO]]&lt;&gt;0,"Si","No")</f>
        <v>Si</v>
      </c>
      <c r="AG387" s="39" t="s">
        <v>420</v>
      </c>
      <c r="AH387" s="40">
        <v>0</v>
      </c>
      <c r="AI387" s="51" t="str">
        <f t="shared" si="34"/>
        <v/>
      </c>
      <c r="AJ387" s="38" t="str">
        <f t="shared" si="35"/>
        <v>No Aplica</v>
      </c>
    </row>
    <row r="388" spans="1:36" s="31" customFormat="1" ht="25.5" customHeight="1" x14ac:dyDescent="0.2">
      <c r="A388" s="32">
        <v>384</v>
      </c>
      <c r="B388" s="33" t="s">
        <v>291</v>
      </c>
      <c r="C388" s="32" t="s">
        <v>153</v>
      </c>
      <c r="D388" s="32" t="s">
        <v>89</v>
      </c>
      <c r="E388" s="32" t="s">
        <v>53</v>
      </c>
      <c r="F388" s="32">
        <v>3043</v>
      </c>
      <c r="G388" s="33" t="s">
        <v>54</v>
      </c>
      <c r="H388" s="32" t="s">
        <v>47</v>
      </c>
      <c r="I388" s="32" t="s">
        <v>421</v>
      </c>
      <c r="J388" s="34">
        <v>46038</v>
      </c>
      <c r="K388" s="34">
        <v>46045</v>
      </c>
      <c r="L388" s="32" t="s">
        <v>48</v>
      </c>
      <c r="M388" s="48">
        <v>26291.11</v>
      </c>
      <c r="N388" s="48">
        <v>0</v>
      </c>
      <c r="O388" s="48">
        <v>0</v>
      </c>
      <c r="P388" s="48">
        <v>0</v>
      </c>
      <c r="Q388" s="48">
        <v>0</v>
      </c>
      <c r="R388" s="48">
        <v>0</v>
      </c>
      <c r="S388" s="48">
        <v>0</v>
      </c>
      <c r="T388" s="48">
        <f t="shared" si="36"/>
        <v>0</v>
      </c>
      <c r="U388" s="48">
        <f t="shared" si="31"/>
        <v>0</v>
      </c>
      <c r="V388" s="49">
        <f>+Tabla_Auditorias[[#This Row],[AJUSTE
EGRESO
COSTO]]+Tabla_Auditorias[[#This Row],[AJUSTE EGRESO
MAL ESTADO]]+Tabla_Auditorias[[#This Row],[AJUSTE
INGRESO
COSTO]]</f>
        <v>0</v>
      </c>
      <c r="W388" s="48">
        <v>0</v>
      </c>
      <c r="X388" s="48">
        <v>0</v>
      </c>
      <c r="Y388" s="48"/>
      <c r="Z388" s="48">
        <v>0</v>
      </c>
      <c r="AA388" s="50">
        <f>+SUM(Tabla_Auditorias[[#This Row],[AJUSTE
EGRESO
COSTO]:[AJUSTE
INGRESO
COSTO]])</f>
        <v>0</v>
      </c>
      <c r="AB388" s="36" t="str">
        <f t="shared" si="32"/>
        <v>BAJO</v>
      </c>
      <c r="AC388" s="37">
        <f>IFERROR(IF(M388=0,0,IF(ABS(O388)/M388=0,0,IF(ABS(O388)/M388&lt;=0.01,10,IF(ABS(O388)/M388&lt;=0.03,25,IF(ABS(O388)/M388&lt;=0.05,40,50)))))+IF(ABS(U388)=0,0,IF(ABS(U388)&lt;=200,10,IF(ABS(U388)&lt;=500,15,IF(ABS(U388)&lt;=2000,22,30))))+IF(COUNTIFS($B$382:B387,B388,$O$382:O387,"&lt;0")&gt;0,15,0)+IF(OR(Q388&lt;0,R388&lt;0),5,0),0)</f>
        <v>0</v>
      </c>
      <c r="AD388" s="35">
        <v>339.51</v>
      </c>
      <c r="AE388" s="41" t="s">
        <v>408</v>
      </c>
      <c r="AF388" s="38" t="str">
        <f>IF(Tabla_Auditorias[[#This Row],[TOTAL
COSTO
NETO]]&lt;&gt;0,"Si","No")</f>
        <v>No</v>
      </c>
      <c r="AG388" s="39" t="s">
        <v>422</v>
      </c>
      <c r="AH388" s="40">
        <v>0</v>
      </c>
      <c r="AI388" s="51" t="str">
        <f t="shared" si="34"/>
        <v/>
      </c>
      <c r="AJ388" s="38" t="str">
        <f t="shared" si="35"/>
        <v>Pendiente</v>
      </c>
    </row>
    <row r="389" spans="1:36" s="31" customFormat="1" ht="31.5" customHeight="1" x14ac:dyDescent="0.2">
      <c r="A389" s="32">
        <v>385</v>
      </c>
      <c r="B389" s="33" t="s">
        <v>131</v>
      </c>
      <c r="C389" s="32" t="s">
        <v>51</v>
      </c>
      <c r="D389" s="32" t="s">
        <v>57</v>
      </c>
      <c r="E389" s="32" t="s">
        <v>45</v>
      </c>
      <c r="F389" s="32">
        <v>1703</v>
      </c>
      <c r="G389" s="33" t="s">
        <v>314</v>
      </c>
      <c r="H389" s="32" t="s">
        <v>47</v>
      </c>
      <c r="I389" s="32" t="s">
        <v>423</v>
      </c>
      <c r="J389" s="34">
        <v>46039</v>
      </c>
      <c r="K389" s="34">
        <v>46039</v>
      </c>
      <c r="L389" s="32" t="s">
        <v>48</v>
      </c>
      <c r="M389" s="48">
        <v>94065.199299999993</v>
      </c>
      <c r="N389" s="48">
        <v>0</v>
      </c>
      <c r="O389" s="48">
        <v>-99.710000000000008</v>
      </c>
      <c r="P389" s="48">
        <v>0</v>
      </c>
      <c r="Q389" s="48">
        <v>0</v>
      </c>
      <c r="R389" s="48">
        <v>0</v>
      </c>
      <c r="S389" s="48">
        <v>0</v>
      </c>
      <c r="T389" s="48">
        <f t="shared" si="36"/>
        <v>-99.710000000000008</v>
      </c>
      <c r="U389" s="48">
        <f t="shared" ref="U389:U436" si="37">N389+O389+P389+Q389+S389</f>
        <v>-99.710000000000008</v>
      </c>
      <c r="V389" s="49">
        <f>+Tabla_Auditorias[[#This Row],[AJUSTE
EGRESO
COSTO]]+Tabla_Auditorias[[#This Row],[AJUSTE EGRESO
MAL ESTADO]]+Tabla_Auditorias[[#This Row],[AJUSTE
INGRESO
COSTO]]</f>
        <v>-47.903043333333322</v>
      </c>
      <c r="W389" s="48">
        <v>-47.903043333333322</v>
      </c>
      <c r="X389" s="48">
        <v>0</v>
      </c>
      <c r="Y389" s="48">
        <v>0</v>
      </c>
      <c r="Z389" s="48">
        <v>0</v>
      </c>
      <c r="AA389" s="50">
        <f>W389+X389+Y389+Z389</f>
        <v>-47.903043333333322</v>
      </c>
      <c r="AB389" s="36" t="str">
        <f t="shared" ref="AB389:AB452" si="38">IFERROR(IF(AC389&lt;=10,"BAJO",IF(AC389&lt;=35,"MEDIO",IF(AC389&lt;=65,"ALTO","CRÍTICO"))),"BAJO")</f>
        <v>MEDIO</v>
      </c>
      <c r="AC389" s="37">
        <f>IFERROR(IF(M389=0,0,IF(ABS(O389)/M389=0,0,IF(ABS(O389)/M389&lt;=0.01,10,IF(ABS(O389)/M389&lt;=0.03,25,IF(ABS(O389)/M389&lt;=0.05,40,50)))))+IF(ABS(U389)=0,0,IF(ABS(U389)&lt;=200,10,IF(ABS(U389)&lt;=500,15,IF(ABS(U389)&lt;=2000,22,30))))+IF(COUNTIFS($B$5:B388,B389,$O$5:O388,"&lt;0")&gt;0,15,0)+IF(OR(Q389&lt;0,R389&lt;0),5,0),0)</f>
        <v>35</v>
      </c>
      <c r="AD389" s="35">
        <v>0</v>
      </c>
      <c r="AE389" s="41" t="s">
        <v>408</v>
      </c>
      <c r="AF389" s="38" t="str">
        <f>IF(AA389&lt;&gt;0,"Si","No")</f>
        <v>Si</v>
      </c>
      <c r="AG389" s="39" t="s">
        <v>424</v>
      </c>
      <c r="AH389" s="40">
        <v>0</v>
      </c>
      <c r="AI389" s="51">
        <f t="shared" ref="AI389:AI452" si="39">IFERROR(IF(V389&lt;0,ABS(AH389/V389),""),"")</f>
        <v>0</v>
      </c>
      <c r="AJ389" s="38" t="str">
        <f t="shared" ref="AJ389:AJ452" si="40">IF(V389&gt;0,"No Aplica",IF(AND(V389&lt;0,AH389=0),"Pendiente",IF(AND(AH389&gt;0,AH389&gt;=ABS(V389)),"Cobrado Total",IF(AND(AH389&gt;0,AH389&lt;ABS(V389)),"Cobrado Parcial","Pendiente"))))</f>
        <v>Pendiente</v>
      </c>
    </row>
    <row r="390" spans="1:36" s="31" customFormat="1" ht="42" customHeight="1" x14ac:dyDescent="0.2">
      <c r="A390" s="32">
        <v>386</v>
      </c>
      <c r="B390" s="33" t="s">
        <v>425</v>
      </c>
      <c r="C390" s="32" t="s">
        <v>43</v>
      </c>
      <c r="D390" s="32" t="s">
        <v>44</v>
      </c>
      <c r="E390" s="32" t="s">
        <v>53</v>
      </c>
      <c r="F390" s="32">
        <v>1502</v>
      </c>
      <c r="G390" s="33" t="s">
        <v>54</v>
      </c>
      <c r="H390" s="32" t="s">
        <v>47</v>
      </c>
      <c r="I390" s="32" t="s">
        <v>426</v>
      </c>
      <c r="J390" s="34">
        <v>46045</v>
      </c>
      <c r="K390" s="34">
        <v>46046</v>
      </c>
      <c r="L390" s="32" t="s">
        <v>48</v>
      </c>
      <c r="M390" s="48">
        <v>159451.10999999999</v>
      </c>
      <c r="N390" s="48">
        <v>12.64</v>
      </c>
      <c r="O390" s="48">
        <v>-132.26</v>
      </c>
      <c r="P390" s="48">
        <v>0</v>
      </c>
      <c r="Q390" s="48">
        <v>0</v>
      </c>
      <c r="R390" s="48">
        <v>-706.6</v>
      </c>
      <c r="S390" s="48">
        <v>0</v>
      </c>
      <c r="T390" s="48">
        <f t="shared" si="36"/>
        <v>-826.22</v>
      </c>
      <c r="U390" s="48">
        <f t="shared" si="37"/>
        <v>-119.61999999999999</v>
      </c>
      <c r="V390" s="49">
        <f>+Tabla_Auditorias[[#This Row],[AJUSTE
EGRESO
COSTO]]+Tabla_Auditorias[[#This Row],[AJUSTE EGRESO
MAL ESTADO]]+Tabla_Auditorias[[#This Row],[AJUSTE
INGRESO
COSTO]]</f>
        <v>-975.04</v>
      </c>
      <c r="W390" s="48">
        <v>-524.77</v>
      </c>
      <c r="X390" s="48">
        <v>-458.27</v>
      </c>
      <c r="Y390" s="48"/>
      <c r="Z390" s="48">
        <v>8</v>
      </c>
      <c r="AA390" s="50">
        <f>+SUM(Tabla_Auditorias[[#This Row],[AJUSTE
EGRESO
COSTO]:[AJUSTE
INGRESO
COSTO]])</f>
        <v>-975.04</v>
      </c>
      <c r="AB390" s="36" t="str">
        <f t="shared" si="38"/>
        <v>MEDIO</v>
      </c>
      <c r="AC390" s="37">
        <f>IFERROR(IF(M390=0,0,IF(ABS(O390)/M390=0,0,IF(ABS(O390)/M390&lt;=0.01,10,IF(ABS(O390)/M390&lt;=0.03,25,IF(ABS(O390)/M390&lt;=0.05,40,50)))))+IF(ABS(U390)=0,0,IF(ABS(U390)&lt;=200,10,IF(ABS(U390)&lt;=500,15,IF(ABS(U390)&lt;=2000,22,30))))+IF(COUNTIFS($B$382:B389,B390,$O$382:O389,"&lt;0")&gt;0,15,0)+IF(OR(Q390&lt;0,R390&lt;0),5,0),0)</f>
        <v>25</v>
      </c>
      <c r="AD390" s="35">
        <v>962.56</v>
      </c>
      <c r="AE390" s="41" t="s">
        <v>49</v>
      </c>
      <c r="AF390" s="38" t="str">
        <f>IF(Tabla_Auditorias[[#This Row],[TOTAL
COSTO
NETO]]&lt;&gt;0,"Si","No")</f>
        <v>Si</v>
      </c>
      <c r="AG390" s="39" t="s">
        <v>427</v>
      </c>
      <c r="AH390" s="40">
        <v>0</v>
      </c>
      <c r="AI390" s="51">
        <f t="shared" si="39"/>
        <v>0</v>
      </c>
      <c r="AJ390" s="38" t="str">
        <f t="shared" si="40"/>
        <v>Pendiente</v>
      </c>
    </row>
    <row r="391" spans="1:36" s="31" customFormat="1" ht="25.5" customHeight="1" x14ac:dyDescent="0.2">
      <c r="A391" s="32">
        <v>387</v>
      </c>
      <c r="B391" s="33" t="s">
        <v>428</v>
      </c>
      <c r="C391" s="32" t="s">
        <v>51</v>
      </c>
      <c r="D391" s="32" t="s">
        <v>64</v>
      </c>
      <c r="E391" s="32" t="s">
        <v>53</v>
      </c>
      <c r="F391" s="32">
        <v>1729</v>
      </c>
      <c r="G391" s="33" t="s">
        <v>54</v>
      </c>
      <c r="H391" s="32" t="s">
        <v>47</v>
      </c>
      <c r="I391" s="32" t="s">
        <v>429</v>
      </c>
      <c r="J391" s="34">
        <v>46046</v>
      </c>
      <c r="K391" s="34">
        <v>46111</v>
      </c>
      <c r="L391" s="32" t="s">
        <v>48</v>
      </c>
      <c r="M391" s="48">
        <v>170960.45</v>
      </c>
      <c r="N391" s="48">
        <v>0</v>
      </c>
      <c r="O391" s="48">
        <v>0</v>
      </c>
      <c r="P391" s="48">
        <v>0</v>
      </c>
      <c r="Q391" s="48">
        <v>0</v>
      </c>
      <c r="R391" s="48">
        <v>0</v>
      </c>
      <c r="S391" s="48">
        <v>0</v>
      </c>
      <c r="T391" s="48">
        <f t="shared" si="36"/>
        <v>0</v>
      </c>
      <c r="U391" s="48">
        <f t="shared" si="37"/>
        <v>0</v>
      </c>
      <c r="V391" s="49">
        <f>+Tabla_Auditorias[[#This Row],[AJUSTE
EGRESO
COSTO]]+Tabla_Auditorias[[#This Row],[AJUSTE EGRESO
MAL ESTADO]]+Tabla_Auditorias[[#This Row],[AJUSTE
INGRESO
COSTO]]</f>
        <v>0</v>
      </c>
      <c r="W391" s="48">
        <v>0</v>
      </c>
      <c r="X391" s="48">
        <v>0</v>
      </c>
      <c r="Y391" s="48"/>
      <c r="Z391" s="48">
        <v>0</v>
      </c>
      <c r="AA391" s="50">
        <f>+SUM(Tabla_Auditorias[[#This Row],[AJUSTE
EGRESO
COSTO]:[AJUSTE
INGRESO
COSTO]])</f>
        <v>0</v>
      </c>
      <c r="AB391" s="36" t="str">
        <f t="shared" si="38"/>
        <v>BAJO</v>
      </c>
      <c r="AC391" s="37">
        <f>IFERROR(IF(M391=0,0,IF(ABS(O391)/M391=0,0,IF(ABS(O391)/M391&lt;=0.01,10,IF(ABS(O391)/M391&lt;=0.03,25,IF(ABS(O391)/M391&lt;=0.05,40,50)))))+IF(ABS(U391)=0,0,IF(ABS(U391)&lt;=200,10,IF(ABS(U391)&lt;=500,15,IF(ABS(U391)&lt;=2000,22,30))))+IF(COUNTIFS($B$382:B390,B391,$O$382:O390,"&lt;0")&gt;0,15,0)+IF(OR(Q391&lt;0,R391&lt;0),5,0),0)</f>
        <v>0</v>
      </c>
      <c r="AD391" s="35">
        <v>0</v>
      </c>
      <c r="AE391" s="41" t="s">
        <v>408</v>
      </c>
      <c r="AF391" s="38" t="str">
        <f>IF(Tabla_Auditorias[[#This Row],[TOTAL
COSTO
NETO]]&lt;&gt;0,"Si","No")</f>
        <v>No</v>
      </c>
      <c r="AG391" s="39" t="s">
        <v>430</v>
      </c>
      <c r="AH391" s="40">
        <v>0</v>
      </c>
      <c r="AI391" s="51" t="str">
        <f t="shared" si="39"/>
        <v/>
      </c>
      <c r="AJ391" s="38" t="str">
        <f t="shared" si="40"/>
        <v>Pendiente</v>
      </c>
    </row>
    <row r="392" spans="1:36" s="31" customFormat="1" ht="38.25" customHeight="1" x14ac:dyDescent="0.2">
      <c r="A392" s="32">
        <v>388</v>
      </c>
      <c r="B392" s="33" t="s">
        <v>131</v>
      </c>
      <c r="C392" s="32" t="s">
        <v>51</v>
      </c>
      <c r="D392" s="32" t="s">
        <v>57</v>
      </c>
      <c r="E392" s="32" t="s">
        <v>45</v>
      </c>
      <c r="F392" s="32">
        <v>1703</v>
      </c>
      <c r="G392" s="33" t="s">
        <v>314</v>
      </c>
      <c r="H392" s="32" t="s">
        <v>47</v>
      </c>
      <c r="I392" s="32" t="s">
        <v>431</v>
      </c>
      <c r="J392" s="34">
        <v>46046</v>
      </c>
      <c r="K392" s="34">
        <v>46046</v>
      </c>
      <c r="L392" s="32" t="s">
        <v>48</v>
      </c>
      <c r="M392" s="48">
        <v>94065.2</v>
      </c>
      <c r="N392" s="48">
        <v>0</v>
      </c>
      <c r="O392" s="48">
        <v>-99.71</v>
      </c>
      <c r="P392" s="48">
        <v>8.7899999999999991</v>
      </c>
      <c r="Q392" s="48">
        <v>0</v>
      </c>
      <c r="R392" s="48">
        <v>0</v>
      </c>
      <c r="S392" s="48">
        <v>0</v>
      </c>
      <c r="T392" s="48">
        <f t="shared" si="36"/>
        <v>-90.919999999999987</v>
      </c>
      <c r="U392" s="48">
        <f t="shared" si="37"/>
        <v>-90.919999999999987</v>
      </c>
      <c r="V392" s="49">
        <f>+Tabla_Auditorias[[#This Row],[AJUSTE
EGRESO
COSTO]]+Tabla_Auditorias[[#This Row],[AJUSTE EGRESO
MAL ESTADO]]+Tabla_Auditorias[[#This Row],[AJUSTE
INGRESO
COSTO]]</f>
        <v>-39.119999999999997</v>
      </c>
      <c r="W392" s="48">
        <v>-84.86</v>
      </c>
      <c r="X392" s="48">
        <v>0</v>
      </c>
      <c r="Y392" s="48"/>
      <c r="Z392" s="48">
        <v>45.74</v>
      </c>
      <c r="AA392" s="50">
        <f>+SUM(Tabla_Auditorias[[#This Row],[AJUSTE
EGRESO
COSTO]:[AJUSTE
INGRESO
COSTO]])</f>
        <v>-39.119999999999997</v>
      </c>
      <c r="AB392" s="36" t="str">
        <f t="shared" si="38"/>
        <v>MEDIO</v>
      </c>
      <c r="AC392" s="37">
        <f>IFERROR(IF(M392=0,0,IF(ABS(O392)/M392=0,0,IF(ABS(O392)/M392&lt;=0.01,10,IF(ABS(O392)/M392&lt;=0.03,25,IF(ABS(O392)/M392&lt;=0.05,40,50)))))+IF(ABS(U392)=0,0,IF(ABS(U392)&lt;=200,10,IF(ABS(U392)&lt;=500,15,IF(ABS(U392)&lt;=2000,22,30))))+IF(COUNTIFS($B$382:B391,B392,$O$382:O391,"&lt;0")&gt;0,15,0)+IF(OR(Q392&lt;0,R392&lt;0),5,0),0)</f>
        <v>35</v>
      </c>
      <c r="AD392" s="35">
        <v>1973.92</v>
      </c>
      <c r="AE392" s="41" t="s">
        <v>432</v>
      </c>
      <c r="AF392" s="38" t="str">
        <f>IF(Tabla_Auditorias[[#This Row],[TOTAL
COSTO
NETO]]&lt;&gt;0,"Si","No")</f>
        <v>Si</v>
      </c>
      <c r="AG392" s="39" t="s">
        <v>433</v>
      </c>
      <c r="AH392" s="40">
        <v>0</v>
      </c>
      <c r="AI392" s="51">
        <f t="shared" si="39"/>
        <v>0</v>
      </c>
      <c r="AJ392" s="38" t="str">
        <f t="shared" si="40"/>
        <v>Pendiente</v>
      </c>
    </row>
    <row r="393" spans="1:36" s="31" customFormat="1" ht="25.5" customHeight="1" x14ac:dyDescent="0.2">
      <c r="A393" s="32">
        <v>389</v>
      </c>
      <c r="B393" s="33" t="s">
        <v>160</v>
      </c>
      <c r="C393" s="32" t="s">
        <v>51</v>
      </c>
      <c r="D393" s="32" t="s">
        <v>52</v>
      </c>
      <c r="E393" s="32" t="s">
        <v>53</v>
      </c>
      <c r="F393" s="32">
        <v>1739</v>
      </c>
      <c r="G393" s="33" t="s">
        <v>54</v>
      </c>
      <c r="H393" s="32" t="s">
        <v>47</v>
      </c>
      <c r="I393" s="32" t="s">
        <v>434</v>
      </c>
      <c r="J393" s="34">
        <v>46049</v>
      </c>
      <c r="K393" s="34">
        <v>46051</v>
      </c>
      <c r="L393" s="32" t="s">
        <v>48</v>
      </c>
      <c r="M393" s="48">
        <v>30493.54</v>
      </c>
      <c r="N393" s="48">
        <v>0</v>
      </c>
      <c r="O393" s="48">
        <v>0</v>
      </c>
      <c r="P393" s="48">
        <v>0</v>
      </c>
      <c r="Q393" s="48">
        <v>0</v>
      </c>
      <c r="R393" s="48">
        <v>0</v>
      </c>
      <c r="S393" s="48">
        <v>0</v>
      </c>
      <c r="T393" s="48">
        <f t="shared" si="36"/>
        <v>0</v>
      </c>
      <c r="U393" s="48">
        <f t="shared" si="37"/>
        <v>0</v>
      </c>
      <c r="V393" s="49">
        <f>+Tabla_Auditorias[[#This Row],[AJUSTE
EGRESO
COSTO]]+Tabla_Auditorias[[#This Row],[AJUSTE EGRESO
MAL ESTADO]]+Tabla_Auditorias[[#This Row],[AJUSTE
INGRESO
COSTO]]</f>
        <v>0</v>
      </c>
      <c r="W393" s="48">
        <v>0</v>
      </c>
      <c r="X393" s="48">
        <v>0</v>
      </c>
      <c r="Y393" s="48"/>
      <c r="Z393" s="48">
        <v>0</v>
      </c>
      <c r="AA393" s="50">
        <f>+SUM(Tabla_Auditorias[[#This Row],[AJUSTE
EGRESO
COSTO]:[AJUSTE
INGRESO
COSTO]])</f>
        <v>0</v>
      </c>
      <c r="AB393" s="36" t="str">
        <f t="shared" si="38"/>
        <v>BAJO</v>
      </c>
      <c r="AC393" s="37">
        <f>IFERROR(IF(M393=0,0,IF(ABS(O393)/M393=0,0,IF(ABS(O393)/M393&lt;=0.01,10,IF(ABS(O393)/M393&lt;=0.03,25,IF(ABS(O393)/M393&lt;=0.05,40,50)))))+IF(ABS(U393)=0,0,IF(ABS(U393)&lt;=200,10,IF(ABS(U393)&lt;=500,15,IF(ABS(U393)&lt;=2000,22,30))))+IF(COUNTIFS($B$382:B392,B393,$O$382:O392,"&lt;0")&gt;0,15,0)+IF(OR(Q393&lt;0,R393&lt;0),5,0),0)</f>
        <v>0</v>
      </c>
      <c r="AD393" s="35">
        <v>0</v>
      </c>
      <c r="AE393" s="41" t="s">
        <v>408</v>
      </c>
      <c r="AF393" s="38" t="str">
        <f>IF(Tabla_Auditorias[[#This Row],[TOTAL
COSTO
NETO]]&lt;&gt;0,"Si","No")</f>
        <v>No</v>
      </c>
      <c r="AG393" s="39" t="s">
        <v>435</v>
      </c>
      <c r="AH393" s="40">
        <v>0</v>
      </c>
      <c r="AI393" s="51" t="str">
        <f t="shared" si="39"/>
        <v/>
      </c>
      <c r="AJ393" s="38" t="str">
        <f t="shared" si="40"/>
        <v>Pendiente</v>
      </c>
    </row>
    <row r="394" spans="1:36" s="31" customFormat="1" ht="25.5" customHeight="1" x14ac:dyDescent="0.2">
      <c r="A394" s="32">
        <v>390</v>
      </c>
      <c r="B394" s="33" t="s">
        <v>188</v>
      </c>
      <c r="C394" s="32" t="s">
        <v>51</v>
      </c>
      <c r="D394" s="32" t="s">
        <v>57</v>
      </c>
      <c r="E394" s="32" t="s">
        <v>58</v>
      </c>
      <c r="F394" s="32">
        <v>1742</v>
      </c>
      <c r="G394" s="33" t="s">
        <v>59</v>
      </c>
      <c r="H394" s="32" t="s">
        <v>47</v>
      </c>
      <c r="I394" s="32" t="s">
        <v>436</v>
      </c>
      <c r="J394" s="34">
        <v>46049</v>
      </c>
      <c r="K394" s="34">
        <v>46049</v>
      </c>
      <c r="L394" s="32" t="s">
        <v>48</v>
      </c>
      <c r="M394" s="48">
        <v>118536.26179999999</v>
      </c>
      <c r="N394" s="48">
        <v>104.2</v>
      </c>
      <c r="O394" s="48">
        <v>-396.54</v>
      </c>
      <c r="P394" s="48">
        <v>78.540000000000006</v>
      </c>
      <c r="Q394" s="48">
        <v>0</v>
      </c>
      <c r="R394" s="48">
        <v>0</v>
      </c>
      <c r="S394" s="48">
        <v>0</v>
      </c>
      <c r="T394" s="48">
        <v>-213.8</v>
      </c>
      <c r="U394" s="48">
        <f t="shared" si="37"/>
        <v>-213.8</v>
      </c>
      <c r="V394" s="49">
        <f>+Tabla_Auditorias[[#This Row],[AJUSTE
EGRESO
COSTO]]+Tabla_Auditorias[[#This Row],[AJUSTE EGRESO
MAL ESTADO]]+Tabla_Auditorias[[#This Row],[AJUSTE
INGRESO
COSTO]]</f>
        <v>9.5624500000000126</v>
      </c>
      <c r="W394" s="48">
        <v>-463.03334999999998</v>
      </c>
      <c r="X394" s="48">
        <v>0</v>
      </c>
      <c r="Y394" s="48"/>
      <c r="Z394" s="48">
        <v>472.5958</v>
      </c>
      <c r="AA394" s="50">
        <f>+SUM(Tabla_Auditorias[[#This Row],[AJUSTE
EGRESO
COSTO]:[AJUSTE
INGRESO
COSTO]])</f>
        <v>9.5624500000000126</v>
      </c>
      <c r="AB394" s="36" t="str">
        <f t="shared" si="38"/>
        <v>MEDIO</v>
      </c>
      <c r="AC394" s="37">
        <f>IFERROR(IF(M394=0,0,IF(ABS(O394)/M394=0,0,IF(ABS(O394)/M394&lt;=0.01,10,IF(ABS(O394)/M394&lt;=0.03,25,IF(ABS(O394)/M394&lt;=0.05,40,50)))))+IF(ABS(U394)=0,0,IF(ABS(U394)&lt;=200,10,IF(ABS(U394)&lt;=500,15,IF(ABS(U394)&lt;=2000,22,30))))+IF(COUNTIFS($B$382:B393,B394,$O$382:O393,"&lt;0")&gt;0,15,0)+IF(OR(Q394&lt;0,R394&lt;0),5,0),0)</f>
        <v>25</v>
      </c>
      <c r="AD394" s="35">
        <v>0</v>
      </c>
      <c r="AE394" s="41" t="s">
        <v>408</v>
      </c>
      <c r="AF394" s="38" t="str">
        <f>IF(Tabla_Auditorias[[#This Row],[TOTAL
COSTO
NETO]]&lt;&gt;0,"Si","No")</f>
        <v>Si</v>
      </c>
      <c r="AG394" s="39" t="s">
        <v>437</v>
      </c>
      <c r="AH394" s="40">
        <v>0</v>
      </c>
      <c r="AI394" s="51" t="str">
        <f t="shared" si="39"/>
        <v/>
      </c>
      <c r="AJ394" s="38" t="str">
        <f t="shared" si="40"/>
        <v>No Aplica</v>
      </c>
    </row>
    <row r="395" spans="1:36" s="31" customFormat="1" ht="31.5" customHeight="1" x14ac:dyDescent="0.2">
      <c r="A395" s="32">
        <v>391</v>
      </c>
      <c r="B395" s="33" t="s">
        <v>123</v>
      </c>
      <c r="C395" s="32" t="s">
        <v>51</v>
      </c>
      <c r="D395" s="32" t="s">
        <v>64</v>
      </c>
      <c r="E395" s="32" t="s">
        <v>58</v>
      </c>
      <c r="F395" s="32">
        <v>1726</v>
      </c>
      <c r="G395" s="33" t="s">
        <v>59</v>
      </c>
      <c r="H395" s="32" t="s">
        <v>47</v>
      </c>
      <c r="I395" s="32" t="s">
        <v>438</v>
      </c>
      <c r="J395" s="34">
        <v>46052</v>
      </c>
      <c r="K395" s="34">
        <v>46071</v>
      </c>
      <c r="L395" s="32" t="s">
        <v>48</v>
      </c>
      <c r="M395" s="48">
        <v>373164.76289999997</v>
      </c>
      <c r="N395" s="48">
        <v>5.54</v>
      </c>
      <c r="O395" s="48">
        <v>-720.66459999999995</v>
      </c>
      <c r="P395" s="48">
        <v>-36.817100000000003</v>
      </c>
      <c r="Q395" s="48">
        <v>0</v>
      </c>
      <c r="R395" s="48">
        <v>0</v>
      </c>
      <c r="S395" s="48">
        <v>0</v>
      </c>
      <c r="T395" s="48">
        <v>-751.94169999999997</v>
      </c>
      <c r="U395" s="48">
        <f t="shared" si="37"/>
        <v>-751.94169999999997</v>
      </c>
      <c r="V395" s="49">
        <f>+Tabla_Auditorias[[#This Row],[AJUSTE
EGRESO
COSTO]]+Tabla_Auditorias[[#This Row],[AJUSTE EGRESO
MAL ESTADO]]+Tabla_Auditorias[[#This Row],[AJUSTE
INGRESO
COSTO]]</f>
        <v>-484.21310000000005</v>
      </c>
      <c r="W395" s="48">
        <v>-585.16470000000004</v>
      </c>
      <c r="X395" s="48">
        <v>0</v>
      </c>
      <c r="Y395" s="48"/>
      <c r="Z395" s="48">
        <v>100.9516</v>
      </c>
      <c r="AA395" s="50">
        <f>+SUM(Tabla_Auditorias[[#This Row],[AJUSTE
EGRESO
COSTO]:[AJUSTE
INGRESO
COSTO]])</f>
        <v>-484.21310000000005</v>
      </c>
      <c r="AB395" s="36" t="str">
        <f t="shared" si="38"/>
        <v>MEDIO</v>
      </c>
      <c r="AC395" s="37">
        <f>IFERROR(IF(M395=0,0,IF(ABS(O395)/M395=0,0,IF(ABS(O395)/M395&lt;=0.01,10,IF(ABS(O395)/M395&lt;=0.03,25,IF(ABS(O395)/M395&lt;=0.05,40,50)))))+IF(ABS(U395)=0,0,IF(ABS(U395)&lt;=200,10,IF(ABS(U395)&lt;=500,15,IF(ABS(U395)&lt;=2000,22,30))))+IF(COUNTIFS($B$382:B394,B395,$O$382:O394,"&lt;0")&gt;0,15,0)+IF(OR(Q395&lt;0,R395&lt;0),5,0),0)</f>
        <v>32</v>
      </c>
      <c r="AD395" s="35">
        <v>0</v>
      </c>
      <c r="AE395" s="41" t="s">
        <v>408</v>
      </c>
      <c r="AF395" s="38" t="str">
        <f>IF(Tabla_Auditorias[[#This Row],[TOTAL
COSTO
NETO]]&lt;&gt;0,"Si","No")</f>
        <v>Si</v>
      </c>
      <c r="AG395" s="39" t="s">
        <v>439</v>
      </c>
      <c r="AH395" s="40">
        <v>0</v>
      </c>
      <c r="AI395" s="51">
        <f t="shared" si="39"/>
        <v>0</v>
      </c>
      <c r="AJ395" s="38" t="str">
        <f t="shared" si="40"/>
        <v>Pendiente</v>
      </c>
    </row>
    <row r="396" spans="1:36" s="31" customFormat="1" ht="25.5" customHeight="1" x14ac:dyDescent="0.2">
      <c r="A396" s="32">
        <v>392</v>
      </c>
      <c r="B396" s="33" t="s">
        <v>440</v>
      </c>
      <c r="C396" s="32" t="s">
        <v>51</v>
      </c>
      <c r="D396" s="32" t="s">
        <v>377</v>
      </c>
      <c r="E396" s="32" t="s">
        <v>58</v>
      </c>
      <c r="F396" s="32">
        <v>1750</v>
      </c>
      <c r="G396" s="33" t="s">
        <v>59</v>
      </c>
      <c r="H396" s="32" t="s">
        <v>47</v>
      </c>
      <c r="I396" s="32" t="s">
        <v>441</v>
      </c>
      <c r="J396" s="34">
        <v>46053</v>
      </c>
      <c r="K396" s="34">
        <v>46053</v>
      </c>
      <c r="L396" s="32" t="s">
        <v>48</v>
      </c>
      <c r="M396" s="48">
        <v>134823.4755</v>
      </c>
      <c r="N396" s="48">
        <v>0</v>
      </c>
      <c r="O396" s="48">
        <v>0</v>
      </c>
      <c r="P396" s="48">
        <v>0</v>
      </c>
      <c r="Q396" s="48">
        <v>0</v>
      </c>
      <c r="R396" s="48">
        <v>0</v>
      </c>
      <c r="S396" s="48">
        <v>0</v>
      </c>
      <c r="T396" s="48">
        <v>0</v>
      </c>
      <c r="U396" s="48">
        <f t="shared" si="37"/>
        <v>0</v>
      </c>
      <c r="V396" s="49">
        <f>+Tabla_Auditorias[[#This Row],[AJUSTE
EGRESO
COSTO]]+Tabla_Auditorias[[#This Row],[AJUSTE EGRESO
MAL ESTADO]]+Tabla_Auditorias[[#This Row],[AJUSTE
INGRESO
COSTO]]</f>
        <v>13.1411</v>
      </c>
      <c r="W396" s="48">
        <v>0</v>
      </c>
      <c r="X396" s="48">
        <v>0</v>
      </c>
      <c r="Y396" s="48"/>
      <c r="Z396" s="48">
        <v>13.1411</v>
      </c>
      <c r="AA396" s="50">
        <f>+SUM(Tabla_Auditorias[[#This Row],[AJUSTE
EGRESO
COSTO]:[AJUSTE
INGRESO
COSTO]])</f>
        <v>13.1411</v>
      </c>
      <c r="AB396" s="36" t="str">
        <f t="shared" si="38"/>
        <v>BAJO</v>
      </c>
      <c r="AC396" s="37">
        <f>IFERROR(IF(M396=0,0,IF(ABS(O396)/M396=0,0,IF(ABS(O396)/M396&lt;=0.01,10,IF(ABS(O396)/M396&lt;=0.03,25,IF(ABS(O396)/M396&lt;=0.05,40,50)))))+IF(ABS(U396)=0,0,IF(ABS(U396)&lt;=200,10,IF(ABS(U396)&lt;=500,15,IF(ABS(U396)&lt;=2000,22,30))))+IF(COUNTIFS($B$382:B395,B396,$O$382:O395,"&lt;0")&gt;0,15,0)+IF(OR(Q396&lt;0,R396&lt;0),5,0),0)</f>
        <v>0</v>
      </c>
      <c r="AD396" s="35">
        <v>0</v>
      </c>
      <c r="AE396" s="41" t="s">
        <v>408</v>
      </c>
      <c r="AF396" s="38" t="str">
        <f>IF(Tabla_Auditorias[[#This Row],[TOTAL
COSTO
NETO]]&lt;&gt;0,"Si","No")</f>
        <v>Si</v>
      </c>
      <c r="AG396" s="39" t="s">
        <v>221</v>
      </c>
      <c r="AH396" s="40">
        <v>0</v>
      </c>
      <c r="AI396" s="51" t="str">
        <f t="shared" si="39"/>
        <v/>
      </c>
      <c r="AJ396" s="38" t="str">
        <f t="shared" si="40"/>
        <v>No Aplica</v>
      </c>
    </row>
    <row r="397" spans="1:36" s="31" customFormat="1" ht="25.5" customHeight="1" x14ac:dyDescent="0.2">
      <c r="A397" s="32">
        <v>393</v>
      </c>
      <c r="B397" s="33" t="s">
        <v>80</v>
      </c>
      <c r="C397" s="32" t="s">
        <v>51</v>
      </c>
      <c r="D397" s="32" t="s">
        <v>52</v>
      </c>
      <c r="E397" s="32" t="s">
        <v>58</v>
      </c>
      <c r="F397" s="32">
        <v>1731</v>
      </c>
      <c r="G397" s="33" t="s">
        <v>59</v>
      </c>
      <c r="H397" s="32" t="s">
        <v>47</v>
      </c>
      <c r="I397" s="32" t="s">
        <v>442</v>
      </c>
      <c r="J397" s="34">
        <v>46055</v>
      </c>
      <c r="K397" s="34">
        <v>46055</v>
      </c>
      <c r="L397" s="32" t="s">
        <v>48</v>
      </c>
      <c r="M397" s="48">
        <v>58927.758000000002</v>
      </c>
      <c r="N397" s="48">
        <v>0</v>
      </c>
      <c r="O397" s="48">
        <v>0</v>
      </c>
      <c r="P397" s="48">
        <v>0</v>
      </c>
      <c r="Q397" s="48">
        <v>0</v>
      </c>
      <c r="R397" s="48">
        <v>0</v>
      </c>
      <c r="S397" s="48">
        <v>0</v>
      </c>
      <c r="T397" s="48">
        <v>0</v>
      </c>
      <c r="U397" s="48">
        <f t="shared" si="37"/>
        <v>0</v>
      </c>
      <c r="V397" s="49">
        <f>+Tabla_Auditorias[[#This Row],[AJUSTE
EGRESO
COSTO]]+Tabla_Auditorias[[#This Row],[AJUSTE EGRESO
MAL ESTADO]]+Tabla_Auditorias[[#This Row],[AJUSTE
INGRESO
COSTO]]</f>
        <v>0</v>
      </c>
      <c r="W397" s="48">
        <v>0</v>
      </c>
      <c r="X397" s="48">
        <v>0</v>
      </c>
      <c r="Y397" s="48"/>
      <c r="Z397" s="48">
        <v>0</v>
      </c>
      <c r="AA397" s="50">
        <f>+SUM(Tabla_Auditorias[[#This Row],[AJUSTE
EGRESO
COSTO]:[AJUSTE
INGRESO
COSTO]])</f>
        <v>0</v>
      </c>
      <c r="AB397" s="36" t="str">
        <f t="shared" si="38"/>
        <v>BAJO</v>
      </c>
      <c r="AC397" s="37">
        <f>IFERROR(IF(M397=0,0,IF(ABS(O397)/M397=0,0,IF(ABS(O397)/M397&lt;=0.01,10,IF(ABS(O397)/M397&lt;=0.03,25,IF(ABS(O397)/M397&lt;=0.05,40,50)))))+IF(ABS(U397)=0,0,IF(ABS(U397)&lt;=200,10,IF(ABS(U397)&lt;=500,15,IF(ABS(U397)&lt;=2000,22,30))))+IF(COUNTIFS($B$382:B396,B397,$O$382:O396,"&lt;0")&gt;0,15,0)+IF(OR(Q397&lt;0,R397&lt;0),5,0),0)</f>
        <v>0</v>
      </c>
      <c r="AD397" s="35">
        <v>0</v>
      </c>
      <c r="AE397" s="41" t="s">
        <v>408</v>
      </c>
      <c r="AF397" s="38" t="str">
        <f>IF(Tabla_Auditorias[[#This Row],[TOTAL
COSTO
NETO]]&lt;&gt;0,"Si","No")</f>
        <v>No</v>
      </c>
      <c r="AG397" s="39" t="s">
        <v>443</v>
      </c>
      <c r="AH397" s="40">
        <v>0</v>
      </c>
      <c r="AI397" s="51" t="str">
        <f t="shared" si="39"/>
        <v/>
      </c>
      <c r="AJ397" s="38" t="str">
        <f t="shared" si="40"/>
        <v>Pendiente</v>
      </c>
    </row>
    <row r="398" spans="1:36" s="31" customFormat="1" ht="25.5" customHeight="1" x14ac:dyDescent="0.2">
      <c r="A398" s="32">
        <v>394</v>
      </c>
      <c r="B398" s="33" t="s">
        <v>444</v>
      </c>
      <c r="C398" s="32" t="s">
        <v>51</v>
      </c>
      <c r="D398" s="32" t="s">
        <v>377</v>
      </c>
      <c r="E398" s="32" t="s">
        <v>58</v>
      </c>
      <c r="F398" s="32">
        <v>1751</v>
      </c>
      <c r="G398" s="33" t="s">
        <v>59</v>
      </c>
      <c r="H398" s="32" t="s">
        <v>47</v>
      </c>
      <c r="I398" s="32" t="s">
        <v>445</v>
      </c>
      <c r="J398" s="34">
        <v>46056</v>
      </c>
      <c r="K398" s="34">
        <v>46056</v>
      </c>
      <c r="L398" s="32" t="s">
        <v>48</v>
      </c>
      <c r="M398" s="48">
        <v>764806.49959999998</v>
      </c>
      <c r="N398" s="48">
        <v>0</v>
      </c>
      <c r="O398" s="48">
        <v>0</v>
      </c>
      <c r="P398" s="48">
        <v>0</v>
      </c>
      <c r="Q398" s="48">
        <v>0</v>
      </c>
      <c r="R398" s="48">
        <v>0</v>
      </c>
      <c r="S398" s="48">
        <v>0</v>
      </c>
      <c r="T398" s="48">
        <v>0</v>
      </c>
      <c r="U398" s="48">
        <f t="shared" si="37"/>
        <v>0</v>
      </c>
      <c r="V398" s="49">
        <f>+Tabla_Auditorias[[#This Row],[AJUSTE
EGRESO
COSTO]]+Tabla_Auditorias[[#This Row],[AJUSTE EGRESO
MAL ESTADO]]+Tabla_Auditorias[[#This Row],[AJUSTE
INGRESO
COSTO]]</f>
        <v>0</v>
      </c>
      <c r="W398" s="48">
        <v>0</v>
      </c>
      <c r="X398" s="48">
        <v>0</v>
      </c>
      <c r="Y398" s="48"/>
      <c r="Z398" s="48">
        <v>0</v>
      </c>
      <c r="AA398" s="50">
        <f>+SUM(Tabla_Auditorias[[#This Row],[AJUSTE
EGRESO
COSTO]:[AJUSTE
INGRESO
COSTO]])</f>
        <v>0</v>
      </c>
      <c r="AB398" s="36" t="str">
        <f t="shared" si="38"/>
        <v>BAJO</v>
      </c>
      <c r="AC398" s="37">
        <f>IFERROR(IF(M398=0,0,IF(ABS(O398)/M398=0,0,IF(ABS(O398)/M398&lt;=0.01,10,IF(ABS(O398)/M398&lt;=0.03,25,IF(ABS(O398)/M398&lt;=0.05,40,50)))))+IF(ABS(U398)=0,0,IF(ABS(U398)&lt;=200,10,IF(ABS(U398)&lt;=500,15,IF(ABS(U398)&lt;=2000,22,30))))+IF(COUNTIFS($B$382:B397,B398,$O$382:O397,"&lt;0")&gt;0,15,0)+IF(OR(Q398&lt;0,R398&lt;0),5,0),0)</f>
        <v>0</v>
      </c>
      <c r="AD398" s="35">
        <v>0</v>
      </c>
      <c r="AE398" s="41" t="s">
        <v>408</v>
      </c>
      <c r="AF398" s="38" t="str">
        <f>IF(Tabla_Auditorias[[#This Row],[TOTAL
COSTO
NETO]]&lt;&gt;0,"Si","No")</f>
        <v>No</v>
      </c>
      <c r="AG398" s="39" t="s">
        <v>221</v>
      </c>
      <c r="AH398" s="40">
        <v>0</v>
      </c>
      <c r="AI398" s="51" t="str">
        <f t="shared" si="39"/>
        <v/>
      </c>
      <c r="AJ398" s="38" t="str">
        <f t="shared" si="40"/>
        <v>Pendiente</v>
      </c>
    </row>
    <row r="399" spans="1:36" s="31" customFormat="1" ht="42" customHeight="1" x14ac:dyDescent="0.2">
      <c r="A399" s="32">
        <v>395</v>
      </c>
      <c r="B399" s="33" t="s">
        <v>224</v>
      </c>
      <c r="C399" s="32" t="s">
        <v>153</v>
      </c>
      <c r="D399" s="32" t="s">
        <v>89</v>
      </c>
      <c r="E399" s="32" t="s">
        <v>58</v>
      </c>
      <c r="F399" s="32">
        <v>3042</v>
      </c>
      <c r="G399" s="33" t="s">
        <v>59</v>
      </c>
      <c r="H399" s="32" t="s">
        <v>47</v>
      </c>
      <c r="I399" s="32" t="s">
        <v>446</v>
      </c>
      <c r="J399" s="34">
        <v>46057</v>
      </c>
      <c r="K399" s="34">
        <v>46057</v>
      </c>
      <c r="L399" s="32" t="s">
        <v>48</v>
      </c>
      <c r="M399" s="48">
        <v>12816.39</v>
      </c>
      <c r="N399" s="48">
        <v>328.37</v>
      </c>
      <c r="O399" s="48">
        <v>-777.27</v>
      </c>
      <c r="P399" s="48">
        <v>-117.98</v>
      </c>
      <c r="Q399" s="48">
        <v>0</v>
      </c>
      <c r="R399" s="48">
        <v>0</v>
      </c>
      <c r="S399" s="48">
        <v>0</v>
      </c>
      <c r="T399" s="48">
        <f>N399+O399+P399+Q399+R399+S399</f>
        <v>-566.88</v>
      </c>
      <c r="U399" s="48">
        <f t="shared" si="37"/>
        <v>-566.88</v>
      </c>
      <c r="V399" s="49">
        <f>+Tabla_Auditorias[[#This Row],[AJUSTE
EGRESO
COSTO]]+Tabla_Auditorias[[#This Row],[AJUSTE EGRESO
MAL ESTADO]]+Tabla_Auditorias[[#This Row],[AJUSTE
INGRESO
COSTO]]</f>
        <v>95.669999999999959</v>
      </c>
      <c r="W399" s="48">
        <v>-512.94000000000005</v>
      </c>
      <c r="X399" s="48">
        <v>0</v>
      </c>
      <c r="Y399" s="48"/>
      <c r="Z399" s="48">
        <v>608.61</v>
      </c>
      <c r="AA399" s="50">
        <f>+SUM(Tabla_Auditorias[[#This Row],[AJUSTE
EGRESO
COSTO]:[AJUSTE
INGRESO
COSTO]])</f>
        <v>95.669999999999959</v>
      </c>
      <c r="AB399" s="36" t="str">
        <f t="shared" si="38"/>
        <v>CRÍTICO</v>
      </c>
      <c r="AC399" s="37">
        <f>IFERROR(IF(M399=0,0,IF(ABS(O399)/M399=0,0,IF(ABS(O399)/M399&lt;=0.01,10,IF(ABS(O399)/M399&lt;=0.03,25,IF(ABS(O399)/M399&lt;=0.05,40,50)))))+IF(ABS(U399)=0,0,IF(ABS(U399)&lt;=200,10,IF(ABS(U399)&lt;=500,15,IF(ABS(U399)&lt;=2000,22,30))))+IF(COUNTIFS($B$382:B398,B399,$O$382:O398,"&lt;0")&gt;0,15,0)+IF(OR(Q399&lt;0,R399&lt;0),5,0),0)</f>
        <v>72</v>
      </c>
      <c r="AD399" s="35">
        <v>0</v>
      </c>
      <c r="AE399" s="41" t="s">
        <v>408</v>
      </c>
      <c r="AF399" s="38" t="str">
        <f>IF(Tabla_Auditorias[[#This Row],[TOTAL
COSTO
NETO]]&lt;&gt;0,"Si","No")</f>
        <v>Si</v>
      </c>
      <c r="AG399" s="39" t="s">
        <v>447</v>
      </c>
      <c r="AH399" s="40">
        <v>0</v>
      </c>
      <c r="AI399" s="51" t="str">
        <f t="shared" si="39"/>
        <v/>
      </c>
      <c r="AJ399" s="38" t="str">
        <f t="shared" si="40"/>
        <v>No Aplica</v>
      </c>
    </row>
    <row r="400" spans="1:36" s="31" customFormat="1" ht="25.5" customHeight="1" x14ac:dyDescent="0.2">
      <c r="A400" s="32">
        <v>396</v>
      </c>
      <c r="B400" s="33" t="s">
        <v>97</v>
      </c>
      <c r="C400" s="32" t="s">
        <v>51</v>
      </c>
      <c r="D400" s="32" t="s">
        <v>57</v>
      </c>
      <c r="E400" s="32" t="s">
        <v>53</v>
      </c>
      <c r="F400" s="32">
        <v>1701</v>
      </c>
      <c r="G400" s="33" t="s">
        <v>54</v>
      </c>
      <c r="H400" s="32" t="s">
        <v>47</v>
      </c>
      <c r="I400" s="32" t="s">
        <v>448</v>
      </c>
      <c r="J400" s="34">
        <v>46057</v>
      </c>
      <c r="K400" s="34">
        <v>46057</v>
      </c>
      <c r="L400" s="32" t="s">
        <v>48</v>
      </c>
      <c r="M400" s="48">
        <v>138354.42000000001</v>
      </c>
      <c r="N400" s="48">
        <v>0</v>
      </c>
      <c r="O400" s="48">
        <v>0</v>
      </c>
      <c r="P400" s="48">
        <v>0</v>
      </c>
      <c r="Q400" s="48">
        <v>0</v>
      </c>
      <c r="R400" s="48">
        <v>-384.38</v>
      </c>
      <c r="S400" s="48">
        <v>0</v>
      </c>
      <c r="T400" s="48">
        <f>N400+O400+P400+Q400+R400+S400</f>
        <v>-384.38</v>
      </c>
      <c r="U400" s="48">
        <f t="shared" si="37"/>
        <v>0</v>
      </c>
      <c r="V400" s="49">
        <f>+Tabla_Auditorias[[#This Row],[AJUSTE
EGRESO
COSTO]]+Tabla_Auditorias[[#This Row],[AJUSTE EGRESO
MAL ESTADO]]+Tabla_Auditorias[[#This Row],[AJUSTE
INGRESO
COSTO]]</f>
        <v>-528.02</v>
      </c>
      <c r="W400" s="48">
        <v>-264.01</v>
      </c>
      <c r="X400" s="48">
        <v>-264.01</v>
      </c>
      <c r="Y400" s="48"/>
      <c r="Z400" s="48">
        <v>0</v>
      </c>
      <c r="AA400" s="50">
        <f>+SUM(Tabla_Auditorias[[#This Row],[AJUSTE
EGRESO
COSTO]:[AJUSTE
INGRESO
COSTO]])</f>
        <v>-528.02</v>
      </c>
      <c r="AB400" s="36" t="str">
        <f t="shared" si="38"/>
        <v>BAJO</v>
      </c>
      <c r="AC400" s="37">
        <f>IFERROR(IF(M400=0,0,IF(ABS(O400)/M400=0,0,IF(ABS(O400)/M400&lt;=0.01,10,IF(ABS(O400)/M400&lt;=0.03,25,IF(ABS(O400)/M400&lt;=0.05,40,50)))))+IF(ABS(U400)=0,0,IF(ABS(U400)&lt;=200,10,IF(ABS(U400)&lt;=500,15,IF(ABS(U400)&lt;=2000,22,30))))+IF(COUNTIFS($B$382:B399,B400,$O$382:O399,"&lt;0")&gt;0,15,0)+IF(OR(Q400&lt;0,R400&lt;0),5,0),0)</f>
        <v>5</v>
      </c>
      <c r="AD400" s="35">
        <v>0</v>
      </c>
      <c r="AE400" s="41" t="s">
        <v>408</v>
      </c>
      <c r="AF400" s="38" t="str">
        <f>IF(Tabla_Auditorias[[#This Row],[TOTAL
COSTO
NETO]]&lt;&gt;0,"Si","No")</f>
        <v>Si</v>
      </c>
      <c r="AG400" s="39" t="s">
        <v>449</v>
      </c>
      <c r="AH400" s="40">
        <v>0</v>
      </c>
      <c r="AI400" s="51">
        <f t="shared" si="39"/>
        <v>0</v>
      </c>
      <c r="AJ400" s="38" t="str">
        <f t="shared" si="40"/>
        <v>Pendiente</v>
      </c>
    </row>
    <row r="401" spans="1:36" s="31" customFormat="1" ht="25.5" customHeight="1" x14ac:dyDescent="0.2">
      <c r="A401" s="32">
        <v>397</v>
      </c>
      <c r="B401" s="33" t="s">
        <v>83</v>
      </c>
      <c r="C401" s="32" t="s">
        <v>51</v>
      </c>
      <c r="D401" s="32" t="s">
        <v>57</v>
      </c>
      <c r="E401" s="32" t="s">
        <v>58</v>
      </c>
      <c r="F401" s="32">
        <v>1704</v>
      </c>
      <c r="G401" s="33" t="s">
        <v>59</v>
      </c>
      <c r="H401" s="32" t="s">
        <v>47</v>
      </c>
      <c r="I401" s="32" t="s">
        <v>450</v>
      </c>
      <c r="J401" s="34">
        <v>46058</v>
      </c>
      <c r="K401" s="34">
        <v>46058</v>
      </c>
      <c r="L401" s="32" t="s">
        <v>48</v>
      </c>
      <c r="M401" s="48">
        <v>110542.7843</v>
      </c>
      <c r="N401" s="48">
        <v>19.39</v>
      </c>
      <c r="O401" s="48">
        <v>-60.28</v>
      </c>
      <c r="P401" s="48">
        <v>-9.8300000000000107</v>
      </c>
      <c r="Q401" s="48">
        <v>0</v>
      </c>
      <c r="R401" s="48">
        <v>0</v>
      </c>
      <c r="S401" s="48">
        <v>0</v>
      </c>
      <c r="T401" s="48">
        <v>-50.72</v>
      </c>
      <c r="U401" s="48">
        <f t="shared" si="37"/>
        <v>-50.720000000000013</v>
      </c>
      <c r="V401" s="49">
        <f>+Tabla_Auditorias[[#This Row],[AJUSTE
EGRESO
COSTO]]+Tabla_Auditorias[[#This Row],[AJUSTE EGRESO
MAL ESTADO]]+Tabla_Auditorias[[#This Row],[AJUSTE
INGRESO
COSTO]]</f>
        <v>-25.38705396825398</v>
      </c>
      <c r="W401" s="48">
        <v>-179.73360396825399</v>
      </c>
      <c r="X401" s="48">
        <v>0</v>
      </c>
      <c r="Y401" s="48"/>
      <c r="Z401" s="48">
        <v>154.34655000000001</v>
      </c>
      <c r="AA401" s="50">
        <f>+SUM(Tabla_Auditorias[[#This Row],[AJUSTE
EGRESO
COSTO]:[AJUSTE
INGRESO
COSTO]])</f>
        <v>-25.38705396825398</v>
      </c>
      <c r="AB401" s="36" t="str">
        <f t="shared" si="38"/>
        <v>MEDIO</v>
      </c>
      <c r="AC401" s="37">
        <f>IFERROR(IF(M401=0,0,IF(ABS(O401)/M401=0,0,IF(ABS(O401)/M401&lt;=0.01,10,IF(ABS(O401)/M401&lt;=0.03,25,IF(ABS(O401)/M401&lt;=0.05,40,50)))))+IF(ABS(U401)=0,0,IF(ABS(U401)&lt;=200,10,IF(ABS(U401)&lt;=500,15,IF(ABS(U401)&lt;=2000,22,30))))+IF(COUNTIFS($B$382:B400,B401,$O$382:O400,"&lt;0")&gt;0,15,0)+IF(OR(Q401&lt;0,R401&lt;0),5,0),0)</f>
        <v>20</v>
      </c>
      <c r="AD401" s="35">
        <v>22.99</v>
      </c>
      <c r="AE401" s="41" t="s">
        <v>408</v>
      </c>
      <c r="AF401" s="38" t="str">
        <f>IF(Tabla_Auditorias[[#This Row],[TOTAL
COSTO
NETO]]&lt;&gt;0,"Si","No")</f>
        <v>Si</v>
      </c>
      <c r="AG401" s="39" t="s">
        <v>451</v>
      </c>
      <c r="AH401" s="40">
        <v>0</v>
      </c>
      <c r="AI401" s="51">
        <f t="shared" si="39"/>
        <v>0</v>
      </c>
      <c r="AJ401" s="38" t="str">
        <f t="shared" si="40"/>
        <v>Pendiente</v>
      </c>
    </row>
    <row r="402" spans="1:36" s="31" customFormat="1" ht="25.5" customHeight="1" x14ac:dyDescent="0.2">
      <c r="A402" s="32">
        <v>398</v>
      </c>
      <c r="B402" s="33" t="s">
        <v>175</v>
      </c>
      <c r="C402" s="32" t="s">
        <v>51</v>
      </c>
      <c r="D402" s="32" t="s">
        <v>52</v>
      </c>
      <c r="E402" s="32" t="s">
        <v>58</v>
      </c>
      <c r="F402" s="32">
        <v>1738</v>
      </c>
      <c r="G402" s="33" t="s">
        <v>59</v>
      </c>
      <c r="H402" s="32" t="s">
        <v>47</v>
      </c>
      <c r="I402" s="32" t="s">
        <v>452</v>
      </c>
      <c r="J402" s="34">
        <v>46060</v>
      </c>
      <c r="K402" s="34">
        <v>46060</v>
      </c>
      <c r="L402" s="32" t="s">
        <v>48</v>
      </c>
      <c r="M402" s="48">
        <v>44445.68</v>
      </c>
      <c r="N402" s="48">
        <v>0</v>
      </c>
      <c r="O402" s="48">
        <v>0</v>
      </c>
      <c r="P402" s="48">
        <v>0</v>
      </c>
      <c r="Q402" s="48">
        <v>0</v>
      </c>
      <c r="R402" s="48">
        <v>0</v>
      </c>
      <c r="S402" s="48">
        <v>0</v>
      </c>
      <c r="T402" s="48">
        <v>0</v>
      </c>
      <c r="U402" s="48">
        <f t="shared" si="37"/>
        <v>0</v>
      </c>
      <c r="V402" s="49">
        <f>+Tabla_Auditorias[[#This Row],[AJUSTE
EGRESO
COSTO]]+Tabla_Auditorias[[#This Row],[AJUSTE EGRESO
MAL ESTADO]]+Tabla_Auditorias[[#This Row],[AJUSTE
INGRESO
COSTO]]</f>
        <v>0</v>
      </c>
      <c r="W402" s="48">
        <v>0</v>
      </c>
      <c r="X402" s="48">
        <v>0</v>
      </c>
      <c r="Y402" s="48"/>
      <c r="Z402" s="48">
        <v>0</v>
      </c>
      <c r="AA402" s="50">
        <f>+SUM(Tabla_Auditorias[[#This Row],[AJUSTE
EGRESO
COSTO]:[AJUSTE
INGRESO
COSTO]])</f>
        <v>0</v>
      </c>
      <c r="AB402" s="36" t="str">
        <f t="shared" si="38"/>
        <v>BAJO</v>
      </c>
      <c r="AC402" s="37">
        <f>IFERROR(IF(M402=0,0,IF(ABS(O402)/M402=0,0,IF(ABS(O402)/M402&lt;=0.01,10,IF(ABS(O402)/M402&lt;=0.03,25,IF(ABS(O402)/M402&lt;=0.05,40,50)))))+IF(ABS(U402)=0,0,IF(ABS(U402)&lt;=200,10,IF(ABS(U402)&lt;=500,15,IF(ABS(U402)&lt;=2000,22,30))))+IF(COUNTIFS($B$382:B401,B402,$O$382:O401,"&lt;0")&gt;0,15,0)+IF(OR(Q402&lt;0,R402&lt;0),5,0),0)</f>
        <v>0</v>
      </c>
      <c r="AD402" s="35">
        <v>0</v>
      </c>
      <c r="AE402" s="41" t="s">
        <v>408</v>
      </c>
      <c r="AF402" s="38" t="str">
        <f>IF(Tabla_Auditorias[[#This Row],[TOTAL
COSTO
NETO]]&lt;&gt;0,"Si","No")</f>
        <v>No</v>
      </c>
      <c r="AG402" s="39" t="s">
        <v>453</v>
      </c>
      <c r="AH402" s="40">
        <v>0</v>
      </c>
      <c r="AI402" s="51" t="str">
        <f t="shared" si="39"/>
        <v/>
      </c>
      <c r="AJ402" s="38" t="str">
        <f t="shared" si="40"/>
        <v>Pendiente</v>
      </c>
    </row>
    <row r="403" spans="1:36" s="31" customFormat="1" ht="25.5" customHeight="1" x14ac:dyDescent="0.2">
      <c r="A403" s="32">
        <v>399</v>
      </c>
      <c r="B403" s="33" t="s">
        <v>107</v>
      </c>
      <c r="C403" s="32" t="s">
        <v>51</v>
      </c>
      <c r="D403" s="32" t="s">
        <v>57</v>
      </c>
      <c r="E403" s="32" t="s">
        <v>53</v>
      </c>
      <c r="F403" s="32">
        <v>1708</v>
      </c>
      <c r="G403" s="33" t="s">
        <v>54</v>
      </c>
      <c r="H403" s="32" t="s">
        <v>47</v>
      </c>
      <c r="I403" s="32" t="s">
        <v>454</v>
      </c>
      <c r="J403" s="34">
        <v>46064</v>
      </c>
      <c r="K403" s="34">
        <v>46064</v>
      </c>
      <c r="L403" s="32" t="s">
        <v>48</v>
      </c>
      <c r="M403" s="48">
        <v>79320.460000000006</v>
      </c>
      <c r="N403" s="48">
        <v>0</v>
      </c>
      <c r="O403" s="48">
        <v>0</v>
      </c>
      <c r="P403" s="48">
        <v>0</v>
      </c>
      <c r="Q403" s="48">
        <v>0</v>
      </c>
      <c r="R403" s="48">
        <v>-1172.6600000000001</v>
      </c>
      <c r="S403" s="48">
        <v>0</v>
      </c>
      <c r="T403" s="48">
        <f>N403+O403+P403+Q403+R403+S403</f>
        <v>-1172.6600000000001</v>
      </c>
      <c r="U403" s="48">
        <f t="shared" si="37"/>
        <v>0</v>
      </c>
      <c r="V403" s="49">
        <f>+Tabla_Auditorias[[#This Row],[AJUSTE
EGRESO
COSTO]]+Tabla_Auditorias[[#This Row],[AJUSTE EGRESO
MAL ESTADO]]+Tabla_Auditorias[[#This Row],[AJUSTE
INGRESO
COSTO]]</f>
        <v>0</v>
      </c>
      <c r="W403" s="48">
        <v>0</v>
      </c>
      <c r="X403" s="48"/>
      <c r="Y403" s="48">
        <v>-549.16</v>
      </c>
      <c r="Z403" s="48">
        <v>0</v>
      </c>
      <c r="AA403" s="50">
        <f>+SUM(Tabla_Auditorias[[#This Row],[AJUSTE
EGRESO
COSTO]:[AJUSTE
INGRESO
COSTO]])</f>
        <v>-549.16</v>
      </c>
      <c r="AB403" s="36" t="str">
        <f t="shared" si="38"/>
        <v>BAJO</v>
      </c>
      <c r="AC403" s="37">
        <f>IFERROR(IF(M403=0,0,IF(ABS(O403)/M403=0,0,IF(ABS(O403)/M403&lt;=0.01,10,IF(ABS(O403)/M403&lt;=0.03,25,IF(ABS(O403)/M403&lt;=0.05,40,50)))))+IF(ABS(U403)=0,0,IF(ABS(U403)&lt;=200,10,IF(ABS(U403)&lt;=500,15,IF(ABS(U403)&lt;=2000,22,30))))+IF(COUNTIFS($B$382:B402,B403,$O$382:O402,"&lt;0")&gt;0,15,0)+IF(OR(Q403&lt;0,R403&lt;0),5,0),0)</f>
        <v>5</v>
      </c>
      <c r="AD403" s="35">
        <v>559.57000000000005</v>
      </c>
      <c r="AE403" s="41" t="s">
        <v>408</v>
      </c>
      <c r="AF403" s="38" t="str">
        <f>IF(Tabla_Auditorias[[#This Row],[TOTAL
COSTO
NETO]]&lt;&gt;0,"Si","No")</f>
        <v>Si</v>
      </c>
      <c r="AG403" s="39" t="s">
        <v>455</v>
      </c>
      <c r="AH403" s="40">
        <v>0</v>
      </c>
      <c r="AI403" s="51" t="str">
        <f t="shared" si="39"/>
        <v/>
      </c>
      <c r="AJ403" s="38" t="str">
        <f t="shared" si="40"/>
        <v>Pendiente</v>
      </c>
    </row>
    <row r="404" spans="1:36" s="31" customFormat="1" ht="25.5" customHeight="1" x14ac:dyDescent="0.2">
      <c r="A404" s="32">
        <v>400</v>
      </c>
      <c r="B404" s="33" t="s">
        <v>456</v>
      </c>
      <c r="C404" s="32" t="s">
        <v>43</v>
      </c>
      <c r="D404" s="32" t="s">
        <v>44</v>
      </c>
      <c r="E404" s="32" t="s">
        <v>58</v>
      </c>
      <c r="F404" s="32">
        <v>1519</v>
      </c>
      <c r="G404" s="33" t="s">
        <v>59</v>
      </c>
      <c r="H404" s="32" t="s">
        <v>47</v>
      </c>
      <c r="I404" s="32" t="s">
        <v>457</v>
      </c>
      <c r="J404" s="34">
        <v>46065</v>
      </c>
      <c r="K404" s="34">
        <v>46071</v>
      </c>
      <c r="L404" s="32" t="s">
        <v>48</v>
      </c>
      <c r="M404" s="48">
        <v>120491.82</v>
      </c>
      <c r="N404" s="48">
        <v>142.62</v>
      </c>
      <c r="O404" s="48">
        <v>-168.24</v>
      </c>
      <c r="P404" s="48">
        <v>41.51</v>
      </c>
      <c r="Q404" s="48">
        <v>-198.58</v>
      </c>
      <c r="R404" s="48">
        <v>0</v>
      </c>
      <c r="S404" s="48">
        <v>0</v>
      </c>
      <c r="T404" s="48">
        <f>N404+O404+P404+Q404+R404+S404</f>
        <v>-182.69000000000003</v>
      </c>
      <c r="U404" s="48">
        <f t="shared" si="37"/>
        <v>-182.69000000000003</v>
      </c>
      <c r="V404" s="49">
        <f>+Tabla_Auditorias[[#This Row],[AJUSTE
EGRESO
COSTO]]+Tabla_Auditorias[[#This Row],[AJUSTE EGRESO
MAL ESTADO]]+Tabla_Auditorias[[#This Row],[AJUSTE
INGRESO
COSTO]]</f>
        <v>-112.19</v>
      </c>
      <c r="W404" s="48">
        <v>-432.46</v>
      </c>
      <c r="X404" s="48">
        <v>0</v>
      </c>
      <c r="Y404" s="48"/>
      <c r="Z404" s="48">
        <v>320.27</v>
      </c>
      <c r="AA404" s="50">
        <f>+SUM(Tabla_Auditorias[[#This Row],[AJUSTE
EGRESO
COSTO]:[AJUSTE
INGRESO
COSTO]])</f>
        <v>-112.19</v>
      </c>
      <c r="AB404" s="36" t="str">
        <f t="shared" si="38"/>
        <v>MEDIO</v>
      </c>
      <c r="AC404" s="37">
        <f>IFERROR(IF(M404=0,0,IF(ABS(O404)/M404=0,0,IF(ABS(O404)/M404&lt;=0.01,10,IF(ABS(O404)/M404&lt;=0.03,25,IF(ABS(O404)/M404&lt;=0.05,40,50)))))+IF(ABS(U404)=0,0,IF(ABS(U404)&lt;=200,10,IF(ABS(U404)&lt;=500,15,IF(ABS(U404)&lt;=2000,22,30))))+IF(COUNTIFS($B$382:B403,B404,$O$382:O403,"&lt;0")&gt;0,15,0)+IF(OR(Q404&lt;0,R404&lt;0),5,0),0)</f>
        <v>25</v>
      </c>
      <c r="AD404" s="35">
        <v>0</v>
      </c>
      <c r="AE404" s="41" t="s">
        <v>49</v>
      </c>
      <c r="AF404" s="38" t="str">
        <f>IF(Tabla_Auditorias[[#This Row],[TOTAL
COSTO
NETO]]&lt;&gt;0,"Si","No")</f>
        <v>Si</v>
      </c>
      <c r="AG404" s="39" t="s">
        <v>458</v>
      </c>
      <c r="AH404" s="40">
        <v>0</v>
      </c>
      <c r="AI404" s="51">
        <f t="shared" si="39"/>
        <v>0</v>
      </c>
      <c r="AJ404" s="38" t="str">
        <f t="shared" si="40"/>
        <v>Pendiente</v>
      </c>
    </row>
    <row r="405" spans="1:36" s="31" customFormat="1" ht="31.5" customHeight="1" x14ac:dyDescent="0.2">
      <c r="A405" s="32">
        <v>401</v>
      </c>
      <c r="B405" s="33" t="s">
        <v>87</v>
      </c>
      <c r="C405" s="32" t="s">
        <v>153</v>
      </c>
      <c r="D405" s="32" t="s">
        <v>89</v>
      </c>
      <c r="E405" s="32" t="s">
        <v>58</v>
      </c>
      <c r="F405" s="32">
        <v>3040</v>
      </c>
      <c r="G405" s="33" t="s">
        <v>59</v>
      </c>
      <c r="H405" s="32" t="s">
        <v>47</v>
      </c>
      <c r="I405" s="32" t="s">
        <v>459</v>
      </c>
      <c r="J405" s="34">
        <v>46065</v>
      </c>
      <c r="K405" s="34">
        <v>46065</v>
      </c>
      <c r="L405" s="32" t="s">
        <v>48</v>
      </c>
      <c r="M405" s="48">
        <v>25598.416099999999</v>
      </c>
      <c r="N405" s="48">
        <v>173.19</v>
      </c>
      <c r="O405" s="48">
        <v>-208.65</v>
      </c>
      <c r="P405" s="48">
        <v>9.4299999999998398</v>
      </c>
      <c r="Q405" s="48">
        <v>-7.96</v>
      </c>
      <c r="R405" s="48">
        <v>0</v>
      </c>
      <c r="S405" s="48">
        <v>0</v>
      </c>
      <c r="T405" s="48">
        <v>-33.990000000000201</v>
      </c>
      <c r="U405" s="48">
        <f t="shared" si="37"/>
        <v>-33.990000000000165</v>
      </c>
      <c r="V405" s="49">
        <f>+Tabla_Auditorias[[#This Row],[AJUSTE
EGRESO
COSTO]]+Tabla_Auditorias[[#This Row],[AJUSTE EGRESO
MAL ESTADO]]+Tabla_Auditorias[[#This Row],[AJUSTE
INGRESO
COSTO]]</f>
        <v>-33.798616056639958</v>
      </c>
      <c r="W405" s="48">
        <v>-1292.72723977591</v>
      </c>
      <c r="X405" s="48">
        <v>-1.99</v>
      </c>
      <c r="Y405" s="48"/>
      <c r="Z405" s="48">
        <v>1260.91862371927</v>
      </c>
      <c r="AA405" s="50">
        <f>+SUM(Tabla_Auditorias[[#This Row],[AJUSTE
EGRESO
COSTO]:[AJUSTE
INGRESO
COSTO]])</f>
        <v>-33.798616056639958</v>
      </c>
      <c r="AB405" s="36" t="str">
        <f t="shared" si="38"/>
        <v>MEDIO</v>
      </c>
      <c r="AC405" s="37">
        <f>IFERROR(IF(M405=0,0,IF(ABS(O405)/M405=0,0,IF(ABS(O405)/M405&lt;=0.01,10,IF(ABS(O405)/M405&lt;=0.03,25,IF(ABS(O405)/M405&lt;=0.05,40,50)))))+IF(ABS(U405)=0,0,IF(ABS(U405)&lt;=200,10,IF(ABS(U405)&lt;=500,15,IF(ABS(U405)&lt;=2000,22,30))))+IF(COUNTIFS($B$382:B404,B405,$O$382:O404,"&lt;0")&gt;0,15,0)+IF(OR(Q405&lt;0,R405&lt;0),5,0),0)</f>
        <v>25</v>
      </c>
      <c r="AD405" s="35">
        <v>0</v>
      </c>
      <c r="AE405" s="41" t="s">
        <v>408</v>
      </c>
      <c r="AF405" s="38" t="str">
        <f>IF(Tabla_Auditorias[[#This Row],[TOTAL
COSTO
NETO]]&lt;&gt;0,"Si","No")</f>
        <v>Si</v>
      </c>
      <c r="AG405" s="39" t="s">
        <v>460</v>
      </c>
      <c r="AH405" s="40">
        <v>0</v>
      </c>
      <c r="AI405" s="51">
        <f t="shared" si="39"/>
        <v>0</v>
      </c>
      <c r="AJ405" s="38" t="str">
        <f t="shared" si="40"/>
        <v>Pendiente</v>
      </c>
    </row>
    <row r="406" spans="1:36" s="31" customFormat="1" ht="25.5" customHeight="1" x14ac:dyDescent="0.2">
      <c r="A406" s="32">
        <v>402</v>
      </c>
      <c r="B406" s="33" t="s">
        <v>461</v>
      </c>
      <c r="C406" s="32" t="s">
        <v>51</v>
      </c>
      <c r="D406" s="32" t="s">
        <v>64</v>
      </c>
      <c r="E406" s="32" t="s">
        <v>53</v>
      </c>
      <c r="F406" s="32">
        <v>1724</v>
      </c>
      <c r="G406" s="33" t="s">
        <v>54</v>
      </c>
      <c r="H406" s="32" t="s">
        <v>47</v>
      </c>
      <c r="I406" s="32" t="s">
        <v>462</v>
      </c>
      <c r="J406" s="34">
        <v>46066</v>
      </c>
      <c r="K406" s="34">
        <v>46067</v>
      </c>
      <c r="L406" s="32" t="s">
        <v>48</v>
      </c>
      <c r="M406" s="48">
        <v>272050.88</v>
      </c>
      <c r="N406" s="48">
        <v>0</v>
      </c>
      <c r="O406" s="48">
        <v>0</v>
      </c>
      <c r="P406" s="48">
        <v>0.08</v>
      </c>
      <c r="Q406" s="48">
        <v>0</v>
      </c>
      <c r="R406" s="48">
        <v>0</v>
      </c>
      <c r="S406" s="48">
        <v>0</v>
      </c>
      <c r="T406" s="48">
        <f>N406+O406+P406+Q406+R406+S406</f>
        <v>0.08</v>
      </c>
      <c r="U406" s="48">
        <f t="shared" si="37"/>
        <v>0.08</v>
      </c>
      <c r="V406" s="49">
        <f>+Tabla_Auditorias[[#This Row],[AJUSTE
EGRESO
COSTO]]+Tabla_Auditorias[[#This Row],[AJUSTE EGRESO
MAL ESTADO]]+Tabla_Auditorias[[#This Row],[AJUSTE
INGRESO
COSTO]]</f>
        <v>126.20000000000027</v>
      </c>
      <c r="W406" s="48">
        <v>-2311.1799999999998</v>
      </c>
      <c r="X406" s="48">
        <v>0</v>
      </c>
      <c r="Y406" s="48"/>
      <c r="Z406" s="48">
        <v>2437.38</v>
      </c>
      <c r="AA406" s="50">
        <f>+SUM(Tabla_Auditorias[[#This Row],[AJUSTE
EGRESO
COSTO]:[AJUSTE
INGRESO
COSTO]])</f>
        <v>126.20000000000027</v>
      </c>
      <c r="AB406" s="36" t="str">
        <f t="shared" si="38"/>
        <v>BAJO</v>
      </c>
      <c r="AC406" s="37">
        <f>IFERROR(IF(M406=0,0,IF(ABS(O406)/M406=0,0,IF(ABS(O406)/M406&lt;=0.01,10,IF(ABS(O406)/M406&lt;=0.03,25,IF(ABS(O406)/M406&lt;=0.05,40,50)))))+IF(ABS(U406)=0,0,IF(ABS(U406)&lt;=200,10,IF(ABS(U406)&lt;=500,15,IF(ABS(U406)&lt;=2000,22,30))))+IF(COUNTIFS($B$382:B405,B406,$O$382:O405,"&lt;0")&gt;0,15,0)+IF(OR(Q406&lt;0,R406&lt;0),5,0),0)</f>
        <v>10</v>
      </c>
      <c r="AD406" s="35">
        <v>0</v>
      </c>
      <c r="AE406" s="41" t="s">
        <v>408</v>
      </c>
      <c r="AF406" s="38" t="str">
        <f>IF(Tabla_Auditorias[[#This Row],[TOTAL
COSTO
NETO]]&lt;&gt;0,"Si","No")</f>
        <v>Si</v>
      </c>
      <c r="AG406" s="39" t="s">
        <v>463</v>
      </c>
      <c r="AH406" s="40">
        <v>0</v>
      </c>
      <c r="AI406" s="51" t="str">
        <f t="shared" si="39"/>
        <v/>
      </c>
      <c r="AJ406" s="38" t="str">
        <f t="shared" si="40"/>
        <v>No Aplica</v>
      </c>
    </row>
    <row r="407" spans="1:36" s="31" customFormat="1" ht="25.5" customHeight="1" x14ac:dyDescent="0.2">
      <c r="A407" s="32">
        <v>403</v>
      </c>
      <c r="B407" s="33" t="s">
        <v>74</v>
      </c>
      <c r="C407" s="32" t="s">
        <v>51</v>
      </c>
      <c r="D407" s="32" t="s">
        <v>57</v>
      </c>
      <c r="E407" s="32" t="s">
        <v>58</v>
      </c>
      <c r="F407" s="32">
        <v>1700</v>
      </c>
      <c r="G407" s="33" t="s">
        <v>59</v>
      </c>
      <c r="H407" s="32" t="s">
        <v>47</v>
      </c>
      <c r="I407" s="32" t="s">
        <v>464</v>
      </c>
      <c r="J407" s="34">
        <v>46072</v>
      </c>
      <c r="K407" s="34">
        <v>46072</v>
      </c>
      <c r="L407" s="32" t="s">
        <v>48</v>
      </c>
      <c r="M407" s="48">
        <v>130660.3308</v>
      </c>
      <c r="N407" s="48">
        <v>0</v>
      </c>
      <c r="O407" s="48">
        <v>0</v>
      </c>
      <c r="P407" s="48">
        <v>0</v>
      </c>
      <c r="Q407" s="48">
        <v>0</v>
      </c>
      <c r="R407" s="48">
        <v>-1049.43</v>
      </c>
      <c r="S407" s="48">
        <v>0</v>
      </c>
      <c r="T407" s="48">
        <v>-1049.43</v>
      </c>
      <c r="U407" s="48">
        <f t="shared" si="37"/>
        <v>0</v>
      </c>
      <c r="V407" s="49">
        <f>+Tabla_Auditorias[[#This Row],[AJUSTE
EGRESO
COSTO]]+Tabla_Auditorias[[#This Row],[AJUSTE EGRESO
MAL ESTADO]]+Tabla_Auditorias[[#This Row],[AJUSTE
INGRESO
COSTO]]</f>
        <v>0</v>
      </c>
      <c r="W407" s="48">
        <v>0</v>
      </c>
      <c r="X407" s="48">
        <v>0</v>
      </c>
      <c r="Y407" s="48">
        <v>-1052.42</v>
      </c>
      <c r="Z407" s="48">
        <v>0</v>
      </c>
      <c r="AA407" s="50">
        <f>+SUM(Tabla_Auditorias[[#This Row],[AJUSTE
EGRESO
COSTO]:[AJUSTE
INGRESO
COSTO]])</f>
        <v>-1052.42</v>
      </c>
      <c r="AB407" s="36" t="str">
        <f t="shared" si="38"/>
        <v>BAJO</v>
      </c>
      <c r="AC407" s="37">
        <f>IFERROR(IF(M407=0,0,IF(ABS(O407)/M407=0,0,IF(ABS(O407)/M407&lt;=0.01,10,IF(ABS(O407)/M407&lt;=0.03,25,IF(ABS(O407)/M407&lt;=0.05,40,50)))))+IF(ABS(U407)=0,0,IF(ABS(U407)&lt;=200,10,IF(ABS(U407)&lt;=500,15,IF(ABS(U407)&lt;=2000,22,30))))+IF(COUNTIFS($B$382:B406,B407,$O$382:O406,"&lt;0")&gt;0,15,0)+IF(OR(Q407&lt;0,R407&lt;0),5,0),0)</f>
        <v>5</v>
      </c>
      <c r="AD407" s="35">
        <v>0</v>
      </c>
      <c r="AE407" s="41" t="s">
        <v>408</v>
      </c>
      <c r="AF407" s="38" t="str">
        <f>IF(Tabla_Auditorias[[#This Row],[TOTAL
COSTO
NETO]]&lt;&gt;0,"Si","No")</f>
        <v>Si</v>
      </c>
      <c r="AG407" s="39" t="s">
        <v>465</v>
      </c>
      <c r="AH407" s="40">
        <v>0</v>
      </c>
      <c r="AI407" s="51" t="str">
        <f t="shared" si="39"/>
        <v/>
      </c>
      <c r="AJ407" s="38" t="str">
        <f t="shared" si="40"/>
        <v>Pendiente</v>
      </c>
    </row>
    <row r="408" spans="1:36" s="31" customFormat="1" ht="31.5" customHeight="1" x14ac:dyDescent="0.2">
      <c r="A408" s="32">
        <v>404</v>
      </c>
      <c r="B408" s="33" t="s">
        <v>65</v>
      </c>
      <c r="C408" s="32" t="s">
        <v>51</v>
      </c>
      <c r="D408" s="32" t="s">
        <v>57</v>
      </c>
      <c r="E408" s="32" t="s">
        <v>58</v>
      </c>
      <c r="F408" s="32">
        <v>1707</v>
      </c>
      <c r="G408" s="33" t="s">
        <v>59</v>
      </c>
      <c r="H408" s="32" t="s">
        <v>47</v>
      </c>
      <c r="I408" s="32" t="s">
        <v>466</v>
      </c>
      <c r="J408" s="34">
        <v>46076</v>
      </c>
      <c r="K408" s="34">
        <v>46076</v>
      </c>
      <c r="L408" s="32" t="s">
        <v>48</v>
      </c>
      <c r="M408" s="48">
        <v>107715.4081</v>
      </c>
      <c r="N408" s="48">
        <v>0</v>
      </c>
      <c r="O408" s="48">
        <v>0</v>
      </c>
      <c r="P408" s="48">
        <v>-96.160000000000196</v>
      </c>
      <c r="Q408" s="48">
        <v>-13.69</v>
      </c>
      <c r="R408" s="48">
        <v>-640.74</v>
      </c>
      <c r="S408" s="48">
        <v>0</v>
      </c>
      <c r="T408" s="48">
        <v>-750.59</v>
      </c>
      <c r="U408" s="48">
        <f t="shared" si="37"/>
        <v>-109.85000000000019</v>
      </c>
      <c r="V408" s="49">
        <f>+Tabla_Auditorias[[#This Row],[AJUSTE
EGRESO
COSTO]]+Tabla_Auditorias[[#This Row],[AJUSTE EGRESO
MAL ESTADO]]+Tabla_Auditorias[[#This Row],[AJUSTE
INGRESO
COSTO]]</f>
        <v>-517.94833047619011</v>
      </c>
      <c r="W408" s="48">
        <v>-559.01097333333303</v>
      </c>
      <c r="X408" s="48">
        <v>-457.1044</v>
      </c>
      <c r="Y408" s="48"/>
      <c r="Z408" s="48">
        <v>498.16704285714297</v>
      </c>
      <c r="AA408" s="50">
        <f>+SUM(Tabla_Auditorias[[#This Row],[AJUSTE
EGRESO
COSTO]:[AJUSTE
INGRESO
COSTO]])</f>
        <v>-517.94833047619011</v>
      </c>
      <c r="AB408" s="36" t="str">
        <f t="shared" si="38"/>
        <v>MEDIO</v>
      </c>
      <c r="AC408" s="37">
        <f>IFERROR(IF(M408=0,0,IF(ABS(O408)/M408=0,0,IF(ABS(O408)/M408&lt;=0.01,10,IF(ABS(O408)/M408&lt;=0.03,25,IF(ABS(O408)/M408&lt;=0.05,40,50)))))+IF(ABS(U408)=0,0,IF(ABS(U408)&lt;=200,10,IF(ABS(U408)&lt;=500,15,IF(ABS(U408)&lt;=2000,22,30))))+IF(COUNTIFS($B$382:B407,B408,$O$382:O407,"&lt;0")&gt;0,15,0)+IF(OR(Q408&lt;0,R408&lt;0),5,0),0)</f>
        <v>15</v>
      </c>
      <c r="AD408" s="35">
        <v>0</v>
      </c>
      <c r="AE408" s="41" t="s">
        <v>408</v>
      </c>
      <c r="AF408" s="38" t="str">
        <f>IF(Tabla_Auditorias[[#This Row],[TOTAL
COSTO
NETO]]&lt;&gt;0,"Si","No")</f>
        <v>Si</v>
      </c>
      <c r="AG408" s="39" t="s">
        <v>467</v>
      </c>
      <c r="AH408" s="40">
        <v>0</v>
      </c>
      <c r="AI408" s="51">
        <f t="shared" si="39"/>
        <v>0</v>
      </c>
      <c r="AJ408" s="38" t="str">
        <f t="shared" si="40"/>
        <v>Pendiente</v>
      </c>
    </row>
    <row r="409" spans="1:36" s="31" customFormat="1" ht="31.5" customHeight="1" x14ac:dyDescent="0.2">
      <c r="A409" s="32">
        <v>405</v>
      </c>
      <c r="B409" s="33" t="s">
        <v>77</v>
      </c>
      <c r="C409" s="32" t="s">
        <v>43</v>
      </c>
      <c r="D409" s="32" t="s">
        <v>44</v>
      </c>
      <c r="E409" s="32" t="s">
        <v>58</v>
      </c>
      <c r="F409" s="32">
        <v>1508</v>
      </c>
      <c r="G409" s="33" t="s">
        <v>59</v>
      </c>
      <c r="H409" s="32" t="s">
        <v>47</v>
      </c>
      <c r="I409" s="32" t="s">
        <v>468</v>
      </c>
      <c r="J409" s="34">
        <v>46078</v>
      </c>
      <c r="K409" s="34">
        <v>46078</v>
      </c>
      <c r="L409" s="32" t="s">
        <v>48</v>
      </c>
      <c r="M409" s="48">
        <v>275878.39260000002</v>
      </c>
      <c r="N409" s="48">
        <v>467.42</v>
      </c>
      <c r="O409" s="48">
        <v>-367.22</v>
      </c>
      <c r="P409" s="48">
        <v>4.7899999999999601</v>
      </c>
      <c r="Q409" s="48">
        <v>-102.5</v>
      </c>
      <c r="R409" s="48">
        <v>0</v>
      </c>
      <c r="S409" s="48">
        <v>-598.48</v>
      </c>
      <c r="T409" s="48">
        <v>-595.99</v>
      </c>
      <c r="U409" s="48">
        <f t="shared" si="37"/>
        <v>-595.99</v>
      </c>
      <c r="V409" s="49">
        <f>+Tabla_Auditorias[[#This Row],[AJUSTE
EGRESO
COSTO]]+Tabla_Auditorias[[#This Row],[AJUSTE EGRESO
MAL ESTADO]]+Tabla_Auditorias[[#This Row],[AJUSTE
INGRESO
COSTO]]</f>
        <v>-276.33021388888892</v>
      </c>
      <c r="W409" s="48">
        <v>-646.977125</v>
      </c>
      <c r="X409" s="48">
        <v>-394.59930000000003</v>
      </c>
      <c r="Y409" s="48"/>
      <c r="Z409" s="48">
        <v>765.24621111111105</v>
      </c>
      <c r="AA409" s="50">
        <f>+SUM(Tabla_Auditorias[[#This Row],[AJUSTE
EGRESO
COSTO]:[AJUSTE
INGRESO
COSTO]])</f>
        <v>-276.33021388888892</v>
      </c>
      <c r="AB409" s="36" t="str">
        <f t="shared" si="38"/>
        <v>ALTO</v>
      </c>
      <c r="AC409" s="37">
        <f>IFERROR(IF(M409=0,0,IF(ABS(O409)/M409=0,0,IF(ABS(O409)/M409&lt;=0.01,10,IF(ABS(O409)/M409&lt;=0.03,25,IF(ABS(O409)/M409&lt;=0.05,40,50)))))+IF(ABS(U409)=0,0,IF(ABS(U409)&lt;=200,10,IF(ABS(U409)&lt;=500,15,IF(ABS(U409)&lt;=2000,22,30))))+IF(COUNTIFS($B$382:B408,B409,$O$382:O408,"&lt;0")&gt;0,15,0)+IF(OR(Q409&lt;0,R409&lt;0),5,0),0)</f>
        <v>37</v>
      </c>
      <c r="AD409" s="35">
        <v>0</v>
      </c>
      <c r="AE409" s="41" t="s">
        <v>408</v>
      </c>
      <c r="AF409" s="38" t="str">
        <f>IF(Tabla_Auditorias[[#This Row],[TOTAL
COSTO
NETO]]&lt;&gt;0,"Si","No")</f>
        <v>Si</v>
      </c>
      <c r="AG409" s="39" t="s">
        <v>469</v>
      </c>
      <c r="AH409" s="40">
        <v>0</v>
      </c>
      <c r="AI409" s="51">
        <f t="shared" si="39"/>
        <v>0</v>
      </c>
      <c r="AJ409" s="38" t="str">
        <f t="shared" si="40"/>
        <v>Pendiente</v>
      </c>
    </row>
    <row r="410" spans="1:36" s="31" customFormat="1" ht="31.5" customHeight="1" x14ac:dyDescent="0.2">
      <c r="A410" s="32">
        <v>406</v>
      </c>
      <c r="B410" s="33" t="s">
        <v>222</v>
      </c>
      <c r="C410" s="32" t="s">
        <v>43</v>
      </c>
      <c r="D410" s="32" t="s">
        <v>44</v>
      </c>
      <c r="E410" s="32" t="s">
        <v>58</v>
      </c>
      <c r="F410" s="32">
        <v>1501</v>
      </c>
      <c r="G410" s="33" t="s">
        <v>59</v>
      </c>
      <c r="H410" s="32" t="s">
        <v>47</v>
      </c>
      <c r="I410" s="32" t="s">
        <v>470</v>
      </c>
      <c r="J410" s="34">
        <v>46079</v>
      </c>
      <c r="K410" s="34">
        <v>46104</v>
      </c>
      <c r="L410" s="32" t="s">
        <v>48</v>
      </c>
      <c r="M410" s="48">
        <v>198433.71</v>
      </c>
      <c r="N410" s="48">
        <v>255.72</v>
      </c>
      <c r="O410" s="48">
        <v>-369.19</v>
      </c>
      <c r="P410" s="48">
        <v>38.979999999999997</v>
      </c>
      <c r="Q410" s="48">
        <v>-212.4</v>
      </c>
      <c r="R410" s="48">
        <v>0</v>
      </c>
      <c r="S410" s="48">
        <v>0</v>
      </c>
      <c r="T410" s="48">
        <f>N410+O410+P410+Q410+R410+S410</f>
        <v>-286.89</v>
      </c>
      <c r="U410" s="48">
        <f t="shared" si="37"/>
        <v>-286.89</v>
      </c>
      <c r="V410" s="49">
        <f>+Tabla_Auditorias[[#This Row],[AJUSTE
EGRESO
COSTO]]+Tabla_Auditorias[[#This Row],[AJUSTE EGRESO
MAL ESTADO]]+Tabla_Auditorias[[#This Row],[AJUSTE
INGRESO
COSTO]]</f>
        <v>-173.35937605263211</v>
      </c>
      <c r="W410" s="48">
        <v>-999.21134868421098</v>
      </c>
      <c r="X410" s="48">
        <v>-131.428027368421</v>
      </c>
      <c r="Y410" s="48"/>
      <c r="Z410" s="48">
        <v>957.28</v>
      </c>
      <c r="AA410" s="50">
        <f>+SUM(Tabla_Auditorias[[#This Row],[AJUSTE
EGRESO
COSTO]:[AJUSTE
INGRESO
COSTO]])</f>
        <v>-173.35937605263211</v>
      </c>
      <c r="AB410" s="36" t="str">
        <f t="shared" si="38"/>
        <v>MEDIO</v>
      </c>
      <c r="AC410" s="37">
        <f>IFERROR(IF(M410=0,0,IF(ABS(O410)/M410=0,0,IF(ABS(O410)/M410&lt;=0.01,10,IF(ABS(O410)/M410&lt;=0.03,25,IF(ABS(O410)/M410&lt;=0.05,40,50)))))+IF(ABS(U410)=0,0,IF(ABS(U410)&lt;=200,10,IF(ABS(U410)&lt;=500,15,IF(ABS(U410)&lt;=2000,22,30))))+IF(COUNTIFS($B$382:B409,B410,$O$382:O409,"&lt;0")&gt;0,15,0)+IF(OR(Q410&lt;0,R410&lt;0),5,0),0)</f>
        <v>30</v>
      </c>
      <c r="AD410" s="35">
        <v>0</v>
      </c>
      <c r="AE410" s="41" t="s">
        <v>408</v>
      </c>
      <c r="AF410" s="38" t="str">
        <f>IF(Tabla_Auditorias[[#This Row],[TOTAL
COSTO
NETO]]&lt;&gt;0,"Si","No")</f>
        <v>Si</v>
      </c>
      <c r="AG410" s="39" t="s">
        <v>471</v>
      </c>
      <c r="AH410" s="40">
        <v>0</v>
      </c>
      <c r="AI410" s="51">
        <f t="shared" si="39"/>
        <v>0</v>
      </c>
      <c r="AJ410" s="38" t="str">
        <f t="shared" si="40"/>
        <v>Pendiente</v>
      </c>
    </row>
    <row r="411" spans="1:36" s="31" customFormat="1" ht="25.5" customHeight="1" x14ac:dyDescent="0.2">
      <c r="A411" s="32">
        <v>407</v>
      </c>
      <c r="B411" s="33" t="s">
        <v>472</v>
      </c>
      <c r="C411" s="32" t="s">
        <v>51</v>
      </c>
      <c r="D411" s="32" t="s">
        <v>52</v>
      </c>
      <c r="E411" s="32" t="s">
        <v>45</v>
      </c>
      <c r="F411" s="32">
        <v>1733</v>
      </c>
      <c r="G411" s="33" t="s">
        <v>314</v>
      </c>
      <c r="H411" s="32" t="s">
        <v>47</v>
      </c>
      <c r="I411" s="32" t="s">
        <v>473</v>
      </c>
      <c r="J411" s="34">
        <v>46080</v>
      </c>
      <c r="K411" s="34">
        <v>46081</v>
      </c>
      <c r="L411" s="32" t="s">
        <v>48</v>
      </c>
      <c r="M411" s="48">
        <v>40866.699999999997</v>
      </c>
      <c r="N411" s="48">
        <v>0</v>
      </c>
      <c r="O411" s="48">
        <v>0</v>
      </c>
      <c r="P411" s="48">
        <v>1.36</v>
      </c>
      <c r="Q411" s="48">
        <v>0</v>
      </c>
      <c r="R411" s="48">
        <v>0</v>
      </c>
      <c r="S411" s="48">
        <v>0</v>
      </c>
      <c r="T411" s="48">
        <f>N411+O411+P411+Q411+R411+S411</f>
        <v>1.36</v>
      </c>
      <c r="U411" s="48">
        <f t="shared" si="37"/>
        <v>1.36</v>
      </c>
      <c r="V411" s="49">
        <f>+Tabla_Auditorias[[#This Row],[AJUSTE
EGRESO
COSTO]]+Tabla_Auditorias[[#This Row],[AJUSTE EGRESO
MAL ESTADO]]+Tabla_Auditorias[[#This Row],[AJUSTE
INGRESO
COSTO]]</f>
        <v>-0.10000000000000009</v>
      </c>
      <c r="W411" s="48">
        <v>-2.5</v>
      </c>
      <c r="X411" s="48">
        <v>0</v>
      </c>
      <c r="Y411" s="48"/>
      <c r="Z411" s="48">
        <v>2.4</v>
      </c>
      <c r="AA411" s="50">
        <f>+SUM(Tabla_Auditorias[[#This Row],[AJUSTE
EGRESO
COSTO]:[AJUSTE
INGRESO
COSTO]])</f>
        <v>-0.10000000000000009</v>
      </c>
      <c r="AB411" s="36" t="str">
        <f t="shared" si="38"/>
        <v>BAJO</v>
      </c>
      <c r="AC411" s="37">
        <f>IFERROR(IF(M411=0,0,IF(ABS(O411)/M411=0,0,IF(ABS(O411)/M411&lt;=0.01,10,IF(ABS(O411)/M411&lt;=0.03,25,IF(ABS(O411)/M411&lt;=0.05,40,50)))))+IF(ABS(U411)=0,0,IF(ABS(U411)&lt;=200,10,IF(ABS(U411)&lt;=500,15,IF(ABS(U411)&lt;=2000,22,30))))+IF(COUNTIFS($B$382:B410,B411,$O$382:O410,"&lt;0")&gt;0,15,0)+IF(OR(Q411&lt;0,R411&lt;0),5,0),0)</f>
        <v>10</v>
      </c>
      <c r="AD411" s="35">
        <v>0</v>
      </c>
      <c r="AE411" s="41" t="s">
        <v>408</v>
      </c>
      <c r="AF411" s="38" t="str">
        <f>IF(Tabla_Auditorias[[#This Row],[TOTAL
COSTO
NETO]]&lt;&gt;0,"Si","No")</f>
        <v>Si</v>
      </c>
      <c r="AG411" s="39" t="s">
        <v>474</v>
      </c>
      <c r="AH411" s="40">
        <v>0</v>
      </c>
      <c r="AI411" s="51">
        <f t="shared" si="39"/>
        <v>0</v>
      </c>
      <c r="AJ411" s="38" t="str">
        <f t="shared" si="40"/>
        <v>Pendiente</v>
      </c>
    </row>
    <row r="412" spans="1:36" s="31" customFormat="1" ht="25.5" customHeight="1" x14ac:dyDescent="0.2">
      <c r="A412" s="32">
        <v>408</v>
      </c>
      <c r="B412" s="33" t="s">
        <v>472</v>
      </c>
      <c r="C412" s="32" t="s">
        <v>51</v>
      </c>
      <c r="D412" s="32" t="s">
        <v>52</v>
      </c>
      <c r="E412" s="32" t="s">
        <v>45</v>
      </c>
      <c r="F412" s="32">
        <v>1733</v>
      </c>
      <c r="G412" s="33" t="s">
        <v>314</v>
      </c>
      <c r="H412" s="32" t="s">
        <v>47</v>
      </c>
      <c r="I412" s="32" t="s">
        <v>475</v>
      </c>
      <c r="J412" s="34">
        <v>46080</v>
      </c>
      <c r="K412" s="34">
        <v>46080</v>
      </c>
      <c r="L412" s="32" t="s">
        <v>48</v>
      </c>
      <c r="M412" s="48">
        <v>36905.0599</v>
      </c>
      <c r="N412" s="48">
        <v>0</v>
      </c>
      <c r="O412" s="48">
        <v>0</v>
      </c>
      <c r="P412" s="48">
        <v>0</v>
      </c>
      <c r="Q412" s="48">
        <v>0</v>
      </c>
      <c r="R412" s="48">
        <v>0</v>
      </c>
      <c r="S412" s="48">
        <v>0</v>
      </c>
      <c r="T412" s="48">
        <f>N412+O412+P412+Q412+R412+S412</f>
        <v>0</v>
      </c>
      <c r="U412" s="48">
        <f t="shared" si="37"/>
        <v>0</v>
      </c>
      <c r="V412" s="49">
        <f>+Tabla_Auditorias[[#This Row],[AJUSTE
EGRESO
COSTO]]+Tabla_Auditorias[[#This Row],[AJUSTE EGRESO
MAL ESTADO]]+Tabla_Auditorias[[#This Row],[AJUSTE
INGRESO
COSTO]]</f>
        <v>0</v>
      </c>
      <c r="W412" s="48">
        <v>0</v>
      </c>
      <c r="X412" s="48">
        <v>0</v>
      </c>
      <c r="Y412" s="48">
        <v>0</v>
      </c>
      <c r="Z412" s="48">
        <v>0</v>
      </c>
      <c r="AA412" s="50">
        <f>W412+X412+Y412+Z412</f>
        <v>0</v>
      </c>
      <c r="AB412" s="36" t="str">
        <f t="shared" si="38"/>
        <v>BAJO</v>
      </c>
      <c r="AC412" s="37">
        <f>IFERROR(IF(M412=0,0,IF(ABS(O412)/M412=0,0,IF(ABS(O412)/M412&lt;=0.01,10,IF(ABS(O412)/M412&lt;=0.03,25,IF(ABS(O412)/M412&lt;=0.05,40,50)))))+IF(ABS(U412)=0,0,IF(ABS(U412)&lt;=200,10,IF(ABS(U412)&lt;=500,15,IF(ABS(U412)&lt;=2000,22,30))))+IF(COUNTIFS($B$5:B411,B412,$O$5:O411,"&lt;0")&gt;0,15,0)+IF(OR(Q412&lt;0,R412&lt;0),5,0),0)</f>
        <v>0</v>
      </c>
      <c r="AD412" s="35">
        <v>0</v>
      </c>
      <c r="AE412" s="41" t="s">
        <v>408</v>
      </c>
      <c r="AF412" s="38" t="str">
        <f>IF(AA412&lt;&gt;0,"Si","No")</f>
        <v>No</v>
      </c>
      <c r="AG412" s="39" t="s">
        <v>221</v>
      </c>
      <c r="AH412" s="40">
        <v>0</v>
      </c>
      <c r="AI412" s="51" t="str">
        <f t="shared" si="39"/>
        <v/>
      </c>
      <c r="AJ412" s="38" t="str">
        <f t="shared" si="40"/>
        <v>Pendiente</v>
      </c>
    </row>
    <row r="413" spans="1:36" s="31" customFormat="1" ht="25.5" customHeight="1" x14ac:dyDescent="0.2">
      <c r="A413" s="32">
        <v>409</v>
      </c>
      <c r="B413" s="33" t="s">
        <v>109</v>
      </c>
      <c r="C413" s="32" t="s">
        <v>43</v>
      </c>
      <c r="D413" s="32" t="s">
        <v>44</v>
      </c>
      <c r="E413" s="32" t="s">
        <v>58</v>
      </c>
      <c r="F413" s="32">
        <v>1505</v>
      </c>
      <c r="G413" s="33" t="s">
        <v>59</v>
      </c>
      <c r="H413" s="32" t="s">
        <v>47</v>
      </c>
      <c r="I413" s="32" t="s">
        <v>476</v>
      </c>
      <c r="J413" s="34">
        <v>46083</v>
      </c>
      <c r="K413" s="34">
        <v>46084</v>
      </c>
      <c r="L413" s="32" t="s">
        <v>48</v>
      </c>
      <c r="M413" s="48">
        <v>163627.75</v>
      </c>
      <c r="N413" s="48">
        <v>0</v>
      </c>
      <c r="O413" s="48">
        <v>0</v>
      </c>
      <c r="P413" s="48">
        <v>0</v>
      </c>
      <c r="Q413" s="48">
        <v>0</v>
      </c>
      <c r="R413" s="48">
        <v>0</v>
      </c>
      <c r="S413" s="48">
        <v>0</v>
      </c>
      <c r="T413" s="48">
        <f>N413+O413+P413+Q413+R413+S413</f>
        <v>0</v>
      </c>
      <c r="U413" s="48">
        <f t="shared" si="37"/>
        <v>0</v>
      </c>
      <c r="V413" s="49">
        <f>+Tabla_Auditorias[[#This Row],[AJUSTE
EGRESO
COSTO]]+Tabla_Auditorias[[#This Row],[AJUSTE EGRESO
MAL ESTADO]]+Tabla_Auditorias[[#This Row],[AJUSTE
INGRESO
COSTO]]</f>
        <v>0</v>
      </c>
      <c r="W413" s="48">
        <v>0</v>
      </c>
      <c r="X413" s="48">
        <v>0</v>
      </c>
      <c r="Y413" s="48"/>
      <c r="Z413" s="48">
        <v>0</v>
      </c>
      <c r="AA413" s="50">
        <f>+SUM(Tabla_Auditorias[[#This Row],[AJUSTE
EGRESO
COSTO]:[AJUSTE
INGRESO
COSTO]])</f>
        <v>0</v>
      </c>
      <c r="AB413" s="36" t="str">
        <f t="shared" si="38"/>
        <v>BAJO</v>
      </c>
      <c r="AC413" s="37">
        <f>IFERROR(IF(M413=0,0,IF(ABS(O413)/M413=0,0,IF(ABS(O413)/M413&lt;=0.01,10,IF(ABS(O413)/M413&lt;=0.03,25,IF(ABS(O413)/M413&lt;=0.05,40,50)))))+IF(ABS(U413)=0,0,IF(ABS(U413)&lt;=200,10,IF(ABS(U413)&lt;=500,15,IF(ABS(U413)&lt;=2000,22,30))))+IF(COUNTIFS($B$382:B412,B413,$O$382:O412,"&lt;0")&gt;0,15,0)+IF(OR(Q413&lt;0,R413&lt;0),5,0),0)</f>
        <v>0</v>
      </c>
      <c r="AD413" s="35">
        <v>0</v>
      </c>
      <c r="AE413" s="41" t="s">
        <v>408</v>
      </c>
      <c r="AF413" s="38" t="str">
        <f>IF(Tabla_Auditorias[[#This Row],[TOTAL
COSTO
NETO]]&lt;&gt;0,"Si","No")</f>
        <v>No</v>
      </c>
      <c r="AG413" s="39" t="s">
        <v>477</v>
      </c>
      <c r="AH413" s="40">
        <v>0</v>
      </c>
      <c r="AI413" s="51" t="str">
        <f t="shared" si="39"/>
        <v/>
      </c>
      <c r="AJ413" s="38" t="str">
        <f t="shared" si="40"/>
        <v>Pendiente</v>
      </c>
    </row>
    <row r="414" spans="1:36" s="31" customFormat="1" ht="25.5" customHeight="1" x14ac:dyDescent="0.2">
      <c r="A414" s="32">
        <v>410</v>
      </c>
      <c r="B414" s="33" t="s">
        <v>113</v>
      </c>
      <c r="C414" s="32" t="s">
        <v>51</v>
      </c>
      <c r="D414" s="32" t="s">
        <v>57</v>
      </c>
      <c r="E414" s="32" t="s">
        <v>58</v>
      </c>
      <c r="F414" s="32">
        <v>1728</v>
      </c>
      <c r="G414" s="33" t="s">
        <v>59</v>
      </c>
      <c r="H414" s="32" t="s">
        <v>47</v>
      </c>
      <c r="I414" s="32" t="s">
        <v>478</v>
      </c>
      <c r="J414" s="34">
        <v>46085</v>
      </c>
      <c r="K414" s="34">
        <v>46085</v>
      </c>
      <c r="L414" s="32" t="s">
        <v>48</v>
      </c>
      <c r="M414" s="48">
        <v>83029.412100000001</v>
      </c>
      <c r="N414" s="48">
        <v>0</v>
      </c>
      <c r="O414" s="48">
        <v>0</v>
      </c>
      <c r="P414" s="48">
        <v>0</v>
      </c>
      <c r="Q414" s="48">
        <v>0</v>
      </c>
      <c r="R414" s="48">
        <v>-722.77</v>
      </c>
      <c r="S414" s="48">
        <v>0</v>
      </c>
      <c r="T414" s="48">
        <v>-722.77</v>
      </c>
      <c r="U414" s="48">
        <f t="shared" si="37"/>
        <v>0</v>
      </c>
      <c r="V414" s="49">
        <f>+Tabla_Auditorias[[#This Row],[AJUSTE
EGRESO
COSTO]]+Tabla_Auditorias[[#This Row],[AJUSTE EGRESO
MAL ESTADO]]+Tabla_Auditorias[[#This Row],[AJUSTE
INGRESO
COSTO]]</f>
        <v>0</v>
      </c>
      <c r="W414" s="48">
        <v>0</v>
      </c>
      <c r="X414" s="48">
        <v>0</v>
      </c>
      <c r="Y414" s="48">
        <v>-790.69</v>
      </c>
      <c r="Z414" s="48">
        <v>0</v>
      </c>
      <c r="AA414" s="50">
        <f>+SUM(Tabla_Auditorias[[#This Row],[AJUSTE
EGRESO
COSTO]:[AJUSTE
INGRESO
COSTO]])</f>
        <v>-790.69</v>
      </c>
      <c r="AB414" s="36" t="str">
        <f t="shared" si="38"/>
        <v>BAJO</v>
      </c>
      <c r="AC414" s="37">
        <f>IFERROR(IF(M414=0,0,IF(ABS(O414)/M414=0,0,IF(ABS(O414)/M414&lt;=0.01,10,IF(ABS(O414)/M414&lt;=0.03,25,IF(ABS(O414)/M414&lt;=0.05,40,50)))))+IF(ABS(U414)=0,0,IF(ABS(U414)&lt;=200,10,IF(ABS(U414)&lt;=500,15,IF(ABS(U414)&lt;=2000,22,30))))+IF(COUNTIFS($B$382:B413,B414,$O$382:O413,"&lt;0")&gt;0,15,0)+IF(OR(Q414&lt;0,R414&lt;0),5,0),0)</f>
        <v>5</v>
      </c>
      <c r="AD414" s="35">
        <v>0</v>
      </c>
      <c r="AE414" s="41" t="s">
        <v>408</v>
      </c>
      <c r="AF414" s="38" t="str">
        <f>IF(Tabla_Auditorias[[#This Row],[TOTAL
COSTO
NETO]]&lt;&gt;0,"Si","No")</f>
        <v>Si</v>
      </c>
      <c r="AG414" s="39" t="s">
        <v>479</v>
      </c>
      <c r="AH414" s="40">
        <v>0</v>
      </c>
      <c r="AI414" s="51" t="str">
        <f t="shared" si="39"/>
        <v/>
      </c>
      <c r="AJ414" s="38" t="str">
        <f t="shared" si="40"/>
        <v>Pendiente</v>
      </c>
    </row>
    <row r="415" spans="1:36" s="31" customFormat="1" ht="25.5" customHeight="1" x14ac:dyDescent="0.2">
      <c r="A415" s="32">
        <v>411</v>
      </c>
      <c r="B415" s="33" t="s">
        <v>71</v>
      </c>
      <c r="C415" s="32" t="s">
        <v>43</v>
      </c>
      <c r="D415" s="32" t="s">
        <v>44</v>
      </c>
      <c r="E415" s="32" t="s">
        <v>45</v>
      </c>
      <c r="F415" s="32">
        <v>1512</v>
      </c>
      <c r="G415" s="33" t="s">
        <v>314</v>
      </c>
      <c r="H415" s="32" t="s">
        <v>47</v>
      </c>
      <c r="I415" s="32" t="s">
        <v>480</v>
      </c>
      <c r="J415" s="34">
        <v>46086</v>
      </c>
      <c r="K415" s="34">
        <v>46104</v>
      </c>
      <c r="L415" s="32" t="s">
        <v>48</v>
      </c>
      <c r="M415" s="48">
        <v>183218.48</v>
      </c>
      <c r="N415" s="48">
        <v>2155.88</v>
      </c>
      <c r="O415" s="48">
        <v>-2005.16</v>
      </c>
      <c r="P415" s="48">
        <v>55.19</v>
      </c>
      <c r="Q415" s="48">
        <v>-259.5</v>
      </c>
      <c r="R415" s="48">
        <v>0</v>
      </c>
      <c r="S415" s="48">
        <v>0</v>
      </c>
      <c r="T415" s="48">
        <f>N415+O415+P415+Q415+R415+S415</f>
        <v>-53.589999999999975</v>
      </c>
      <c r="U415" s="48">
        <f t="shared" si="37"/>
        <v>-53.589999999999975</v>
      </c>
      <c r="V415" s="49">
        <f>+Tabla_Auditorias[[#This Row],[AJUSTE
EGRESO
COSTO]]+Tabla_Auditorias[[#This Row],[AJUSTE EGRESO
MAL ESTADO]]+Tabla_Auditorias[[#This Row],[AJUSTE
INGRESO
COSTO]]</f>
        <v>-4.2799999999999727</v>
      </c>
      <c r="W415" s="48">
        <v>-1733.27</v>
      </c>
      <c r="X415" s="48">
        <v>-180.85</v>
      </c>
      <c r="Y415" s="48"/>
      <c r="Z415" s="48">
        <v>1909.84</v>
      </c>
      <c r="AA415" s="50">
        <f>+SUM(Tabla_Auditorias[[#This Row],[AJUSTE
EGRESO
COSTO]:[AJUSTE
INGRESO
COSTO]])</f>
        <v>-4.2799999999999727</v>
      </c>
      <c r="AB415" s="36" t="str">
        <f t="shared" si="38"/>
        <v>ALTO</v>
      </c>
      <c r="AC415" s="37">
        <f>IFERROR(IF(M415=0,0,IF(ABS(O415)/M415=0,0,IF(ABS(O415)/M415&lt;=0.01,10,IF(ABS(O415)/M415&lt;=0.03,25,IF(ABS(O415)/M415&lt;=0.05,40,50)))))+IF(ABS(U415)=0,0,IF(ABS(U415)&lt;=200,10,IF(ABS(U415)&lt;=500,15,IF(ABS(U415)&lt;=2000,22,30))))+IF(COUNTIFS($B$382:B414,B415,$O$382:O414,"&lt;0")&gt;0,15,0)+IF(OR(Q415&lt;0,R415&lt;0),5,0),0)</f>
        <v>40</v>
      </c>
      <c r="AD415" s="35">
        <v>2783.6</v>
      </c>
      <c r="AE415" s="41" t="s">
        <v>408</v>
      </c>
      <c r="AF415" s="38" t="str">
        <f>IF(Tabla_Auditorias[[#This Row],[TOTAL
COSTO
NETO]]&lt;&gt;0,"Si","No")</f>
        <v>Si</v>
      </c>
      <c r="AG415" s="39" t="s">
        <v>481</v>
      </c>
      <c r="AH415" s="40">
        <v>0</v>
      </c>
      <c r="AI415" s="51">
        <f t="shared" si="39"/>
        <v>0</v>
      </c>
      <c r="AJ415" s="38" t="str">
        <f t="shared" si="40"/>
        <v>Pendiente</v>
      </c>
    </row>
    <row r="416" spans="1:36" s="31" customFormat="1" ht="25.5" customHeight="1" x14ac:dyDescent="0.2">
      <c r="A416" s="32">
        <v>412</v>
      </c>
      <c r="B416" s="33" t="s">
        <v>111</v>
      </c>
      <c r="C416" s="32" t="s">
        <v>51</v>
      </c>
      <c r="D416" s="32" t="s">
        <v>57</v>
      </c>
      <c r="E416" s="32" t="s">
        <v>58</v>
      </c>
      <c r="F416" s="32">
        <v>1702</v>
      </c>
      <c r="G416" s="33" t="s">
        <v>59</v>
      </c>
      <c r="H416" s="32" t="s">
        <v>47</v>
      </c>
      <c r="I416" s="32" t="s">
        <v>482</v>
      </c>
      <c r="J416" s="34">
        <v>46086</v>
      </c>
      <c r="K416" s="34">
        <v>46086</v>
      </c>
      <c r="L416" s="32" t="s">
        <v>48</v>
      </c>
      <c r="M416" s="48">
        <v>125350.78</v>
      </c>
      <c r="N416" s="48">
        <v>0</v>
      </c>
      <c r="O416" s="48">
        <v>0</v>
      </c>
      <c r="P416" s="48">
        <v>0</v>
      </c>
      <c r="Q416" s="48">
        <v>0</v>
      </c>
      <c r="R416" s="48">
        <v>0</v>
      </c>
      <c r="S416" s="48">
        <v>0</v>
      </c>
      <c r="T416" s="48">
        <v>0</v>
      </c>
      <c r="U416" s="48">
        <f t="shared" si="37"/>
        <v>0</v>
      </c>
      <c r="V416" s="49">
        <f>+Tabla_Auditorias[[#This Row],[AJUSTE
EGRESO
COSTO]]+Tabla_Auditorias[[#This Row],[AJUSTE EGRESO
MAL ESTADO]]+Tabla_Auditorias[[#This Row],[AJUSTE
INGRESO
COSTO]]</f>
        <v>0</v>
      </c>
      <c r="W416" s="48">
        <v>0</v>
      </c>
      <c r="X416" s="48">
        <v>0</v>
      </c>
      <c r="Y416" s="48"/>
      <c r="Z416" s="48">
        <v>0</v>
      </c>
      <c r="AA416" s="50">
        <f>+SUM(Tabla_Auditorias[[#This Row],[AJUSTE
EGRESO
COSTO]:[AJUSTE
INGRESO
COSTO]])</f>
        <v>0</v>
      </c>
      <c r="AB416" s="36" t="str">
        <f t="shared" si="38"/>
        <v>BAJO</v>
      </c>
      <c r="AC416" s="37">
        <f>IFERROR(IF(M416=0,0,IF(ABS(O416)/M416=0,0,IF(ABS(O416)/M416&lt;=0.01,10,IF(ABS(O416)/M416&lt;=0.03,25,IF(ABS(O416)/M416&lt;=0.05,40,50)))))+IF(ABS(U416)=0,0,IF(ABS(U416)&lt;=200,10,IF(ABS(U416)&lt;=500,15,IF(ABS(U416)&lt;=2000,22,30))))+IF(COUNTIFS($B$382:B415,B416,$O$382:O415,"&lt;0")&gt;0,15,0)+IF(OR(Q416&lt;0,R416&lt;0),5,0),0)</f>
        <v>0</v>
      </c>
      <c r="AD416" s="35">
        <v>48.26</v>
      </c>
      <c r="AE416" s="41" t="s">
        <v>408</v>
      </c>
      <c r="AF416" s="38" t="str">
        <f>IF(Tabla_Auditorias[[#This Row],[TOTAL
COSTO
NETO]]&lt;&gt;0,"Si","No")</f>
        <v>No</v>
      </c>
      <c r="AG416" s="39" t="s">
        <v>483</v>
      </c>
      <c r="AH416" s="40">
        <v>0</v>
      </c>
      <c r="AI416" s="51" t="str">
        <f t="shared" si="39"/>
        <v/>
      </c>
      <c r="AJ416" s="38" t="str">
        <f t="shared" si="40"/>
        <v>Pendiente</v>
      </c>
    </row>
    <row r="417" spans="1:36" s="31" customFormat="1" ht="25.5" customHeight="1" x14ac:dyDescent="0.2">
      <c r="A417" s="32">
        <v>413</v>
      </c>
      <c r="B417" s="33" t="s">
        <v>115</v>
      </c>
      <c r="C417" s="32" t="s">
        <v>51</v>
      </c>
      <c r="D417" s="32" t="s">
        <v>57</v>
      </c>
      <c r="E417" s="32" t="s">
        <v>58</v>
      </c>
      <c r="F417" s="32">
        <v>1734</v>
      </c>
      <c r="G417" s="33" t="s">
        <v>59</v>
      </c>
      <c r="H417" s="32" t="s">
        <v>47</v>
      </c>
      <c r="I417" s="32" t="s">
        <v>484</v>
      </c>
      <c r="J417" s="34">
        <v>46087</v>
      </c>
      <c r="K417" s="34">
        <v>46087</v>
      </c>
      <c r="L417" s="32" t="s">
        <v>48</v>
      </c>
      <c r="M417" s="48">
        <v>62045.312599999997</v>
      </c>
      <c r="N417" s="48">
        <v>0</v>
      </c>
      <c r="O417" s="48">
        <v>0</v>
      </c>
      <c r="P417" s="48">
        <v>5.04</v>
      </c>
      <c r="Q417" s="48">
        <v>0</v>
      </c>
      <c r="R417" s="48">
        <v>0</v>
      </c>
      <c r="S417" s="48">
        <v>0</v>
      </c>
      <c r="T417" s="48">
        <v>5.04</v>
      </c>
      <c r="U417" s="48">
        <f t="shared" si="37"/>
        <v>5.04</v>
      </c>
      <c r="V417" s="49">
        <f>+Tabla_Auditorias[[#This Row],[AJUSTE
EGRESO
COSTO]]+Tabla_Auditorias[[#This Row],[AJUSTE EGRESO
MAL ESTADO]]+Tabla_Auditorias[[#This Row],[AJUSTE
INGRESO
COSTO]]</f>
        <v>-2.7780000000000005</v>
      </c>
      <c r="W417" s="48">
        <v>-17.178000000000001</v>
      </c>
      <c r="X417" s="48">
        <v>0</v>
      </c>
      <c r="Y417" s="48"/>
      <c r="Z417" s="48">
        <v>14.4</v>
      </c>
      <c r="AA417" s="50">
        <f>+SUM(Tabla_Auditorias[[#This Row],[AJUSTE
EGRESO
COSTO]:[AJUSTE
INGRESO
COSTO]])</f>
        <v>-2.7780000000000005</v>
      </c>
      <c r="AB417" s="36" t="str">
        <f t="shared" si="38"/>
        <v>BAJO</v>
      </c>
      <c r="AC417" s="37">
        <f>IFERROR(IF(M417=0,0,IF(ABS(O417)/M417=0,0,IF(ABS(O417)/M417&lt;=0.01,10,IF(ABS(O417)/M417&lt;=0.03,25,IF(ABS(O417)/M417&lt;=0.05,40,50)))))+IF(ABS(U417)=0,0,IF(ABS(U417)&lt;=200,10,IF(ABS(U417)&lt;=500,15,IF(ABS(U417)&lt;=2000,22,30))))+IF(COUNTIFS($B$382:B416,B417,$O$382:O416,"&lt;0")&gt;0,15,0)+IF(OR(Q417&lt;0,R417&lt;0),5,0),0)</f>
        <v>10</v>
      </c>
      <c r="AD417" s="35">
        <v>0</v>
      </c>
      <c r="AE417" s="41" t="s">
        <v>408</v>
      </c>
      <c r="AF417" s="38" t="str">
        <f>IF(Tabla_Auditorias[[#This Row],[TOTAL
COSTO
NETO]]&lt;&gt;0,"Si","No")</f>
        <v>Si</v>
      </c>
      <c r="AG417" s="39" t="s">
        <v>485</v>
      </c>
      <c r="AH417" s="40">
        <v>0</v>
      </c>
      <c r="AI417" s="51">
        <f t="shared" si="39"/>
        <v>0</v>
      </c>
      <c r="AJ417" s="38" t="str">
        <f t="shared" si="40"/>
        <v>Pendiente</v>
      </c>
    </row>
    <row r="418" spans="1:36" s="31" customFormat="1" ht="25.5" customHeight="1" x14ac:dyDescent="0.2">
      <c r="A418" s="32">
        <v>414</v>
      </c>
      <c r="B418" s="33" t="s">
        <v>365</v>
      </c>
      <c r="C418" s="32" t="s">
        <v>51</v>
      </c>
      <c r="D418" s="32" t="s">
        <v>362</v>
      </c>
      <c r="E418" s="32" t="s">
        <v>58</v>
      </c>
      <c r="F418" s="32">
        <v>1715</v>
      </c>
      <c r="G418" s="33" t="s">
        <v>59</v>
      </c>
      <c r="H418" s="32" t="s">
        <v>47</v>
      </c>
      <c r="I418" s="32" t="s">
        <v>486</v>
      </c>
      <c r="J418" s="34">
        <v>46092</v>
      </c>
      <c r="K418" s="34">
        <v>46094</v>
      </c>
      <c r="L418" s="32" t="s">
        <v>48</v>
      </c>
      <c r="M418" s="48">
        <v>58824.092299999997</v>
      </c>
      <c r="N418" s="48">
        <v>0</v>
      </c>
      <c r="O418" s="48">
        <v>0</v>
      </c>
      <c r="P418" s="48">
        <v>0</v>
      </c>
      <c r="Q418" s="48">
        <v>0</v>
      </c>
      <c r="R418" s="48">
        <v>0</v>
      </c>
      <c r="S418" s="48">
        <v>0</v>
      </c>
      <c r="T418" s="48">
        <v>0</v>
      </c>
      <c r="U418" s="48">
        <f t="shared" si="37"/>
        <v>0</v>
      </c>
      <c r="V418" s="49">
        <f>+Tabla_Auditorias[[#This Row],[AJUSTE
EGRESO
COSTO]]+Tabla_Auditorias[[#This Row],[AJUSTE EGRESO
MAL ESTADO]]+Tabla_Auditorias[[#This Row],[AJUSTE
INGRESO
COSTO]]</f>
        <v>-200.99824134038897</v>
      </c>
      <c r="W418" s="48">
        <v>-497.254606825287</v>
      </c>
      <c r="X418" s="48">
        <v>-12.574299999999999</v>
      </c>
      <c r="Y418" s="48"/>
      <c r="Z418" s="48">
        <v>308.83066548489802</v>
      </c>
      <c r="AA418" s="50">
        <f>+SUM(Tabla_Auditorias[[#This Row],[AJUSTE
EGRESO
COSTO]:[AJUSTE
INGRESO
COSTO]])</f>
        <v>-200.99824134038897</v>
      </c>
      <c r="AB418" s="36" t="str">
        <f t="shared" si="38"/>
        <v>MEDIO</v>
      </c>
      <c r="AC418" s="37">
        <f>IFERROR(IF(M418=0,0,IF(ABS(O418)/M418=0,0,IF(ABS(O418)/M418&lt;=0.01,10,IF(ABS(O418)/M418&lt;=0.03,25,IF(ABS(O418)/M418&lt;=0.05,40,50)))))+IF(ABS(U418)=0,0,IF(ABS(U418)&lt;=200,10,IF(ABS(U418)&lt;=500,15,IF(ABS(U418)&lt;=2000,22,30))))+IF(COUNTIFS($B$382:B417,B418,$O$382:O417,"&lt;0")&gt;0,15,0)+IF(OR(Q418&lt;0,R418&lt;0),5,0),0)</f>
        <v>15</v>
      </c>
      <c r="AD418" s="35">
        <v>0</v>
      </c>
      <c r="AE418" s="41" t="s">
        <v>408</v>
      </c>
      <c r="AF418" s="38" t="str">
        <f>IF(Tabla_Auditorias[[#This Row],[TOTAL
COSTO
NETO]]&lt;&gt;0,"Si","No")</f>
        <v>Si</v>
      </c>
      <c r="AG418" s="39" t="s">
        <v>221</v>
      </c>
      <c r="AH418" s="40">
        <v>0</v>
      </c>
      <c r="AI418" s="51">
        <f t="shared" si="39"/>
        <v>0</v>
      </c>
      <c r="AJ418" s="38" t="str">
        <f t="shared" si="40"/>
        <v>Pendiente</v>
      </c>
    </row>
    <row r="419" spans="1:36" s="31" customFormat="1" ht="42" customHeight="1" x14ac:dyDescent="0.2">
      <c r="A419" s="32">
        <v>415</v>
      </c>
      <c r="B419" s="33" t="s">
        <v>65</v>
      </c>
      <c r="C419" s="32" t="s">
        <v>51</v>
      </c>
      <c r="D419" s="32" t="s">
        <v>57</v>
      </c>
      <c r="E419" s="32" t="s">
        <v>58</v>
      </c>
      <c r="F419" s="32">
        <v>1707</v>
      </c>
      <c r="G419" s="33" t="s">
        <v>59</v>
      </c>
      <c r="H419" s="32" t="s">
        <v>47</v>
      </c>
      <c r="I419" s="32" t="s">
        <v>487</v>
      </c>
      <c r="J419" s="34">
        <v>46094</v>
      </c>
      <c r="K419" s="34">
        <v>46105</v>
      </c>
      <c r="L419" s="32" t="s">
        <v>48</v>
      </c>
      <c r="M419" s="48">
        <v>106249.48699999999</v>
      </c>
      <c r="N419" s="48">
        <v>0</v>
      </c>
      <c r="O419" s="48">
        <v>0</v>
      </c>
      <c r="P419" s="48">
        <v>0</v>
      </c>
      <c r="Q419" s="48">
        <v>0</v>
      </c>
      <c r="R419" s="48">
        <v>-640.74</v>
      </c>
      <c r="S419" s="48">
        <v>0</v>
      </c>
      <c r="T419" s="48">
        <v>-640.74</v>
      </c>
      <c r="U419" s="48">
        <f t="shared" si="37"/>
        <v>0</v>
      </c>
      <c r="V419" s="49">
        <f>+Tabla_Auditorias[[#This Row],[AJUSTE
EGRESO
COSTO]]+Tabla_Auditorias[[#This Row],[AJUSTE EGRESO
MAL ESTADO]]+Tabla_Auditorias[[#This Row],[AJUSTE
INGRESO
COSTO]]</f>
        <v>-451.3</v>
      </c>
      <c r="W419" s="48">
        <v>0</v>
      </c>
      <c r="X419" s="48">
        <v>-451.3</v>
      </c>
      <c r="Y419" s="48"/>
      <c r="Z419" s="48">
        <v>0</v>
      </c>
      <c r="AA419" s="50">
        <f>+SUM(Tabla_Auditorias[[#This Row],[AJUSTE
EGRESO
COSTO]:[AJUSTE
INGRESO
COSTO]])</f>
        <v>-451.3</v>
      </c>
      <c r="AB419" s="36" t="str">
        <f t="shared" si="38"/>
        <v>BAJO</v>
      </c>
      <c r="AC419" s="37">
        <f>IFERROR(IF(M419=0,0,IF(ABS(O419)/M419=0,0,IF(ABS(O419)/M419&lt;=0.01,10,IF(ABS(O419)/M419&lt;=0.03,25,IF(ABS(O419)/M419&lt;=0.05,40,50)))))+IF(ABS(U419)=0,0,IF(ABS(U419)&lt;=200,10,IF(ABS(U419)&lt;=500,15,IF(ABS(U419)&lt;=2000,22,30))))+IF(COUNTIFS($B$382:B418,B419,$O$382:O418,"&lt;0")&gt;0,15,0)+IF(OR(Q419&lt;0,R419&lt;0),5,0),0)</f>
        <v>5</v>
      </c>
      <c r="AD419" s="35">
        <v>0</v>
      </c>
      <c r="AE419" s="41" t="s">
        <v>408</v>
      </c>
      <c r="AF419" s="38" t="str">
        <f>IF(Tabla_Auditorias[[#This Row],[TOTAL
COSTO
NETO]]&lt;&gt;0,"Si","No")</f>
        <v>Si</v>
      </c>
      <c r="AG419" s="39" t="s">
        <v>488</v>
      </c>
      <c r="AH419" s="40">
        <v>0</v>
      </c>
      <c r="AI419" s="51">
        <f t="shared" si="39"/>
        <v>0</v>
      </c>
      <c r="AJ419" s="38" t="str">
        <f t="shared" si="40"/>
        <v>Pendiente</v>
      </c>
    </row>
    <row r="420" spans="1:36" s="31" customFormat="1" ht="25.5" customHeight="1" x14ac:dyDescent="0.2">
      <c r="A420" s="32">
        <v>416</v>
      </c>
      <c r="B420" s="33" t="s">
        <v>489</v>
      </c>
      <c r="C420" s="32" t="s">
        <v>43</v>
      </c>
      <c r="D420" s="32" t="s">
        <v>44</v>
      </c>
      <c r="E420" s="32" t="s">
        <v>58</v>
      </c>
      <c r="F420" s="32">
        <v>1514</v>
      </c>
      <c r="G420" s="33" t="s">
        <v>59</v>
      </c>
      <c r="H420" s="32" t="s">
        <v>47</v>
      </c>
      <c r="I420" s="32" t="s">
        <v>490</v>
      </c>
      <c r="J420" s="34">
        <v>46098</v>
      </c>
      <c r="K420" s="34">
        <v>46105</v>
      </c>
      <c r="L420" s="32" t="s">
        <v>48</v>
      </c>
      <c r="M420" s="48">
        <v>89427.26</v>
      </c>
      <c r="N420" s="48">
        <v>179.3</v>
      </c>
      <c r="O420" s="48">
        <v>-371.31</v>
      </c>
      <c r="P420" s="48">
        <v>160.52000000000001</v>
      </c>
      <c r="Q420" s="48">
        <v>-163.74</v>
      </c>
      <c r="R420" s="48">
        <v>0</v>
      </c>
      <c r="S420" s="48">
        <v>0</v>
      </c>
      <c r="T420" s="48">
        <f>N420+O420+P420+Q420+R420+S420</f>
        <v>-195.23</v>
      </c>
      <c r="U420" s="48">
        <f t="shared" si="37"/>
        <v>-195.23</v>
      </c>
      <c r="V420" s="49">
        <f>+Tabla_Auditorias[[#This Row],[AJUSTE
EGRESO
COSTO]]+Tabla_Auditorias[[#This Row],[AJUSTE EGRESO
MAL ESTADO]]+Tabla_Auditorias[[#This Row],[AJUSTE
INGRESO
COSTO]]</f>
        <v>-179.24</v>
      </c>
      <c r="W420" s="48">
        <v>-1319.7</v>
      </c>
      <c r="X420" s="48">
        <v>0</v>
      </c>
      <c r="Y420" s="48"/>
      <c r="Z420" s="48">
        <v>1140.46</v>
      </c>
      <c r="AA420" s="50">
        <f>+SUM(Tabla_Auditorias[[#This Row],[AJUSTE
EGRESO
COSTO]:[AJUSTE
INGRESO
COSTO]])</f>
        <v>-179.24</v>
      </c>
      <c r="AB420" s="36" t="str">
        <f t="shared" si="38"/>
        <v>MEDIO</v>
      </c>
      <c r="AC420" s="37">
        <f>IFERROR(IF(M420=0,0,IF(ABS(O420)/M420=0,0,IF(ABS(O420)/M420&lt;=0.01,10,IF(ABS(O420)/M420&lt;=0.03,25,IF(ABS(O420)/M420&lt;=0.05,40,50)))))+IF(ABS(U420)=0,0,IF(ABS(U420)&lt;=200,10,IF(ABS(U420)&lt;=500,15,IF(ABS(U420)&lt;=2000,22,30))))+IF(COUNTIFS($B$382:B419,B420,$O$382:O419,"&lt;0")&gt;0,15,0)+IF(OR(Q420&lt;0,R420&lt;0),5,0),0)</f>
        <v>25</v>
      </c>
      <c r="AD420" s="35">
        <v>0</v>
      </c>
      <c r="AE420" s="41" t="s">
        <v>408</v>
      </c>
      <c r="AF420" s="38" t="str">
        <f>IF(Tabla_Auditorias[[#This Row],[TOTAL
COSTO
NETO]]&lt;&gt;0,"Si","No")</f>
        <v>Si</v>
      </c>
      <c r="AG420" s="39" t="s">
        <v>491</v>
      </c>
      <c r="AH420" s="40">
        <v>0</v>
      </c>
      <c r="AI420" s="51">
        <f t="shared" si="39"/>
        <v>0</v>
      </c>
      <c r="AJ420" s="38" t="str">
        <f t="shared" si="40"/>
        <v>Pendiente</v>
      </c>
    </row>
    <row r="421" spans="1:36" s="31" customFormat="1" ht="25.5" customHeight="1" x14ac:dyDescent="0.2">
      <c r="A421" s="32">
        <v>417</v>
      </c>
      <c r="B421" s="33" t="s">
        <v>129</v>
      </c>
      <c r="C421" s="32" t="s">
        <v>51</v>
      </c>
      <c r="D421" s="32" t="s">
        <v>57</v>
      </c>
      <c r="E421" s="32" t="s">
        <v>45</v>
      </c>
      <c r="F421" s="32">
        <v>1712</v>
      </c>
      <c r="G421" s="33" t="s">
        <v>314</v>
      </c>
      <c r="H421" s="32" t="s">
        <v>47</v>
      </c>
      <c r="I421" s="32" t="s">
        <v>492</v>
      </c>
      <c r="J421" s="34">
        <v>46098</v>
      </c>
      <c r="K421" s="34">
        <v>46098</v>
      </c>
      <c r="L421" s="32" t="s">
        <v>48</v>
      </c>
      <c r="M421" s="48">
        <v>129208.94</v>
      </c>
      <c r="N421" s="48">
        <v>110.95</v>
      </c>
      <c r="O421" s="48">
        <v>-195.56</v>
      </c>
      <c r="P421" s="48">
        <v>98.52</v>
      </c>
      <c r="Q421" s="48">
        <v>0</v>
      </c>
      <c r="R421" s="48">
        <v>0</v>
      </c>
      <c r="S421" s="48">
        <v>0</v>
      </c>
      <c r="T421" s="48">
        <f>N421+O421+P421+Q421+R421+S421</f>
        <v>13.909999999999997</v>
      </c>
      <c r="U421" s="48">
        <f t="shared" si="37"/>
        <v>13.909999999999997</v>
      </c>
      <c r="V421" s="49">
        <f>+Tabla_Auditorias[[#This Row],[AJUSTE
EGRESO
COSTO]]+Tabla_Auditorias[[#This Row],[AJUSTE EGRESO
MAL ESTADO]]+Tabla_Auditorias[[#This Row],[AJUSTE
INGRESO
COSTO]]</f>
        <v>1.2200000000000273</v>
      </c>
      <c r="W421" s="48">
        <v>-812.52</v>
      </c>
      <c r="X421" s="48">
        <v>0</v>
      </c>
      <c r="Y421" s="48"/>
      <c r="Z421" s="48">
        <v>813.74</v>
      </c>
      <c r="AA421" s="50">
        <f>+SUM(Tabla_Auditorias[[#This Row],[AJUSTE
EGRESO
COSTO]:[AJUSTE
INGRESO
COSTO]])</f>
        <v>1.2200000000000273</v>
      </c>
      <c r="AB421" s="36" t="str">
        <f t="shared" si="38"/>
        <v>MEDIO</v>
      </c>
      <c r="AC421" s="37">
        <f>IFERROR(IF(M421=0,0,IF(ABS(O421)/M421=0,0,IF(ABS(O421)/M421&lt;=0.01,10,IF(ABS(O421)/M421&lt;=0.03,25,IF(ABS(O421)/M421&lt;=0.05,40,50)))))+IF(ABS(U421)=0,0,IF(ABS(U421)&lt;=200,10,IF(ABS(U421)&lt;=500,15,IF(ABS(U421)&lt;=2000,22,30))))+IF(COUNTIFS($B$382:B420,B421,$O$382:O420,"&lt;0")&gt;0,15,0)+IF(OR(Q421&lt;0,R421&lt;0),5,0),0)</f>
        <v>20</v>
      </c>
      <c r="AD421" s="35">
        <v>1151.6300000000001</v>
      </c>
      <c r="AE421" s="41" t="s">
        <v>408</v>
      </c>
      <c r="AF421" s="38" t="str">
        <f>IF(Tabla_Auditorias[[#This Row],[TOTAL
COSTO
NETO]]&lt;&gt;0,"Si","No")</f>
        <v>Si</v>
      </c>
      <c r="AG421" s="39" t="s">
        <v>493</v>
      </c>
      <c r="AH421" s="40">
        <v>0</v>
      </c>
      <c r="AI421" s="51" t="str">
        <f t="shared" si="39"/>
        <v/>
      </c>
      <c r="AJ421" s="38" t="str">
        <f t="shared" si="40"/>
        <v>No Aplica</v>
      </c>
    </row>
    <row r="422" spans="1:36" s="31" customFormat="1" ht="25.5" customHeight="1" x14ac:dyDescent="0.2">
      <c r="A422" s="32">
        <v>418</v>
      </c>
      <c r="B422" s="33" t="s">
        <v>208</v>
      </c>
      <c r="C422" s="32" t="s">
        <v>43</v>
      </c>
      <c r="D422" s="32" t="s">
        <v>44</v>
      </c>
      <c r="E422" s="32" t="s">
        <v>58</v>
      </c>
      <c r="F422" s="32">
        <v>1521</v>
      </c>
      <c r="G422" s="33" t="s">
        <v>59</v>
      </c>
      <c r="H422" s="32" t="s">
        <v>47</v>
      </c>
      <c r="I422" s="32" t="s">
        <v>494</v>
      </c>
      <c r="J422" s="34">
        <v>46100</v>
      </c>
      <c r="K422" s="34">
        <v>46106</v>
      </c>
      <c r="L422" s="32" t="s">
        <v>48</v>
      </c>
      <c r="M422" s="48">
        <v>200994.76</v>
      </c>
      <c r="N422" s="48">
        <v>362.65</v>
      </c>
      <c r="O422" s="48">
        <v>-227.85</v>
      </c>
      <c r="P422" s="48">
        <v>89.58</v>
      </c>
      <c r="Q422" s="48">
        <v>0</v>
      </c>
      <c r="R422" s="48">
        <v>0</v>
      </c>
      <c r="S422" s="48">
        <v>0</v>
      </c>
      <c r="T422" s="48">
        <f>N422+O422+P422+Q422+R422+S422</f>
        <v>224.38</v>
      </c>
      <c r="U422" s="48">
        <f t="shared" si="37"/>
        <v>224.38</v>
      </c>
      <c r="V422" s="49">
        <f>+Tabla_Auditorias[[#This Row],[AJUSTE
EGRESO
COSTO]]+Tabla_Auditorias[[#This Row],[AJUSTE EGRESO
MAL ESTADO]]+Tabla_Auditorias[[#This Row],[AJUSTE
INGRESO
COSTO]]</f>
        <v>140.13000000000011</v>
      </c>
      <c r="W422" s="48">
        <v>-1238.31</v>
      </c>
      <c r="X422" s="48">
        <v>0</v>
      </c>
      <c r="Y422" s="48"/>
      <c r="Z422" s="48">
        <v>1378.44</v>
      </c>
      <c r="AA422" s="50">
        <f>+SUM(Tabla_Auditorias[[#This Row],[AJUSTE
EGRESO
COSTO]:[AJUSTE
INGRESO
COSTO]])</f>
        <v>140.13000000000011</v>
      </c>
      <c r="AB422" s="36" t="str">
        <f t="shared" si="38"/>
        <v>MEDIO</v>
      </c>
      <c r="AC422" s="37">
        <f>IFERROR(IF(M422=0,0,IF(ABS(O422)/M422=0,0,IF(ABS(O422)/M422&lt;=0.01,10,IF(ABS(O422)/M422&lt;=0.03,25,IF(ABS(O422)/M422&lt;=0.05,40,50)))))+IF(ABS(U422)=0,0,IF(ABS(U422)&lt;=200,10,IF(ABS(U422)&lt;=500,15,IF(ABS(U422)&lt;=2000,22,30))))+IF(COUNTIFS($B$382:B421,B422,$O$382:O421,"&lt;0")&gt;0,15,0)+IF(OR(Q422&lt;0,R422&lt;0),5,0),0)</f>
        <v>25</v>
      </c>
      <c r="AD422" s="35">
        <v>0</v>
      </c>
      <c r="AE422" s="41" t="s">
        <v>408</v>
      </c>
      <c r="AF422" s="38" t="str">
        <f>IF(Tabla_Auditorias[[#This Row],[TOTAL
COSTO
NETO]]&lt;&gt;0,"Si","No")</f>
        <v>Si</v>
      </c>
      <c r="AG422" s="39" t="s">
        <v>495</v>
      </c>
      <c r="AH422" s="40">
        <v>0</v>
      </c>
      <c r="AI422" s="51" t="str">
        <f t="shared" si="39"/>
        <v/>
      </c>
      <c r="AJ422" s="38" t="str">
        <f t="shared" si="40"/>
        <v>No Aplica</v>
      </c>
    </row>
    <row r="423" spans="1:36" s="31" customFormat="1" ht="25.5" customHeight="1" x14ac:dyDescent="0.2">
      <c r="A423" s="32">
        <v>419</v>
      </c>
      <c r="B423" s="33" t="s">
        <v>208</v>
      </c>
      <c r="C423" s="32" t="s">
        <v>43</v>
      </c>
      <c r="D423" s="32" t="s">
        <v>44</v>
      </c>
      <c r="E423" s="32" t="s">
        <v>58</v>
      </c>
      <c r="F423" s="32">
        <v>1521</v>
      </c>
      <c r="G423" s="33" t="s">
        <v>59</v>
      </c>
      <c r="H423" s="32" t="s">
        <v>47</v>
      </c>
      <c r="I423" s="32" t="s">
        <v>496</v>
      </c>
      <c r="J423" s="34">
        <v>46100</v>
      </c>
      <c r="K423" s="34">
        <v>46106</v>
      </c>
      <c r="L423" s="32" t="s">
        <v>48</v>
      </c>
      <c r="M423" s="48">
        <v>200994.7622</v>
      </c>
      <c r="N423" s="48">
        <v>362.65</v>
      </c>
      <c r="O423" s="48">
        <v>-227.85</v>
      </c>
      <c r="P423" s="48">
        <v>-89.579999999999899</v>
      </c>
      <c r="Q423" s="48">
        <v>0</v>
      </c>
      <c r="R423" s="48">
        <v>0</v>
      </c>
      <c r="S423" s="48">
        <v>0</v>
      </c>
      <c r="T423" s="48">
        <v>45.22</v>
      </c>
      <c r="U423" s="48">
        <f t="shared" si="37"/>
        <v>45.220000000000084</v>
      </c>
      <c r="V423" s="49">
        <f>+Tabla_Auditorias[[#This Row],[AJUSTE
EGRESO
COSTO]]+Tabla_Auditorias[[#This Row],[AJUSTE EGRESO
MAL ESTADO]]+Tabla_Auditorias[[#This Row],[AJUSTE
INGRESO
COSTO]]</f>
        <v>140.12375833332999</v>
      </c>
      <c r="W423" s="48">
        <v>-1238.3112916666701</v>
      </c>
      <c r="X423" s="48">
        <v>0</v>
      </c>
      <c r="Y423" s="48"/>
      <c r="Z423" s="48">
        <v>1378.43505</v>
      </c>
      <c r="AA423" s="50">
        <f>+SUM(Tabla_Auditorias[[#This Row],[AJUSTE
EGRESO
COSTO]:[AJUSTE
INGRESO
COSTO]])</f>
        <v>140.12375833332999</v>
      </c>
      <c r="AB423" s="36" t="str">
        <f t="shared" si="38"/>
        <v>MEDIO</v>
      </c>
      <c r="AC423" s="37">
        <f>IFERROR(IF(M423=0,0,IF(ABS(O423)/M423=0,0,IF(ABS(O423)/M423&lt;=0.01,10,IF(ABS(O423)/M423&lt;=0.03,25,IF(ABS(O423)/M423&lt;=0.05,40,50)))))+IF(ABS(U423)=0,0,IF(ABS(U423)&lt;=200,10,IF(ABS(U423)&lt;=500,15,IF(ABS(U423)&lt;=2000,22,30))))+IF(COUNTIFS($B$382:B422,B423,$O$382:O422,"&lt;0")&gt;0,15,0)+IF(OR(Q423&lt;0,R423&lt;0),5,0),0)</f>
        <v>35</v>
      </c>
      <c r="AD423" s="35">
        <v>0</v>
      </c>
      <c r="AE423" s="41" t="s">
        <v>408</v>
      </c>
      <c r="AF423" s="38" t="str">
        <f>IF(Tabla_Auditorias[[#This Row],[TOTAL
COSTO
NETO]]&lt;&gt;0,"Si","No")</f>
        <v>Si</v>
      </c>
      <c r="AG423" s="39"/>
      <c r="AH423" s="40">
        <v>0</v>
      </c>
      <c r="AI423" s="51" t="str">
        <f t="shared" si="39"/>
        <v/>
      </c>
      <c r="AJ423" s="38" t="str">
        <f t="shared" si="40"/>
        <v>No Aplica</v>
      </c>
    </row>
    <row r="424" spans="1:36" s="31" customFormat="1" ht="52.5" customHeight="1" x14ac:dyDescent="0.2">
      <c r="A424" s="32">
        <v>420</v>
      </c>
      <c r="B424" s="33" t="s">
        <v>497</v>
      </c>
      <c r="C424" s="32" t="s">
        <v>51</v>
      </c>
      <c r="D424" s="32" t="s">
        <v>377</v>
      </c>
      <c r="E424" s="32" t="s">
        <v>53</v>
      </c>
      <c r="F424" s="32">
        <v>1757</v>
      </c>
      <c r="G424" s="33" t="s">
        <v>314</v>
      </c>
      <c r="H424" s="32" t="s">
        <v>47</v>
      </c>
      <c r="I424" s="32" t="s">
        <v>498</v>
      </c>
      <c r="J424" s="34">
        <v>46105</v>
      </c>
      <c r="K424" s="34">
        <v>46111</v>
      </c>
      <c r="L424" s="32" t="s">
        <v>48</v>
      </c>
      <c r="M424" s="48">
        <v>246872.5</v>
      </c>
      <c r="N424" s="48">
        <v>0</v>
      </c>
      <c r="O424" s="48">
        <v>0</v>
      </c>
      <c r="P424" s="48">
        <v>0</v>
      </c>
      <c r="Q424" s="48">
        <v>0</v>
      </c>
      <c r="R424" s="48">
        <v>0</v>
      </c>
      <c r="S424" s="48">
        <v>0</v>
      </c>
      <c r="T424" s="48">
        <f>N424+O424+P424+Q424+R424+S424</f>
        <v>0</v>
      </c>
      <c r="U424" s="48">
        <f t="shared" si="37"/>
        <v>0</v>
      </c>
      <c r="V424" s="49">
        <f>+Tabla_Auditorias[[#This Row],[AJUSTE
EGRESO
COSTO]]+Tabla_Auditorias[[#This Row],[AJUSTE EGRESO
MAL ESTADO]]+Tabla_Auditorias[[#This Row],[AJUSTE
INGRESO
COSTO]]</f>
        <v>0</v>
      </c>
      <c r="W424" s="48">
        <v>0</v>
      </c>
      <c r="X424" s="48">
        <v>0</v>
      </c>
      <c r="Y424" s="48"/>
      <c r="Z424" s="48">
        <v>0</v>
      </c>
      <c r="AA424" s="50">
        <f>+SUM(Tabla_Auditorias[[#This Row],[AJUSTE
EGRESO
COSTO]:[AJUSTE
INGRESO
COSTO]])</f>
        <v>0</v>
      </c>
      <c r="AB424" s="36" t="str">
        <f t="shared" si="38"/>
        <v>BAJO</v>
      </c>
      <c r="AC424" s="37">
        <f>IFERROR(IF(M424=0,0,IF(ABS(O424)/M424=0,0,IF(ABS(O424)/M424&lt;=0.01,10,IF(ABS(O424)/M424&lt;=0.03,25,IF(ABS(O424)/M424&lt;=0.05,40,50)))))+IF(ABS(U424)=0,0,IF(ABS(U424)&lt;=200,10,IF(ABS(U424)&lt;=500,15,IF(ABS(U424)&lt;=2000,22,30))))+IF(COUNTIFS($B$382:B423,B424,$O$382:O423,"&lt;0")&gt;0,15,0)+IF(OR(Q424&lt;0,R424&lt;0),5,0),0)</f>
        <v>0</v>
      </c>
      <c r="AD424" s="35">
        <v>0</v>
      </c>
      <c r="AE424" s="41" t="s">
        <v>408</v>
      </c>
      <c r="AF424" s="38" t="str">
        <f>IF(Tabla_Auditorias[[#This Row],[TOTAL
COSTO
NETO]]&lt;&gt;0,"Si","No")</f>
        <v>No</v>
      </c>
      <c r="AG424" s="39" t="s">
        <v>499</v>
      </c>
      <c r="AH424" s="40">
        <v>0</v>
      </c>
      <c r="AI424" s="51" t="str">
        <f t="shared" si="39"/>
        <v/>
      </c>
      <c r="AJ424" s="38" t="str">
        <f t="shared" si="40"/>
        <v>Pendiente</v>
      </c>
    </row>
    <row r="425" spans="1:36" s="31" customFormat="1" ht="25.5" customHeight="1" x14ac:dyDescent="0.2">
      <c r="A425" s="32">
        <v>421</v>
      </c>
      <c r="B425" s="33" t="s">
        <v>224</v>
      </c>
      <c r="C425" s="32" t="s">
        <v>153</v>
      </c>
      <c r="D425" s="32" t="s">
        <v>89</v>
      </c>
      <c r="E425" s="32" t="s">
        <v>58</v>
      </c>
      <c r="F425" s="32">
        <v>3042</v>
      </c>
      <c r="G425" s="33" t="s">
        <v>59</v>
      </c>
      <c r="H425" s="32" t="s">
        <v>47</v>
      </c>
      <c r="I425" s="32" t="s">
        <v>500</v>
      </c>
      <c r="J425" s="34">
        <v>46105</v>
      </c>
      <c r="K425" s="34">
        <v>46105</v>
      </c>
      <c r="L425" s="32" t="s">
        <v>48</v>
      </c>
      <c r="M425" s="48">
        <v>13053.8881</v>
      </c>
      <c r="N425" s="48">
        <v>0</v>
      </c>
      <c r="O425" s="48">
        <v>-145.9</v>
      </c>
      <c r="P425" s="48">
        <v>11.700000000000101</v>
      </c>
      <c r="Q425" s="48">
        <v>0</v>
      </c>
      <c r="R425" s="48">
        <v>0</v>
      </c>
      <c r="S425" s="48">
        <v>0</v>
      </c>
      <c r="T425" s="48">
        <v>-134.19999999999999</v>
      </c>
      <c r="U425" s="48">
        <f t="shared" si="37"/>
        <v>-134.1999999999999</v>
      </c>
      <c r="V425" s="49">
        <f>+Tabla_Auditorias[[#This Row],[AJUSTE
EGRESO
COSTO]]+Tabla_Auditorias[[#This Row],[AJUSTE EGRESO
MAL ESTADO]]+Tabla_Auditorias[[#This Row],[AJUSTE
INGRESO
COSTO]]</f>
        <v>-76.086160860028997</v>
      </c>
      <c r="W425" s="48">
        <v>-241.14787108225099</v>
      </c>
      <c r="X425" s="48">
        <v>0</v>
      </c>
      <c r="Y425" s="48"/>
      <c r="Z425" s="48">
        <v>165.06171022222199</v>
      </c>
      <c r="AA425" s="50">
        <f>+SUM(Tabla_Auditorias[[#This Row],[AJUSTE
EGRESO
COSTO]:[AJUSTE
INGRESO
COSTO]])</f>
        <v>-76.086160860028997</v>
      </c>
      <c r="AB425" s="36" t="str">
        <f t="shared" si="38"/>
        <v>ALTO</v>
      </c>
      <c r="AC425" s="37">
        <f>IFERROR(IF(M425=0,0,IF(ABS(O425)/M425=0,0,IF(ABS(O425)/M425&lt;=0.01,10,IF(ABS(O425)/M425&lt;=0.03,25,IF(ABS(O425)/M425&lt;=0.05,40,50)))))+IF(ABS(U425)=0,0,IF(ABS(U425)&lt;=200,10,IF(ABS(U425)&lt;=500,15,IF(ABS(U425)&lt;=2000,22,30))))+IF(COUNTIFS($B$382:B424,B425,$O$382:O424,"&lt;0")&gt;0,15,0)+IF(OR(Q425&lt;0,R425&lt;0),5,0),0)</f>
        <v>50</v>
      </c>
      <c r="AD425" s="35">
        <v>269.95999999999998</v>
      </c>
      <c r="AE425" s="41" t="s">
        <v>408</v>
      </c>
      <c r="AF425" s="38" t="str">
        <f>IF(Tabla_Auditorias[[#This Row],[TOTAL
COSTO
NETO]]&lt;&gt;0,"Si","No")</f>
        <v>Si</v>
      </c>
      <c r="AG425" s="39" t="s">
        <v>501</v>
      </c>
      <c r="AH425" s="40">
        <v>0</v>
      </c>
      <c r="AI425" s="51">
        <f t="shared" si="39"/>
        <v>0</v>
      </c>
      <c r="AJ425" s="38" t="str">
        <f t="shared" si="40"/>
        <v>Pendiente</v>
      </c>
    </row>
    <row r="426" spans="1:36" s="31" customFormat="1" ht="31.5" customHeight="1" x14ac:dyDescent="0.2">
      <c r="A426" s="32">
        <v>422</v>
      </c>
      <c r="B426" s="33" t="s">
        <v>298</v>
      </c>
      <c r="C426" s="32" t="s">
        <v>51</v>
      </c>
      <c r="D426" s="32" t="s">
        <v>57</v>
      </c>
      <c r="E426" s="32" t="s">
        <v>45</v>
      </c>
      <c r="F426" s="32">
        <v>1746</v>
      </c>
      <c r="G426" s="33" t="s">
        <v>314</v>
      </c>
      <c r="H426" s="32" t="s">
        <v>47</v>
      </c>
      <c r="I426" s="32" t="s">
        <v>502</v>
      </c>
      <c r="J426" s="34">
        <v>46105</v>
      </c>
      <c r="K426" s="34">
        <v>46112</v>
      </c>
      <c r="L426" s="32" t="s">
        <v>48</v>
      </c>
      <c r="M426" s="48">
        <v>68510.84</v>
      </c>
      <c r="N426" s="48">
        <v>0</v>
      </c>
      <c r="O426" s="48">
        <v>0</v>
      </c>
      <c r="P426" s="48">
        <v>0</v>
      </c>
      <c r="Q426" s="48">
        <v>-95.41</v>
      </c>
      <c r="R426" s="48">
        <v>-17.940000000000001</v>
      </c>
      <c r="S426" s="48">
        <v>0</v>
      </c>
      <c r="T426" s="48">
        <f>N426+O426+P426+Q426+R426+S426</f>
        <v>-113.35</v>
      </c>
      <c r="U426" s="48">
        <f t="shared" si="37"/>
        <v>-95.41</v>
      </c>
      <c r="V426" s="49">
        <f>+Tabla_Auditorias[[#This Row],[AJUSTE
EGRESO
COSTO]]+Tabla_Auditorias[[#This Row],[AJUSTE EGRESO
MAL ESTADO]]+Tabla_Auditorias[[#This Row],[AJUSTE
INGRESO
COSTO]]</f>
        <v>-147.9</v>
      </c>
      <c r="W426" s="48">
        <v>-73.95</v>
      </c>
      <c r="X426" s="48">
        <v>-73.95</v>
      </c>
      <c r="Y426" s="48"/>
      <c r="Z426" s="48">
        <v>0</v>
      </c>
      <c r="AA426" s="50">
        <f>+SUM(Tabla_Auditorias[[#This Row],[AJUSTE
EGRESO
COSTO]:[AJUSTE
INGRESO
COSTO]])</f>
        <v>-147.9</v>
      </c>
      <c r="AB426" s="36" t="str">
        <f t="shared" si="38"/>
        <v>MEDIO</v>
      </c>
      <c r="AC426" s="37">
        <f>IFERROR(IF(M426=0,0,IF(ABS(O426)/M426=0,0,IF(ABS(O426)/M426&lt;=0.01,10,IF(ABS(O426)/M426&lt;=0.03,25,IF(ABS(O426)/M426&lt;=0.05,40,50)))))+IF(ABS(U426)=0,0,IF(ABS(U426)&lt;=200,10,IF(ABS(U426)&lt;=500,15,IF(ABS(U426)&lt;=2000,22,30))))+IF(COUNTIFS($B$382:B425,B426,$O$382:O425,"&lt;0")&gt;0,15,0)+IF(OR(Q426&lt;0,R426&lt;0),5,0),0)</f>
        <v>30</v>
      </c>
      <c r="AD426" s="35">
        <v>0</v>
      </c>
      <c r="AE426" s="41" t="s">
        <v>408</v>
      </c>
      <c r="AF426" s="38" t="str">
        <f>IF(Tabla_Auditorias[[#This Row],[TOTAL
COSTO
NETO]]&lt;&gt;0,"Si","No")</f>
        <v>Si</v>
      </c>
      <c r="AG426" s="39" t="s">
        <v>503</v>
      </c>
      <c r="AH426" s="40">
        <v>0</v>
      </c>
      <c r="AI426" s="51">
        <f t="shared" si="39"/>
        <v>0</v>
      </c>
      <c r="AJ426" s="38" t="str">
        <f t="shared" si="40"/>
        <v>Pendiente</v>
      </c>
    </row>
    <row r="427" spans="1:36" s="31" customFormat="1" ht="25.5" customHeight="1" x14ac:dyDescent="0.2">
      <c r="A427" s="32">
        <v>423</v>
      </c>
      <c r="B427" s="33" t="s">
        <v>497</v>
      </c>
      <c r="C427" s="32" t="s">
        <v>51</v>
      </c>
      <c r="D427" s="32" t="s">
        <v>377</v>
      </c>
      <c r="E427" s="32" t="s">
        <v>53</v>
      </c>
      <c r="F427" s="32">
        <v>1757</v>
      </c>
      <c r="G427" s="33" t="s">
        <v>314</v>
      </c>
      <c r="H427" s="32" t="s">
        <v>47</v>
      </c>
      <c r="I427" s="32" t="s">
        <v>504</v>
      </c>
      <c r="J427" s="34">
        <v>46105</v>
      </c>
      <c r="K427" s="34">
        <v>46105</v>
      </c>
      <c r="L427" s="32" t="s">
        <v>48</v>
      </c>
      <c r="M427" s="48">
        <v>1258884.0508999999</v>
      </c>
      <c r="N427" s="48">
        <v>0</v>
      </c>
      <c r="O427" s="48">
        <v>0</v>
      </c>
      <c r="P427" s="48">
        <v>0</v>
      </c>
      <c r="Q427" s="48">
        <v>0</v>
      </c>
      <c r="R427" s="48">
        <v>0</v>
      </c>
      <c r="S427" s="48">
        <v>0</v>
      </c>
      <c r="T427" s="48">
        <f>N427+O427+P427+Q427+R427+S427</f>
        <v>0</v>
      </c>
      <c r="U427" s="48">
        <f t="shared" si="37"/>
        <v>0</v>
      </c>
      <c r="V427" s="49">
        <f>+Tabla_Auditorias[[#This Row],[AJUSTE
EGRESO
COSTO]]+Tabla_Auditorias[[#This Row],[AJUSTE EGRESO
MAL ESTADO]]+Tabla_Auditorias[[#This Row],[AJUSTE
INGRESO
COSTO]]</f>
        <v>0</v>
      </c>
      <c r="W427" s="48">
        <v>0</v>
      </c>
      <c r="X427" s="48">
        <v>0</v>
      </c>
      <c r="Y427" s="48">
        <v>0</v>
      </c>
      <c r="Z427" s="48">
        <v>0</v>
      </c>
      <c r="AA427" s="50">
        <f>W427+X427+Y427+Z427</f>
        <v>0</v>
      </c>
      <c r="AB427" s="36" t="str">
        <f t="shared" si="38"/>
        <v>BAJO</v>
      </c>
      <c r="AC427" s="37">
        <f>IFERROR(IF(M427=0,0,IF(ABS(O427)/M427=0,0,IF(ABS(O427)/M427&lt;=0.01,10,IF(ABS(O427)/M427&lt;=0.03,25,IF(ABS(O427)/M427&lt;=0.05,40,50)))))+IF(ABS(U427)=0,0,IF(ABS(U427)&lt;=200,10,IF(ABS(U427)&lt;=500,15,IF(ABS(U427)&lt;=2000,22,30))))+IF(COUNTIFS($B$5:B426,B427,$O$5:O426,"&lt;0")&gt;0,15,0)+IF(OR(Q427&lt;0,R427&lt;0),5,0),0)</f>
        <v>0</v>
      </c>
      <c r="AD427" s="35">
        <v>0</v>
      </c>
      <c r="AE427" s="41" t="s">
        <v>408</v>
      </c>
      <c r="AF427" s="38" t="str">
        <f>IF(AA427&lt;&gt;0,"Si","No")</f>
        <v>No</v>
      </c>
      <c r="AG427" s="39" t="s">
        <v>221</v>
      </c>
      <c r="AH427" s="40">
        <v>0</v>
      </c>
      <c r="AI427" s="51" t="str">
        <f t="shared" si="39"/>
        <v/>
      </c>
      <c r="AJ427" s="38" t="str">
        <f t="shared" si="40"/>
        <v>Pendiente</v>
      </c>
    </row>
    <row r="428" spans="1:36" s="31" customFormat="1" ht="25.5" customHeight="1" x14ac:dyDescent="0.2">
      <c r="A428" s="32">
        <v>424</v>
      </c>
      <c r="B428" s="33" t="s">
        <v>175</v>
      </c>
      <c r="C428" s="32" t="s">
        <v>51</v>
      </c>
      <c r="D428" s="32" t="s">
        <v>52</v>
      </c>
      <c r="E428" s="32" t="s">
        <v>58</v>
      </c>
      <c r="F428" s="32">
        <v>1738</v>
      </c>
      <c r="G428" s="33" t="s">
        <v>59</v>
      </c>
      <c r="H428" s="32" t="s">
        <v>47</v>
      </c>
      <c r="I428" s="32" t="s">
        <v>505</v>
      </c>
      <c r="J428" s="34">
        <v>46107</v>
      </c>
      <c r="K428" s="34">
        <v>46107</v>
      </c>
      <c r="L428" s="32" t="s">
        <v>48</v>
      </c>
      <c r="M428" s="48">
        <v>37215.768499999998</v>
      </c>
      <c r="N428" s="48">
        <v>0</v>
      </c>
      <c r="O428" s="48">
        <v>0</v>
      </c>
      <c r="P428" s="48">
        <v>0</v>
      </c>
      <c r="Q428" s="48">
        <v>0</v>
      </c>
      <c r="R428" s="48">
        <v>0</v>
      </c>
      <c r="S428" s="48">
        <v>0</v>
      </c>
      <c r="T428" s="48">
        <v>0</v>
      </c>
      <c r="U428" s="48">
        <f t="shared" si="37"/>
        <v>0</v>
      </c>
      <c r="V428" s="49">
        <f>+Tabla_Auditorias[[#This Row],[AJUSTE
EGRESO
COSTO]]+Tabla_Auditorias[[#This Row],[AJUSTE EGRESO
MAL ESTADO]]+Tabla_Auditorias[[#This Row],[AJUSTE
INGRESO
COSTO]]</f>
        <v>0</v>
      </c>
      <c r="W428" s="48">
        <v>0</v>
      </c>
      <c r="X428" s="48">
        <v>0</v>
      </c>
      <c r="Y428" s="48"/>
      <c r="Z428" s="48">
        <v>0</v>
      </c>
      <c r="AA428" s="50">
        <f>+SUM(Tabla_Auditorias[[#This Row],[AJUSTE
EGRESO
COSTO]:[AJUSTE
INGRESO
COSTO]])</f>
        <v>0</v>
      </c>
      <c r="AB428" s="36" t="str">
        <f t="shared" si="38"/>
        <v>BAJO</v>
      </c>
      <c r="AC428" s="37">
        <f>IFERROR(IF(M428=0,0,IF(ABS(O428)/M428=0,0,IF(ABS(O428)/M428&lt;=0.01,10,IF(ABS(O428)/M428&lt;=0.03,25,IF(ABS(O428)/M428&lt;=0.05,40,50)))))+IF(ABS(U428)=0,0,IF(ABS(U428)&lt;=200,10,IF(ABS(U428)&lt;=500,15,IF(ABS(U428)&lt;=2000,22,30))))+IF(COUNTIFS($B$382:B427,B428,$O$382:O427,"&lt;0")&gt;0,15,0)+IF(OR(Q428&lt;0,R428&lt;0),5,0),0)</f>
        <v>0</v>
      </c>
      <c r="AD428" s="35">
        <v>0</v>
      </c>
      <c r="AE428" s="41" t="s">
        <v>408</v>
      </c>
      <c r="AF428" s="38" t="str">
        <f>IF(Tabla_Auditorias[[#This Row],[TOTAL
COSTO
NETO]]&lt;&gt;0,"Si","No")</f>
        <v>No</v>
      </c>
      <c r="AG428" s="39" t="s">
        <v>221</v>
      </c>
      <c r="AH428" s="40">
        <v>0</v>
      </c>
      <c r="AI428" s="51" t="str">
        <f t="shared" si="39"/>
        <v/>
      </c>
      <c r="AJ428" s="38" t="str">
        <f t="shared" si="40"/>
        <v>Pendiente</v>
      </c>
    </row>
    <row r="429" spans="1:36" s="31" customFormat="1" ht="25.5" customHeight="1" x14ac:dyDescent="0.2">
      <c r="A429" s="32">
        <v>425</v>
      </c>
      <c r="B429" s="33" t="s">
        <v>188</v>
      </c>
      <c r="C429" s="32" t="s">
        <v>51</v>
      </c>
      <c r="D429" s="32" t="s">
        <v>57</v>
      </c>
      <c r="E429" s="32" t="s">
        <v>58</v>
      </c>
      <c r="F429" s="32">
        <v>1742</v>
      </c>
      <c r="G429" s="33" t="s">
        <v>59</v>
      </c>
      <c r="H429" s="32" t="s">
        <v>47</v>
      </c>
      <c r="I429" s="32" t="s">
        <v>506</v>
      </c>
      <c r="J429" s="34">
        <v>46107</v>
      </c>
      <c r="K429" s="34">
        <v>46107</v>
      </c>
      <c r="L429" s="32" t="s">
        <v>48</v>
      </c>
      <c r="M429" s="48">
        <v>118988.84</v>
      </c>
      <c r="N429" s="48">
        <v>0</v>
      </c>
      <c r="O429" s="48">
        <v>0</v>
      </c>
      <c r="P429" s="48">
        <v>0</v>
      </c>
      <c r="Q429" s="48">
        <v>0</v>
      </c>
      <c r="R429" s="48">
        <v>0</v>
      </c>
      <c r="S429" s="48">
        <v>0</v>
      </c>
      <c r="T429" s="48">
        <v>0</v>
      </c>
      <c r="U429" s="48">
        <f t="shared" si="37"/>
        <v>0</v>
      </c>
      <c r="V429" s="49">
        <f>+Tabla_Auditorias[[#This Row],[AJUSTE
EGRESO
COSTO]]+Tabla_Auditorias[[#This Row],[AJUSTE EGRESO
MAL ESTADO]]+Tabla_Auditorias[[#This Row],[AJUSTE
INGRESO
COSTO]]</f>
        <v>0</v>
      </c>
      <c r="W429" s="48">
        <v>0</v>
      </c>
      <c r="X429" s="48">
        <v>0</v>
      </c>
      <c r="Y429" s="48"/>
      <c r="Z429" s="48">
        <v>0</v>
      </c>
      <c r="AA429" s="50">
        <f>+SUM(Tabla_Auditorias[[#This Row],[AJUSTE
EGRESO
COSTO]:[AJUSTE
INGRESO
COSTO]])</f>
        <v>0</v>
      </c>
      <c r="AB429" s="36" t="str">
        <f t="shared" si="38"/>
        <v>MEDIO</v>
      </c>
      <c r="AC429" s="37">
        <f>IFERROR(IF(M429=0,0,IF(ABS(O429)/M429=0,0,IF(ABS(O429)/M429&lt;=0.01,10,IF(ABS(O429)/M429&lt;=0.03,25,IF(ABS(O429)/M429&lt;=0.05,40,50)))))+IF(ABS(U429)=0,0,IF(ABS(U429)&lt;=200,10,IF(ABS(U429)&lt;=500,15,IF(ABS(U429)&lt;=2000,22,30))))+IF(COUNTIFS($B$382:B428,B429,$O$382:O428,"&lt;0")&gt;0,15,0)+IF(OR(Q429&lt;0,R429&lt;0),5,0),0)</f>
        <v>15</v>
      </c>
      <c r="AD429" s="35">
        <v>0</v>
      </c>
      <c r="AE429" s="41" t="s">
        <v>408</v>
      </c>
      <c r="AF429" s="38" t="str">
        <f>IF(Tabla_Auditorias[[#This Row],[TOTAL
COSTO
NETO]]&lt;&gt;0,"Si","No")</f>
        <v>No</v>
      </c>
      <c r="AG429" s="39" t="s">
        <v>221</v>
      </c>
      <c r="AH429" s="40">
        <v>0</v>
      </c>
      <c r="AI429" s="51" t="str">
        <f t="shared" si="39"/>
        <v/>
      </c>
      <c r="AJ429" s="38" t="str">
        <f t="shared" si="40"/>
        <v>Pendiente</v>
      </c>
    </row>
    <row r="430" spans="1:36" s="31" customFormat="1" ht="25.5" customHeight="1" x14ac:dyDescent="0.2">
      <c r="A430" s="32">
        <v>426</v>
      </c>
      <c r="B430" s="33" t="s">
        <v>381</v>
      </c>
      <c r="C430" s="32" t="s">
        <v>51</v>
      </c>
      <c r="D430" s="32" t="s">
        <v>377</v>
      </c>
      <c r="E430" s="32" t="s">
        <v>58</v>
      </c>
      <c r="F430" s="32">
        <v>1762</v>
      </c>
      <c r="G430" s="33" t="s">
        <v>59</v>
      </c>
      <c r="H430" s="32" t="s">
        <v>47</v>
      </c>
      <c r="I430" s="32" t="s">
        <v>507</v>
      </c>
      <c r="J430" s="34">
        <v>46108</v>
      </c>
      <c r="K430" s="34">
        <v>46108</v>
      </c>
      <c r="L430" s="32" t="s">
        <v>48</v>
      </c>
      <c r="M430" s="48">
        <v>88536.797999999995</v>
      </c>
      <c r="N430" s="48">
        <v>0</v>
      </c>
      <c r="O430" s="48">
        <v>0</v>
      </c>
      <c r="P430" s="48">
        <v>0</v>
      </c>
      <c r="Q430" s="48">
        <v>0</v>
      </c>
      <c r="R430" s="48">
        <v>0</v>
      </c>
      <c r="S430" s="48">
        <v>0</v>
      </c>
      <c r="T430" s="48">
        <v>0</v>
      </c>
      <c r="U430" s="48">
        <f t="shared" si="37"/>
        <v>0</v>
      </c>
      <c r="V430" s="49">
        <f>+Tabla_Auditorias[[#This Row],[AJUSTE
EGRESO
COSTO]]+Tabla_Auditorias[[#This Row],[AJUSTE EGRESO
MAL ESTADO]]+Tabla_Auditorias[[#This Row],[AJUSTE
INGRESO
COSTO]]</f>
        <v>-35.209600000000002</v>
      </c>
      <c r="W430" s="48">
        <v>-35.209600000000002</v>
      </c>
      <c r="X430" s="48">
        <v>0</v>
      </c>
      <c r="Y430" s="48"/>
      <c r="Z430" s="48">
        <v>0</v>
      </c>
      <c r="AA430" s="50">
        <f>+SUM(Tabla_Auditorias[[#This Row],[AJUSTE
EGRESO
COSTO]:[AJUSTE
INGRESO
COSTO]])</f>
        <v>-35.209600000000002</v>
      </c>
      <c r="AB430" s="36" t="str">
        <f t="shared" si="38"/>
        <v>BAJO</v>
      </c>
      <c r="AC430" s="37">
        <f>IFERROR(IF(M430=0,0,IF(ABS(O430)/M430=0,0,IF(ABS(O430)/M430&lt;=0.01,10,IF(ABS(O430)/M430&lt;=0.03,25,IF(ABS(O430)/M430&lt;=0.05,40,50)))))+IF(ABS(U430)=0,0,IF(ABS(U430)&lt;=200,10,IF(ABS(U430)&lt;=500,15,IF(ABS(U430)&lt;=2000,22,30))))+IF(COUNTIFS($B$382:B429,B430,$O$382:O429,"&lt;0")&gt;0,15,0)+IF(OR(Q430&lt;0,R430&lt;0),5,0),0)</f>
        <v>0</v>
      </c>
      <c r="AD430" s="35">
        <v>0</v>
      </c>
      <c r="AE430" s="41" t="s">
        <v>408</v>
      </c>
      <c r="AF430" s="38" t="str">
        <f>IF(Tabla_Auditorias[[#This Row],[TOTAL
COSTO
NETO]]&lt;&gt;0,"Si","No")</f>
        <v>Si</v>
      </c>
      <c r="AG430" s="39" t="s">
        <v>221</v>
      </c>
      <c r="AH430" s="40">
        <v>0</v>
      </c>
      <c r="AI430" s="51">
        <f t="shared" si="39"/>
        <v>0</v>
      </c>
      <c r="AJ430" s="38" t="str">
        <f t="shared" si="40"/>
        <v>Pendiente</v>
      </c>
    </row>
    <row r="431" spans="1:36" s="31" customFormat="1" ht="25.5" customHeight="1" x14ac:dyDescent="0.2">
      <c r="A431" s="32">
        <v>427</v>
      </c>
      <c r="B431" s="33" t="s">
        <v>440</v>
      </c>
      <c r="C431" s="32" t="s">
        <v>51</v>
      </c>
      <c r="D431" s="32" t="s">
        <v>377</v>
      </c>
      <c r="E431" s="32" t="s">
        <v>58</v>
      </c>
      <c r="F431" s="32">
        <v>1750</v>
      </c>
      <c r="G431" s="33" t="s">
        <v>59</v>
      </c>
      <c r="H431" s="32" t="s">
        <v>47</v>
      </c>
      <c r="I431" s="32" t="s">
        <v>508</v>
      </c>
      <c r="J431" s="34">
        <v>46109</v>
      </c>
      <c r="K431" s="34">
        <v>46109</v>
      </c>
      <c r="L431" s="32" t="s">
        <v>48</v>
      </c>
      <c r="M431" s="48">
        <v>198372.36</v>
      </c>
      <c r="N431" s="48">
        <v>0</v>
      </c>
      <c r="O431" s="48">
        <v>0</v>
      </c>
      <c r="P431" s="48">
        <v>0</v>
      </c>
      <c r="Q431" s="48">
        <v>0</v>
      </c>
      <c r="R431" s="48">
        <v>0</v>
      </c>
      <c r="S431" s="48">
        <v>0</v>
      </c>
      <c r="T431" s="48">
        <f>N431+O431+P431+Q431+R431+S431</f>
        <v>0</v>
      </c>
      <c r="U431" s="48">
        <f t="shared" si="37"/>
        <v>0</v>
      </c>
      <c r="V431" s="49">
        <f>+Tabla_Auditorias[[#This Row],[AJUSTE
EGRESO
COSTO]]+Tabla_Auditorias[[#This Row],[AJUSTE EGRESO
MAL ESTADO]]+Tabla_Auditorias[[#This Row],[AJUSTE
INGRESO
COSTO]]</f>
        <v>0</v>
      </c>
      <c r="W431" s="48">
        <v>0</v>
      </c>
      <c r="X431" s="48">
        <v>0</v>
      </c>
      <c r="Y431" s="48"/>
      <c r="Z431" s="48">
        <v>0</v>
      </c>
      <c r="AA431" s="50">
        <f>+SUM(Tabla_Auditorias[[#This Row],[AJUSTE
EGRESO
COSTO]:[AJUSTE
INGRESO
COSTO]])</f>
        <v>0</v>
      </c>
      <c r="AB431" s="36" t="str">
        <f t="shared" si="38"/>
        <v>BAJO</v>
      </c>
      <c r="AC431" s="37">
        <f>IFERROR(IF(M431=0,0,IF(ABS(O431)/M431=0,0,IF(ABS(O431)/M431&lt;=0.01,10,IF(ABS(O431)/M431&lt;=0.03,25,IF(ABS(O431)/M431&lt;=0.05,40,50)))))+IF(ABS(U431)=0,0,IF(ABS(U431)&lt;=200,10,IF(ABS(U431)&lt;=500,15,IF(ABS(U431)&lt;=2000,22,30))))+IF(COUNTIFS($B$382:B430,B431,$O$382:O430,"&lt;0")&gt;0,15,0)+IF(OR(Q431&lt;0,R431&lt;0),5,0),0)</f>
        <v>0</v>
      </c>
      <c r="AD431" s="35">
        <v>165250.46</v>
      </c>
      <c r="AE431" s="41" t="s">
        <v>408</v>
      </c>
      <c r="AF431" s="38" t="str">
        <f>IF(Tabla_Auditorias[[#This Row],[TOTAL
COSTO
NETO]]&lt;&gt;0,"Si","No")</f>
        <v>No</v>
      </c>
      <c r="AG431" s="39" t="s">
        <v>509</v>
      </c>
      <c r="AH431" s="40">
        <v>0</v>
      </c>
      <c r="AI431" s="51" t="str">
        <f t="shared" si="39"/>
        <v/>
      </c>
      <c r="AJ431" s="38" t="str">
        <f t="shared" si="40"/>
        <v>Pendiente</v>
      </c>
    </row>
    <row r="432" spans="1:36" s="31" customFormat="1" ht="25.5" customHeight="1" x14ac:dyDescent="0.2">
      <c r="A432" s="32">
        <v>428</v>
      </c>
      <c r="B432" s="33" t="s">
        <v>510</v>
      </c>
      <c r="C432" s="32" t="s">
        <v>51</v>
      </c>
      <c r="D432" s="32" t="s">
        <v>377</v>
      </c>
      <c r="E432" s="32" t="s">
        <v>45</v>
      </c>
      <c r="F432" s="32">
        <v>1758</v>
      </c>
      <c r="G432" s="33" t="s">
        <v>314</v>
      </c>
      <c r="H432" s="32" t="s">
        <v>47</v>
      </c>
      <c r="I432" s="32" t="s">
        <v>511</v>
      </c>
      <c r="J432" s="34">
        <v>46112</v>
      </c>
      <c r="K432" s="34">
        <v>46122</v>
      </c>
      <c r="L432" s="32" t="s">
        <v>48</v>
      </c>
      <c r="M432" s="48">
        <v>916481.99</v>
      </c>
      <c r="N432" s="48">
        <v>0</v>
      </c>
      <c r="O432" s="48">
        <v>0</v>
      </c>
      <c r="P432" s="48">
        <v>0</v>
      </c>
      <c r="Q432" s="48">
        <v>0</v>
      </c>
      <c r="R432" s="48">
        <v>0</v>
      </c>
      <c r="S432" s="48">
        <v>0</v>
      </c>
      <c r="T432" s="48">
        <v>0</v>
      </c>
      <c r="U432" s="48">
        <f t="shared" si="37"/>
        <v>0</v>
      </c>
      <c r="V432" s="49">
        <f>+Tabla_Auditorias[[#This Row],[AJUSTE
EGRESO
COSTO]]+Tabla_Auditorias[[#This Row],[AJUSTE EGRESO
MAL ESTADO]]+Tabla_Auditorias[[#This Row],[AJUSTE
INGRESO
COSTO]]</f>
        <v>0</v>
      </c>
      <c r="W432" s="48">
        <v>0</v>
      </c>
      <c r="X432" s="48">
        <v>0</v>
      </c>
      <c r="Y432" s="48"/>
      <c r="Z432" s="48">
        <v>0</v>
      </c>
      <c r="AA432" s="50">
        <f>+SUM(Tabla_Auditorias[[#This Row],[AJUSTE
EGRESO
COSTO]:[AJUSTE
INGRESO
COSTO]])</f>
        <v>0</v>
      </c>
      <c r="AB432" s="36" t="str">
        <f t="shared" si="38"/>
        <v>BAJO</v>
      </c>
      <c r="AC432" s="37">
        <f>IFERROR(IF(M432=0,0,IF(ABS(O432)/M432=0,0,IF(ABS(O432)/M432&lt;=0.01,10,IF(ABS(O432)/M432&lt;=0.03,25,IF(ABS(O432)/M432&lt;=0.05,40,50)))))+IF(ABS(U432)=0,0,IF(ABS(U432)&lt;=200,10,IF(ABS(U432)&lt;=500,15,IF(ABS(U432)&lt;=2000,22,30))))+IF(COUNTIFS($B$382:B431,B432,$O$382:O431,"&lt;0")&gt;0,15,0)+IF(OR(Q432&lt;0,R432&lt;0),5,0),0)</f>
        <v>0</v>
      </c>
      <c r="AD432" s="35">
        <v>0</v>
      </c>
      <c r="AE432" s="41" t="s">
        <v>408</v>
      </c>
      <c r="AF432" s="38" t="str">
        <f>IF(Tabla_Auditorias[[#This Row],[TOTAL
COSTO
NETO]]&lt;&gt;0,"Si","No")</f>
        <v>No</v>
      </c>
      <c r="AG432" s="39" t="s">
        <v>221</v>
      </c>
      <c r="AH432" s="40">
        <v>0</v>
      </c>
      <c r="AI432" s="51" t="str">
        <f t="shared" si="39"/>
        <v/>
      </c>
      <c r="AJ432" s="38" t="str">
        <f t="shared" si="40"/>
        <v>Pendiente</v>
      </c>
    </row>
    <row r="433" spans="1:36" s="31" customFormat="1" ht="25.5" customHeight="1" x14ac:dyDescent="0.2">
      <c r="A433" s="32">
        <v>429</v>
      </c>
      <c r="B433" s="33" t="s">
        <v>83</v>
      </c>
      <c r="C433" s="32" t="s">
        <v>51</v>
      </c>
      <c r="D433" s="32" t="s">
        <v>57</v>
      </c>
      <c r="E433" s="32" t="s">
        <v>58</v>
      </c>
      <c r="F433" s="32">
        <v>1704</v>
      </c>
      <c r="G433" s="33" t="s">
        <v>59</v>
      </c>
      <c r="H433" s="32" t="s">
        <v>47</v>
      </c>
      <c r="I433" s="32" t="s">
        <v>512</v>
      </c>
      <c r="J433" s="34">
        <v>46114</v>
      </c>
      <c r="K433" s="34">
        <v>46114</v>
      </c>
      <c r="L433" s="32" t="s">
        <v>48</v>
      </c>
      <c r="M433" s="48">
        <v>105233.25260000001</v>
      </c>
      <c r="N433" s="48">
        <v>0</v>
      </c>
      <c r="O433" s="48">
        <v>-32.479999999999997</v>
      </c>
      <c r="P433" s="48">
        <v>-63.27</v>
      </c>
      <c r="Q433" s="48">
        <v>0</v>
      </c>
      <c r="R433" s="48">
        <v>0</v>
      </c>
      <c r="S433" s="48">
        <v>0</v>
      </c>
      <c r="T433" s="48">
        <v>-95.75</v>
      </c>
      <c r="U433" s="48">
        <f t="shared" si="37"/>
        <v>-95.75</v>
      </c>
      <c r="V433" s="49">
        <f>+Tabla_Auditorias[[#This Row],[AJUSTE
EGRESO
COSTO]]+Tabla_Auditorias[[#This Row],[AJUSTE EGRESO
MAL ESTADO]]+Tabla_Auditorias[[#This Row],[AJUSTE
INGRESO
COSTO]]</f>
        <v>-59.341211666666993</v>
      </c>
      <c r="W433" s="48">
        <v>-250.37053666666699</v>
      </c>
      <c r="X433" s="48">
        <v>0</v>
      </c>
      <c r="Y433" s="48"/>
      <c r="Z433" s="48">
        <v>191.029325</v>
      </c>
      <c r="AA433" s="50">
        <f>+SUM(Tabla_Auditorias[[#This Row],[AJUSTE
EGRESO
COSTO]:[AJUSTE
INGRESO
COSTO]])</f>
        <v>-59.341211666666993</v>
      </c>
      <c r="AB433" s="36" t="str">
        <f t="shared" si="38"/>
        <v>MEDIO</v>
      </c>
      <c r="AC433" s="37">
        <f>IFERROR(IF(M433=0,0,IF(ABS(O433)/M433=0,0,IF(ABS(O433)/M433&lt;=0.01,10,IF(ABS(O433)/M433&lt;=0.03,25,IF(ABS(O433)/M433&lt;=0.05,40,50)))))+IF(ABS(U433)=0,0,IF(ABS(U433)&lt;=200,10,IF(ABS(U433)&lt;=500,15,IF(ABS(U433)&lt;=2000,22,30))))+IF(COUNTIFS($B$382:B432,B433,$O$382:O432,"&lt;0")&gt;0,15,0)+IF(OR(Q433&lt;0,R433&lt;0),5,0),0)</f>
        <v>35</v>
      </c>
      <c r="AD433" s="35">
        <v>0</v>
      </c>
      <c r="AE433" s="41" t="s">
        <v>408</v>
      </c>
      <c r="AF433" s="38" t="str">
        <f>IF(Tabla_Auditorias[[#This Row],[TOTAL
COSTO
NETO]]&lt;&gt;0,"Si","No")</f>
        <v>Si</v>
      </c>
      <c r="AG433" s="39" t="s">
        <v>513</v>
      </c>
      <c r="AH433" s="40">
        <v>0</v>
      </c>
      <c r="AI433" s="51">
        <f t="shared" si="39"/>
        <v>0</v>
      </c>
      <c r="AJ433" s="38" t="str">
        <f t="shared" si="40"/>
        <v>Pendiente</v>
      </c>
    </row>
    <row r="434" spans="1:36" s="31" customFormat="1" ht="25.5" customHeight="1" x14ac:dyDescent="0.2">
      <c r="A434" s="32">
        <v>430</v>
      </c>
      <c r="B434" s="33" t="s">
        <v>376</v>
      </c>
      <c r="C434" s="32" t="s">
        <v>51</v>
      </c>
      <c r="D434" s="32" t="s">
        <v>377</v>
      </c>
      <c r="E434" s="32" t="s">
        <v>45</v>
      </c>
      <c r="F434" s="32">
        <v>1760</v>
      </c>
      <c r="G434" s="33" t="s">
        <v>314</v>
      </c>
      <c r="H434" s="32" t="s">
        <v>47</v>
      </c>
      <c r="I434" s="32" t="s">
        <v>514</v>
      </c>
      <c r="J434" s="34">
        <v>46119</v>
      </c>
      <c r="K434" s="34">
        <v>46120</v>
      </c>
      <c r="L434" s="32" t="s">
        <v>48</v>
      </c>
      <c r="M434" s="48">
        <v>403682.88699999999</v>
      </c>
      <c r="N434" s="48">
        <v>0</v>
      </c>
      <c r="O434" s="48">
        <v>0</v>
      </c>
      <c r="P434" s="48">
        <v>0</v>
      </c>
      <c r="Q434" s="48">
        <v>0</v>
      </c>
      <c r="R434" s="48">
        <v>0</v>
      </c>
      <c r="S434" s="48">
        <v>0</v>
      </c>
      <c r="T434" s="48">
        <f>N434+O434+P434+Q434+R434+S434</f>
        <v>0</v>
      </c>
      <c r="U434" s="48">
        <f t="shared" si="37"/>
        <v>0</v>
      </c>
      <c r="V434" s="49">
        <f>+Tabla_Auditorias[[#This Row],[AJUSTE
EGRESO
COSTO]]+Tabla_Auditorias[[#This Row],[AJUSTE EGRESO
MAL ESTADO]]+Tabla_Auditorias[[#This Row],[AJUSTE
INGRESO
COSTO]]</f>
        <v>0</v>
      </c>
      <c r="W434" s="48">
        <v>0</v>
      </c>
      <c r="X434" s="48">
        <v>0</v>
      </c>
      <c r="Y434" s="48">
        <v>0</v>
      </c>
      <c r="Z434" s="48">
        <v>0</v>
      </c>
      <c r="AA434" s="50">
        <f>W434+X434+Y434+Z434</f>
        <v>0</v>
      </c>
      <c r="AB434" s="36" t="str">
        <f t="shared" si="38"/>
        <v>MEDIO</v>
      </c>
      <c r="AC434" s="37">
        <f>IFERROR(IF(M434=0,0,IF(ABS(O434)/M434=0,0,IF(ABS(O434)/M434&lt;=0.01,10,IF(ABS(O434)/M434&lt;=0.03,25,IF(ABS(O434)/M434&lt;=0.05,40,50)))))+IF(ABS(U434)=0,0,IF(ABS(U434)&lt;=200,10,IF(ABS(U434)&lt;=500,15,IF(ABS(U434)&lt;=2000,22,30))))+IF(COUNTIFS($B$5:B433,B434,$O$5:O433,"&lt;0")&gt;0,15,0)+IF(OR(Q434&lt;0,R434&lt;0),5,0),0)</f>
        <v>15</v>
      </c>
      <c r="AD434" s="35">
        <v>0</v>
      </c>
      <c r="AE434" s="41" t="s">
        <v>408</v>
      </c>
      <c r="AF434" s="38" t="str">
        <f>IF(AA434&lt;&gt;0,"Si","No")</f>
        <v>No</v>
      </c>
      <c r="AG434" s="39" t="s">
        <v>221</v>
      </c>
      <c r="AH434" s="40">
        <v>0</v>
      </c>
      <c r="AI434" s="51" t="str">
        <f t="shared" si="39"/>
        <v/>
      </c>
      <c r="AJ434" s="38" t="str">
        <f t="shared" si="40"/>
        <v>Pendiente</v>
      </c>
    </row>
    <row r="435" spans="1:36" s="31" customFormat="1" ht="25.5" customHeight="1" x14ac:dyDescent="0.2">
      <c r="A435" s="32">
        <v>431</v>
      </c>
      <c r="B435" s="33" t="s">
        <v>456</v>
      </c>
      <c r="C435" s="32" t="s">
        <v>43</v>
      </c>
      <c r="D435" s="32" t="s">
        <v>44</v>
      </c>
      <c r="E435" s="32" t="s">
        <v>58</v>
      </c>
      <c r="F435" s="32">
        <v>1519</v>
      </c>
      <c r="G435" s="33" t="s">
        <v>59</v>
      </c>
      <c r="H435" s="32" t="s">
        <v>47</v>
      </c>
      <c r="I435" s="32" t="s">
        <v>515</v>
      </c>
      <c r="J435" s="34">
        <v>46121</v>
      </c>
      <c r="K435" s="34">
        <v>46127</v>
      </c>
      <c r="L435" s="32" t="s">
        <v>48</v>
      </c>
      <c r="M435" s="48">
        <v>123373.66710000001</v>
      </c>
      <c r="N435" s="48">
        <v>0</v>
      </c>
      <c r="O435" s="48">
        <v>-10.457000000000001</v>
      </c>
      <c r="P435" s="48">
        <v>0</v>
      </c>
      <c r="Q435" s="48">
        <v>0</v>
      </c>
      <c r="R435" s="48">
        <v>0</v>
      </c>
      <c r="S435" s="48">
        <v>0</v>
      </c>
      <c r="T435" s="48">
        <v>-10.457000000000001</v>
      </c>
      <c r="U435" s="48">
        <f t="shared" si="37"/>
        <v>-10.457000000000001</v>
      </c>
      <c r="V435" s="49">
        <f>+Tabla_Auditorias[[#This Row],[AJUSTE
EGRESO
COSTO]]+Tabla_Auditorias[[#This Row],[AJUSTE EGRESO
MAL ESTADO]]+Tabla_Auditorias[[#This Row],[AJUSTE
INGRESO
COSTO]]</f>
        <v>-9.2814374999999814</v>
      </c>
      <c r="W435" s="48">
        <v>-173.33098749999999</v>
      </c>
      <c r="X435" s="48">
        <v>0</v>
      </c>
      <c r="Y435" s="48"/>
      <c r="Z435" s="48">
        <v>164.04955000000001</v>
      </c>
      <c r="AA435" s="50">
        <f>+SUM(Tabla_Auditorias[[#This Row],[AJUSTE
EGRESO
COSTO]:[AJUSTE
INGRESO
COSTO]])</f>
        <v>-9.2814374999999814</v>
      </c>
      <c r="AB435" s="36" t="str">
        <f t="shared" si="38"/>
        <v>MEDIO</v>
      </c>
      <c r="AC435" s="37">
        <f>IFERROR(IF(M435=0,0,IF(ABS(O435)/M435=0,0,IF(ABS(O435)/M435&lt;=0.01,10,IF(ABS(O435)/M435&lt;=0.03,25,IF(ABS(O435)/M435&lt;=0.05,40,50)))))+IF(ABS(U435)=0,0,IF(ABS(U435)&lt;=200,10,IF(ABS(U435)&lt;=500,15,IF(ABS(U435)&lt;=2000,22,30))))+IF(COUNTIFS($B$382:B434,B435,$O$382:O434,"&lt;0")&gt;0,15,0)+IF(OR(Q435&lt;0,R435&lt;0),5,0),0)</f>
        <v>35</v>
      </c>
      <c r="AD435" s="35">
        <v>0</v>
      </c>
      <c r="AE435" s="41" t="s">
        <v>408</v>
      </c>
      <c r="AF435" s="38" t="str">
        <f>IF(Tabla_Auditorias[[#This Row],[TOTAL
COSTO
NETO]]&lt;&gt;0,"Si","No")</f>
        <v>Si</v>
      </c>
      <c r="AG435" s="39" t="s">
        <v>516</v>
      </c>
      <c r="AH435" s="40">
        <v>0</v>
      </c>
      <c r="AI435" s="51">
        <f t="shared" si="39"/>
        <v>0</v>
      </c>
      <c r="AJ435" s="38" t="str">
        <f t="shared" si="40"/>
        <v>Pendiente</v>
      </c>
    </row>
    <row r="436" spans="1:36" ht="25.5" customHeight="1" x14ac:dyDescent="0.25">
      <c r="A436" s="32">
        <v>432</v>
      </c>
      <c r="B436" s="33" t="s">
        <v>517</v>
      </c>
      <c r="C436" s="32" t="s">
        <v>43</v>
      </c>
      <c r="D436" s="32" t="s">
        <v>44</v>
      </c>
      <c r="E436" s="32" t="s">
        <v>53</v>
      </c>
      <c r="F436" s="32">
        <v>1510</v>
      </c>
      <c r="G436" s="33" t="s">
        <v>54</v>
      </c>
      <c r="H436" s="32" t="s">
        <v>47</v>
      </c>
      <c r="I436" s="32" t="s">
        <v>518</v>
      </c>
      <c r="J436" s="34">
        <v>46122</v>
      </c>
      <c r="K436" s="34">
        <v>46122</v>
      </c>
      <c r="L436" s="32" t="s">
        <v>48</v>
      </c>
      <c r="M436" s="48">
        <v>70103.287100000001</v>
      </c>
      <c r="N436" s="48">
        <v>122.88679999999999</v>
      </c>
      <c r="O436" s="48">
        <v>-245.69829999999999</v>
      </c>
      <c r="P436" s="48">
        <v>-54.190799999999903</v>
      </c>
      <c r="Q436" s="48">
        <v>0</v>
      </c>
      <c r="R436" s="48">
        <v>0</v>
      </c>
      <c r="S436" s="48">
        <v>0</v>
      </c>
      <c r="T436" s="48">
        <v>-177.00229999999999</v>
      </c>
      <c r="U436" s="48">
        <f t="shared" si="37"/>
        <v>-177.00229999999991</v>
      </c>
      <c r="V436" s="49">
        <f>+Tabla_Auditorias[[#This Row],[AJUSTE
EGRESO
COSTO]]+Tabla_Auditorias[[#This Row],[AJUSTE EGRESO
MAL ESTADO]]+Tabla_Auditorias[[#This Row],[AJUSTE
INGRESO
COSTO]]</f>
        <v>-77.532366666667031</v>
      </c>
      <c r="W436" s="48">
        <v>-657.44586666666703</v>
      </c>
      <c r="X436" s="48">
        <v>0</v>
      </c>
      <c r="Y436" s="48"/>
      <c r="Z436" s="48">
        <v>579.9135</v>
      </c>
      <c r="AA436" s="50">
        <f>+SUM(Tabla_Auditorias[[#This Row],[AJUSTE
EGRESO
COSTO]:[AJUSTE
INGRESO
COSTO]])</f>
        <v>-77.532366666667031</v>
      </c>
      <c r="AB436" s="36" t="str">
        <f t="shared" si="38"/>
        <v>MEDIO</v>
      </c>
      <c r="AC436" s="37">
        <f>IFERROR(IF(M436=0,0,IF(ABS(O436)/M436=0,0,IF(ABS(O436)/M436&lt;=0.01,10,IF(ABS(O436)/M436&lt;=0.03,25,IF(ABS(O436)/M436&lt;=0.05,40,50)))))+IF(ABS(U436)=0,0,IF(ABS(U436)&lt;=200,10,IF(ABS(U436)&lt;=500,15,IF(ABS(U436)&lt;=2000,22,30))))+IF(COUNTIFS($B$382:B435,B436,$O$382:O435,"&lt;0")&gt;0,15,0)+IF(OR(Q436&lt;0,R436&lt;0),5,0),0)</f>
        <v>20</v>
      </c>
      <c r="AD436" s="35">
        <v>0</v>
      </c>
      <c r="AE436" s="41" t="s">
        <v>408</v>
      </c>
      <c r="AF436" s="38" t="str">
        <f>IF(Tabla_Auditorias[[#This Row],[TOTAL
COSTO
NETO]]&lt;&gt;0,"Si","No")</f>
        <v>Si</v>
      </c>
      <c r="AG436" s="39"/>
      <c r="AH436" s="40">
        <v>0</v>
      </c>
      <c r="AI436" s="51">
        <f t="shared" si="39"/>
        <v>0</v>
      </c>
      <c r="AJ436" s="38" t="str">
        <f t="shared" si="40"/>
        <v>Pendiente</v>
      </c>
    </row>
    <row r="437" spans="1:36" ht="25.5" customHeight="1" x14ac:dyDescent="0.25">
      <c r="A437" s="32">
        <v>433</v>
      </c>
      <c r="B437" s="33" t="s">
        <v>123</v>
      </c>
      <c r="C437" s="32" t="s">
        <v>51</v>
      </c>
      <c r="D437" s="32" t="s">
        <v>64</v>
      </c>
      <c r="E437" s="32" t="s">
        <v>58</v>
      </c>
      <c r="F437" s="32">
        <v>1726</v>
      </c>
      <c r="G437" s="33" t="s">
        <v>59</v>
      </c>
      <c r="H437" s="32" t="s">
        <v>47</v>
      </c>
      <c r="I437" s="32" t="s">
        <v>519</v>
      </c>
      <c r="J437" s="34">
        <v>46125</v>
      </c>
      <c r="K437" s="34">
        <v>46128</v>
      </c>
      <c r="L437" s="32" t="s">
        <v>48</v>
      </c>
      <c r="M437" s="48">
        <v>347703.82589999901</v>
      </c>
      <c r="N437" s="48">
        <v>165.42400000000001</v>
      </c>
      <c r="O437" s="48">
        <v>0</v>
      </c>
      <c r="P437" s="48">
        <v>-0.98149999999999704</v>
      </c>
      <c r="Q437" s="48">
        <v>0</v>
      </c>
      <c r="R437" s="48">
        <v>0</v>
      </c>
      <c r="S437" s="48">
        <v>0</v>
      </c>
      <c r="T437" s="48">
        <f>IFERROR(N437+O437+P437+Q437+R437+S437,0)</f>
        <v>164.4425</v>
      </c>
      <c r="U437" s="48">
        <f>IFERROR(N437+O437+P437+Q437+S437,0)</f>
        <v>164.4425</v>
      </c>
      <c r="V437" s="49">
        <f>+Tabla_Auditorias[[#This Row],[AJUSTE
EGRESO
COSTO]]+Tabla_Auditorias[[#This Row],[AJUSTE EGRESO
MAL ESTADO]]+Tabla_Auditorias[[#This Row],[AJUSTE
INGRESO
COSTO]]</f>
        <v>82.4666</v>
      </c>
      <c r="W437" s="48">
        <v>-71.13</v>
      </c>
      <c r="X437" s="48">
        <v>0</v>
      </c>
      <c r="Y437" s="48"/>
      <c r="Z437" s="48">
        <v>153.5966</v>
      </c>
      <c r="AA437" s="50">
        <f>+SUM(Tabla_Auditorias[[#This Row],[AJUSTE
EGRESO
COSTO]:[AJUSTE
INGRESO
COSTO]])</f>
        <v>82.4666</v>
      </c>
      <c r="AB437" s="36" t="str">
        <f t="shared" si="38"/>
        <v>MEDIO</v>
      </c>
      <c r="AC437" s="37">
        <f>IFERROR(IF(M437=0,0,IF(ABS(O437)/M437=0,0,IF(ABS(O437)/M437&lt;=0.01,10,IF(ABS(O437)/M437&lt;=0.03,25,IF(ABS(O437)/M437&lt;=0.05,40,50)))))+IF(ABS(U437)=0,0,IF(ABS(U437)&lt;=200,10,IF(ABS(U437)&lt;=500,15,IF(ABS(U437)&lt;=2000,22,30))))+IF(COUNTIFS($B$382:B436,B437,$O$382:O436,"&lt;0")&gt;0,15,0)+IF(OR(Q437&lt;0,R437&lt;0),5,0),0)</f>
        <v>25</v>
      </c>
      <c r="AD437" s="35">
        <v>0</v>
      </c>
      <c r="AE437" s="41" t="s">
        <v>408</v>
      </c>
      <c r="AF437" s="38" t="str">
        <f>IF(Tabla_Auditorias[[#This Row],[TOTAL
COSTO
NETO]]&lt;&gt;0,"Si","No")</f>
        <v>Si</v>
      </c>
      <c r="AG437" s="39" t="s">
        <v>520</v>
      </c>
      <c r="AH437" s="40">
        <v>0</v>
      </c>
      <c r="AI437" s="51" t="str">
        <f t="shared" si="39"/>
        <v/>
      </c>
      <c r="AJ437" s="38" t="str">
        <f t="shared" si="40"/>
        <v>No Aplica</v>
      </c>
    </row>
    <row r="438" spans="1:36" ht="25.5" customHeight="1" x14ac:dyDescent="0.25">
      <c r="A438" s="32">
        <v>434</v>
      </c>
      <c r="B438" s="33" t="s">
        <v>233</v>
      </c>
      <c r="C438" s="32" t="s">
        <v>51</v>
      </c>
      <c r="D438" s="32" t="s">
        <v>52</v>
      </c>
      <c r="E438" s="32" t="s">
        <v>58</v>
      </c>
      <c r="F438" s="32">
        <v>1737</v>
      </c>
      <c r="G438" s="33" t="s">
        <v>59</v>
      </c>
      <c r="H438" s="32" t="s">
        <v>47</v>
      </c>
      <c r="I438" s="32" t="s">
        <v>521</v>
      </c>
      <c r="J438" s="34">
        <v>46132</v>
      </c>
      <c r="K438" s="34">
        <v>46132</v>
      </c>
      <c r="L438" s="32" t="s">
        <v>48</v>
      </c>
      <c r="M438" s="48">
        <v>30435.357599999999</v>
      </c>
      <c r="N438" s="48">
        <v>0</v>
      </c>
      <c r="O438" s="48">
        <v>0</v>
      </c>
      <c r="P438" s="48">
        <v>0</v>
      </c>
      <c r="Q438" s="48">
        <v>0</v>
      </c>
      <c r="R438" s="48">
        <v>0</v>
      </c>
      <c r="S438" s="48">
        <v>0</v>
      </c>
      <c r="T438" s="48">
        <f>IFERROR(N438+O438+P438+Q438+R438+S438,0)</f>
        <v>0</v>
      </c>
      <c r="U438" s="48">
        <f>IFERROR(N438+O438+P438+Q438+S438,0)</f>
        <v>0</v>
      </c>
      <c r="V438" s="49">
        <f>+Tabla_Auditorias[[#This Row],[AJUSTE
EGRESO
COSTO]]+Tabla_Auditorias[[#This Row],[AJUSTE EGRESO
MAL ESTADO]]+Tabla_Auditorias[[#This Row],[AJUSTE
INGRESO
COSTO]]</f>
        <v>0</v>
      </c>
      <c r="W438" s="48">
        <v>0</v>
      </c>
      <c r="X438" s="48">
        <v>0</v>
      </c>
      <c r="Y438" s="48"/>
      <c r="Z438" s="48">
        <v>0</v>
      </c>
      <c r="AA438" s="50">
        <f>+SUM(Tabla_Auditorias[[#This Row],[AJUSTE
EGRESO
COSTO]:[AJUSTE
INGRESO
COSTO]])</f>
        <v>0</v>
      </c>
      <c r="AB438" s="36" t="str">
        <f t="shared" si="38"/>
        <v>BAJO</v>
      </c>
      <c r="AC438" s="37">
        <f>IFERROR(IF(M438=0,0,IF(ABS(O438)/M438=0,0,IF(ABS(O438)/M438&lt;=0.01,10,IF(ABS(O438)/M438&lt;=0.03,25,IF(ABS(O438)/M438&lt;=0.05,40,50)))))+IF(ABS(U438)=0,0,IF(ABS(U438)&lt;=200,10,IF(ABS(U438)&lt;=500,15,IF(ABS(U438)&lt;=2000,22,30))))+IF(COUNTIFS($B$382:B437,B438,$O$382:O437,"&lt;0")&gt;0,15,0)+IF(OR(Q438&lt;0,R438&lt;0),5,0),0)</f>
        <v>0</v>
      </c>
      <c r="AD438" s="35">
        <v>0</v>
      </c>
      <c r="AE438" s="41" t="s">
        <v>408</v>
      </c>
      <c r="AF438" s="38" t="str">
        <f>IF(Tabla_Auditorias[[#This Row],[TOTAL
COSTO
NETO]]&lt;&gt;0,"Si","No")</f>
        <v>No</v>
      </c>
      <c r="AG438" s="39" t="s">
        <v>221</v>
      </c>
      <c r="AH438" s="40">
        <v>0</v>
      </c>
      <c r="AI438" s="51" t="str">
        <f t="shared" si="39"/>
        <v/>
      </c>
      <c r="AJ438" s="38" t="str">
        <f t="shared" si="40"/>
        <v>Pendiente</v>
      </c>
    </row>
    <row r="439" spans="1:36" ht="25.5" customHeight="1" x14ac:dyDescent="0.25">
      <c r="A439" s="32">
        <v>435</v>
      </c>
      <c r="B439" s="33" t="s">
        <v>82</v>
      </c>
      <c r="C439" s="32" t="s">
        <v>43</v>
      </c>
      <c r="D439" s="32" t="s">
        <v>44</v>
      </c>
      <c r="E439" s="32" t="s">
        <v>45</v>
      </c>
      <c r="F439" s="32">
        <v>1515</v>
      </c>
      <c r="G439" s="33" t="s">
        <v>314</v>
      </c>
      <c r="H439" s="32" t="s">
        <v>47</v>
      </c>
      <c r="I439" s="32" t="s">
        <v>522</v>
      </c>
      <c r="J439" s="34">
        <v>46133</v>
      </c>
      <c r="K439" s="34">
        <v>46134</v>
      </c>
      <c r="L439" s="32" t="s">
        <v>48</v>
      </c>
      <c r="M439" s="48">
        <v>209127.57740000001</v>
      </c>
      <c r="N439" s="48">
        <v>3539.19</v>
      </c>
      <c r="O439" s="48">
        <v>-3703.86</v>
      </c>
      <c r="P439" s="48">
        <v>402.23</v>
      </c>
      <c r="Q439" s="48">
        <v>0</v>
      </c>
      <c r="R439" s="48">
        <v>0</v>
      </c>
      <c r="S439" s="48">
        <v>0</v>
      </c>
      <c r="T439" s="48">
        <f>IFERROR(N439+O439+P439+Q439+R439+S439,0)</f>
        <v>237.55999999999995</v>
      </c>
      <c r="U439" s="48">
        <f>IFERROR(N439+O439+P439+Q439+S439,0)</f>
        <v>237.55999999999995</v>
      </c>
      <c r="V439" s="49">
        <f>+Tabla_Auditorias[[#This Row],[AJUSTE
EGRESO
COSTO]]+Tabla_Auditorias[[#This Row],[AJUSTE EGRESO
MAL ESTADO]]+Tabla_Auditorias[[#This Row],[AJUSTE
INGRESO
COSTO]]</f>
        <v>16.841081296990069</v>
      </c>
      <c r="W439" s="48">
        <v>-2297.2989160714301</v>
      </c>
      <c r="X439" s="48">
        <v>0</v>
      </c>
      <c r="Y439" s="48"/>
      <c r="Z439" s="48">
        <v>2314.1399973684202</v>
      </c>
      <c r="AA439" s="50">
        <f>+SUM(Tabla_Auditorias[[#This Row],[AJUSTE
EGRESO
COSTO]:[AJUSTE
INGRESO
COSTO]])</f>
        <v>16.841081296990069</v>
      </c>
      <c r="AB439" s="36" t="str">
        <f t="shared" si="38"/>
        <v>ALTO</v>
      </c>
      <c r="AC439" s="37">
        <f>IFERROR(IF(M439=0,0,IF(ABS(O439)/M439=0,0,IF(ABS(O439)/M439&lt;=0.01,10,IF(ABS(O439)/M439&lt;=0.03,25,IF(ABS(O439)/M439&lt;=0.05,40,50)))))+IF(ABS(U439)=0,0,IF(ABS(U439)&lt;=200,10,IF(ABS(U439)&lt;=500,15,IF(ABS(U439)&lt;=2000,22,30))))+IF(COUNTIFS($B$382:B438,B439,$O$382:O438,"&lt;0")&gt;0,15,0)+IF(OR(Q439&lt;0,R439&lt;0),5,0),0)</f>
        <v>40</v>
      </c>
      <c r="AD439" s="35">
        <v>0</v>
      </c>
      <c r="AE439" s="41" t="s">
        <v>408</v>
      </c>
      <c r="AF439" s="38" t="str">
        <f>IF(Tabla_Auditorias[[#This Row],[TOTAL
COSTO
NETO]]&lt;&gt;0,"Si","No")</f>
        <v>Si</v>
      </c>
      <c r="AG439" s="39"/>
      <c r="AH439" s="40">
        <v>0</v>
      </c>
      <c r="AI439" s="51" t="str">
        <f t="shared" si="39"/>
        <v/>
      </c>
      <c r="AJ439" s="38" t="str">
        <f t="shared" si="40"/>
        <v>No Aplica</v>
      </c>
    </row>
    <row r="440" spans="1:36" ht="25.5" customHeight="1" x14ac:dyDescent="0.25">
      <c r="A440" s="32">
        <v>436</v>
      </c>
      <c r="B440" s="33" t="s">
        <v>367</v>
      </c>
      <c r="C440" s="32" t="s">
        <v>51</v>
      </c>
      <c r="D440" s="32" t="s">
        <v>362</v>
      </c>
      <c r="E440" s="32" t="s">
        <v>45</v>
      </c>
      <c r="F440" s="32">
        <v>1718</v>
      </c>
      <c r="G440" s="33" t="s">
        <v>314</v>
      </c>
      <c r="H440" s="32" t="s">
        <v>47</v>
      </c>
      <c r="I440" s="32" t="s">
        <v>523</v>
      </c>
      <c r="J440" s="34">
        <v>46133</v>
      </c>
      <c r="K440" s="34">
        <v>46147</v>
      </c>
      <c r="L440" s="32" t="s">
        <v>48</v>
      </c>
      <c r="M440" s="48">
        <v>250155.6184222642</v>
      </c>
      <c r="N440" s="48">
        <v>0</v>
      </c>
      <c r="O440" s="48">
        <v>0</v>
      </c>
      <c r="P440" s="48">
        <v>0</v>
      </c>
      <c r="Q440" s="48">
        <v>0</v>
      </c>
      <c r="R440" s="48">
        <v>0</v>
      </c>
      <c r="S440" s="48">
        <v>0</v>
      </c>
      <c r="T440" s="48">
        <f t="shared" ref="T440:T477" si="41">N440+O440+P440+Q440+R440+S440</f>
        <v>0</v>
      </c>
      <c r="U440" s="48">
        <f t="shared" ref="U440:U471" si="42">N440+O440+P440+Q440+S440</f>
        <v>0</v>
      </c>
      <c r="V440" s="49">
        <f>+Tabla_Auditorias[[#This Row],[AJUSTE
EGRESO
COSTO]]+Tabla_Auditorias[[#This Row],[AJUSTE EGRESO
MAL ESTADO]]+Tabla_Auditorias[[#This Row],[AJUSTE
INGRESO
COSTO]]</f>
        <v>-34.828316843910898</v>
      </c>
      <c r="W440" s="48">
        <v>-1395.3690742981009</v>
      </c>
      <c r="X440" s="48">
        <v>0</v>
      </c>
      <c r="Y440" s="48">
        <v>0</v>
      </c>
      <c r="Z440" s="48">
        <v>1360.54075745419</v>
      </c>
      <c r="AA440" s="50">
        <f t="shared" ref="AA440:AA447" si="43">W440+X440+Y440+Z440</f>
        <v>-34.828316843910898</v>
      </c>
      <c r="AB440" s="36" t="str">
        <f t="shared" si="38"/>
        <v>MEDIO</v>
      </c>
      <c r="AC440" s="37">
        <f>IFERROR(IF(M440=0,0,IF(ABS(O440)/M440=0,0,IF(ABS(O440)/M440&lt;=0.01,10,IF(ABS(O440)/M440&lt;=0.03,25,IF(ABS(O440)/M440&lt;=0.05,40,50)))))+IF(ABS(U440)=0,0,IF(ABS(U440)&lt;=200,10,IF(ABS(U440)&lt;=500,15,IF(ABS(U440)&lt;=2000,22,30))))+IF(COUNTIFS($B$5:B439,B440,$O$5:O439,"&lt;0")&gt;0,15,0)+IF(OR(Q440&lt;0,R440&lt;0),5,0),0)</f>
        <v>15</v>
      </c>
      <c r="AD440" s="35">
        <v>0</v>
      </c>
      <c r="AE440" s="41" t="s">
        <v>408</v>
      </c>
      <c r="AF440" s="38" t="str">
        <f t="shared" ref="AF440:AF447" si="44">IF(AA440&lt;&gt;0,"Si","No")</f>
        <v>Si</v>
      </c>
      <c r="AG440" s="39" t="s">
        <v>221</v>
      </c>
      <c r="AH440" s="40">
        <v>0</v>
      </c>
      <c r="AI440" s="51">
        <f t="shared" si="39"/>
        <v>0</v>
      </c>
      <c r="AJ440" s="38" t="str">
        <f t="shared" si="40"/>
        <v>Pendiente</v>
      </c>
    </row>
    <row r="441" spans="1:36" ht="42" customHeight="1" x14ac:dyDescent="0.25">
      <c r="A441" s="32">
        <v>437</v>
      </c>
      <c r="B441" s="33" t="s">
        <v>222</v>
      </c>
      <c r="C441" s="32" t="s">
        <v>43</v>
      </c>
      <c r="D441" s="32" t="s">
        <v>44</v>
      </c>
      <c r="E441" s="32" t="s">
        <v>58</v>
      </c>
      <c r="F441" s="32">
        <v>1501</v>
      </c>
      <c r="G441" s="33" t="s">
        <v>59</v>
      </c>
      <c r="H441" s="32" t="s">
        <v>47</v>
      </c>
      <c r="I441" s="32" t="s">
        <v>524</v>
      </c>
      <c r="J441" s="34">
        <v>46134</v>
      </c>
      <c r="K441" s="34">
        <v>46137</v>
      </c>
      <c r="L441" s="32" t="s">
        <v>48</v>
      </c>
      <c r="M441" s="48">
        <v>130188.0693</v>
      </c>
      <c r="N441" s="48">
        <v>772.18</v>
      </c>
      <c r="O441" s="48">
        <v>-281.99</v>
      </c>
      <c r="P441" s="48">
        <v>14.65</v>
      </c>
      <c r="Q441" s="48">
        <v>-494.9</v>
      </c>
      <c r="R441" s="48">
        <v>0</v>
      </c>
      <c r="S441" s="48">
        <v>0</v>
      </c>
      <c r="T441" s="48">
        <f t="shared" si="41"/>
        <v>9.9399999999999409</v>
      </c>
      <c r="U441" s="48">
        <f t="shared" si="42"/>
        <v>9.9399999999999409</v>
      </c>
      <c r="V441" s="49">
        <f>+Tabla_Auditorias[[#This Row],[AJUSTE
EGRESO
COSTO]]+Tabla_Auditorias[[#This Row],[AJUSTE EGRESO
MAL ESTADO]]+Tabla_Auditorias[[#This Row],[AJUSTE
INGRESO
COSTO]]</f>
        <v>-87.931466666666893</v>
      </c>
      <c r="W441" s="48">
        <v>-468.39011666666698</v>
      </c>
      <c r="X441" s="48">
        <v>-327.47244999999998</v>
      </c>
      <c r="Y441" s="48">
        <v>0</v>
      </c>
      <c r="Z441" s="48">
        <v>707.93110000000001</v>
      </c>
      <c r="AA441" s="50">
        <f t="shared" si="43"/>
        <v>-87.931466666666893</v>
      </c>
      <c r="AB441" s="36" t="str">
        <f t="shared" si="38"/>
        <v>ALTO</v>
      </c>
      <c r="AC441" s="37">
        <f>IFERROR(IF(M441=0,0,IF(ABS(O441)/M441=0,0,IF(ABS(O441)/M441&lt;=0.01,10,IF(ABS(O441)/M441&lt;=0.03,25,IF(ABS(O441)/M441&lt;=0.05,40,50)))))+IF(ABS(U441)=0,0,IF(ABS(U441)&lt;=200,10,IF(ABS(U441)&lt;=500,15,IF(ABS(U441)&lt;=2000,22,30))))+IF(COUNTIFS($B$382:B440,B441,$O$382:O440,"&lt;0")&gt;0,15,0)+IF(OR(Q441&lt;0,R441&lt;0),5,0),0)</f>
        <v>40</v>
      </c>
      <c r="AD441" s="35">
        <v>0</v>
      </c>
      <c r="AE441" s="41" t="s">
        <v>408</v>
      </c>
      <c r="AF441" s="38" t="str">
        <f t="shared" si="44"/>
        <v>Si</v>
      </c>
      <c r="AG441" s="39" t="s">
        <v>525</v>
      </c>
      <c r="AH441" s="40">
        <v>0</v>
      </c>
      <c r="AI441" s="51">
        <f t="shared" si="39"/>
        <v>0</v>
      </c>
      <c r="AJ441" s="38" t="str">
        <f t="shared" si="40"/>
        <v>Pendiente</v>
      </c>
    </row>
    <row r="442" spans="1:36" ht="42" customHeight="1" x14ac:dyDescent="0.25">
      <c r="A442" s="32">
        <v>438</v>
      </c>
      <c r="B442" s="33" t="s">
        <v>489</v>
      </c>
      <c r="C442" s="32" t="s">
        <v>43</v>
      </c>
      <c r="D442" s="32" t="s">
        <v>44</v>
      </c>
      <c r="E442" s="32" t="s">
        <v>58</v>
      </c>
      <c r="F442" s="32">
        <v>1514</v>
      </c>
      <c r="G442" s="33" t="s">
        <v>59</v>
      </c>
      <c r="H442" s="32" t="s">
        <v>47</v>
      </c>
      <c r="I442" s="32" t="s">
        <v>526</v>
      </c>
      <c r="J442" s="34">
        <v>46136</v>
      </c>
      <c r="K442" s="34">
        <v>46137</v>
      </c>
      <c r="L442" s="32" t="s">
        <v>48</v>
      </c>
      <c r="M442" s="48">
        <v>75904.512600000002</v>
      </c>
      <c r="N442" s="48">
        <v>78.86</v>
      </c>
      <c r="O442" s="48">
        <v>-580.52</v>
      </c>
      <c r="P442" s="48">
        <v>31.940000000000101</v>
      </c>
      <c r="Q442" s="48">
        <v>0</v>
      </c>
      <c r="R442" s="48">
        <v>0</v>
      </c>
      <c r="S442" s="48">
        <v>0</v>
      </c>
      <c r="T442" s="48">
        <f t="shared" si="41"/>
        <v>-469.71999999999986</v>
      </c>
      <c r="U442" s="48">
        <f t="shared" si="42"/>
        <v>-469.71999999999986</v>
      </c>
      <c r="V442" s="49">
        <f>+Tabla_Auditorias[[#This Row],[AJUSTE
EGRESO
COSTO]]+Tabla_Auditorias[[#This Row],[AJUSTE EGRESO
MAL ESTADO]]+Tabla_Auditorias[[#This Row],[AJUSTE
INGRESO
COSTO]]</f>
        <v>-272.09448047618991</v>
      </c>
      <c r="W442" s="48">
        <v>-816.94557333333296</v>
      </c>
      <c r="X442" s="48">
        <v>0</v>
      </c>
      <c r="Y442" s="48">
        <v>0</v>
      </c>
      <c r="Z442" s="48">
        <v>544.85109285714304</v>
      </c>
      <c r="AA442" s="50">
        <f t="shared" si="43"/>
        <v>-272.09448047618991</v>
      </c>
      <c r="AB442" s="36" t="str">
        <f t="shared" si="38"/>
        <v>ALTO</v>
      </c>
      <c r="AC442" s="37">
        <f>IFERROR(IF(M442=0,0,IF(ABS(O442)/M442=0,0,IF(ABS(O442)/M442&lt;=0.01,10,IF(ABS(O442)/M442&lt;=0.03,25,IF(ABS(O442)/M442&lt;=0.05,40,50)))))+IF(ABS(U442)=0,0,IF(ABS(U442)&lt;=200,10,IF(ABS(U442)&lt;=500,15,IF(ABS(U442)&lt;=2000,22,30))))+IF(COUNTIFS($B$382:B441,B442,$O$382:O441,"&lt;0")&gt;0,15,0)+IF(OR(Q442&lt;0,R442&lt;0),5,0),0)</f>
        <v>40</v>
      </c>
      <c r="AD442" s="35">
        <v>0</v>
      </c>
      <c r="AE442" s="107" t="s">
        <v>529</v>
      </c>
      <c r="AF442" s="38" t="str">
        <f t="shared" si="44"/>
        <v>Si</v>
      </c>
      <c r="AG442" s="39" t="s">
        <v>527</v>
      </c>
      <c r="AH442" s="40">
        <v>0</v>
      </c>
      <c r="AI442" s="51">
        <f t="shared" si="39"/>
        <v>0</v>
      </c>
      <c r="AJ442" s="38" t="str">
        <f t="shared" si="40"/>
        <v>Pendiente</v>
      </c>
    </row>
    <row r="443" spans="1:36" ht="42" customHeight="1" x14ac:dyDescent="0.25">
      <c r="A443" s="32">
        <v>439</v>
      </c>
      <c r="B443" s="33" t="s">
        <v>131</v>
      </c>
      <c r="C443" s="32" t="s">
        <v>51</v>
      </c>
      <c r="D443" s="32" t="s">
        <v>57</v>
      </c>
      <c r="E443" s="32" t="s">
        <v>45</v>
      </c>
      <c r="F443" s="32">
        <v>1703</v>
      </c>
      <c r="G443" s="33" t="s">
        <v>314</v>
      </c>
      <c r="H443" s="32" t="s">
        <v>47</v>
      </c>
      <c r="I443" s="32" t="s">
        <v>528</v>
      </c>
      <c r="J443" s="34">
        <v>46141</v>
      </c>
      <c r="K443" s="34">
        <v>46142</v>
      </c>
      <c r="L443" s="32" t="s">
        <v>48</v>
      </c>
      <c r="M443" s="48">
        <v>89711.916099999929</v>
      </c>
      <c r="N443" s="48">
        <v>23.94</v>
      </c>
      <c r="O443" s="48">
        <v>-41.5</v>
      </c>
      <c r="P443" s="48">
        <v>9.8499999999999943</v>
      </c>
      <c r="Q443" s="48">
        <v>0</v>
      </c>
      <c r="R443" s="48">
        <v>0</v>
      </c>
      <c r="S443" s="48">
        <v>0</v>
      </c>
      <c r="T443" s="48">
        <f t="shared" si="41"/>
        <v>-7.7100000000000044</v>
      </c>
      <c r="U443" s="48">
        <f t="shared" si="42"/>
        <v>-7.7100000000000044</v>
      </c>
      <c r="V443" s="49">
        <f>+Tabla_Auditorias[[#This Row],[AJUSTE
EGRESO
COSTO]]+Tabla_Auditorias[[#This Row],[AJUSTE EGRESO
MAL ESTADO]]+Tabla_Auditorias[[#This Row],[AJUSTE
INGRESO
COSTO]]</f>
        <v>4.084469999999996</v>
      </c>
      <c r="W443" s="48">
        <v>-93.542230000000004</v>
      </c>
      <c r="X443" s="48">
        <v>0</v>
      </c>
      <c r="Y443" s="48">
        <v>0</v>
      </c>
      <c r="Z443" s="48">
        <v>97.6267</v>
      </c>
      <c r="AA443" s="50">
        <f t="shared" si="43"/>
        <v>4.084469999999996</v>
      </c>
      <c r="AB443" s="36" t="str">
        <f t="shared" si="38"/>
        <v>MEDIO</v>
      </c>
      <c r="AC443" s="37">
        <f>IFERROR(IF(M443=0,0,IF(ABS(O443)/M443=0,0,IF(ABS(O443)/M443&lt;=0.01,10,IF(ABS(O443)/M443&lt;=0.03,25,IF(ABS(O443)/M443&lt;=0.05,40,50)))))+IF(ABS(U443)=0,0,IF(ABS(U443)&lt;=200,10,IF(ABS(U443)&lt;=500,15,IF(ABS(U443)&lt;=2000,22,30))))+IF(COUNTIFS($B$382:B442,B443,$O$382:O442,"&lt;0")&gt;0,15,0)+IF(OR(Q443&lt;0,R443&lt;0),5,0),0)</f>
        <v>35</v>
      </c>
      <c r="AD443" s="35">
        <v>0</v>
      </c>
      <c r="AE443" s="107" t="s">
        <v>529</v>
      </c>
      <c r="AF443" s="38" t="str">
        <f t="shared" si="44"/>
        <v>Si</v>
      </c>
      <c r="AG443" s="39" t="s">
        <v>530</v>
      </c>
      <c r="AH443" s="40">
        <v>0</v>
      </c>
      <c r="AI443" s="51" t="str">
        <f t="shared" si="39"/>
        <v/>
      </c>
      <c r="AJ443" s="38" t="str">
        <f t="shared" si="40"/>
        <v>No Aplica</v>
      </c>
    </row>
    <row r="444" spans="1:36" ht="42" customHeight="1" x14ac:dyDescent="0.25">
      <c r="A444" s="32">
        <v>440</v>
      </c>
      <c r="B444" s="33" t="s">
        <v>77</v>
      </c>
      <c r="C444" s="32" t="s">
        <v>43</v>
      </c>
      <c r="D444" s="32" t="s">
        <v>44</v>
      </c>
      <c r="E444" s="32" t="s">
        <v>58</v>
      </c>
      <c r="F444" s="32">
        <v>1508</v>
      </c>
      <c r="G444" s="33" t="s">
        <v>59</v>
      </c>
      <c r="H444" s="32" t="s">
        <v>47</v>
      </c>
      <c r="I444" s="32" t="s">
        <v>531</v>
      </c>
      <c r="J444" s="34">
        <v>46141</v>
      </c>
      <c r="K444" s="34">
        <v>46142</v>
      </c>
      <c r="L444" s="32" t="s">
        <v>48</v>
      </c>
      <c r="M444" s="48">
        <v>212467.01459999999</v>
      </c>
      <c r="N444" s="48">
        <v>308.83999999999997</v>
      </c>
      <c r="O444" s="48">
        <v>-226.64505</v>
      </c>
      <c r="P444" s="48">
        <v>-102.82299999999999</v>
      </c>
      <c r="Q444" s="48">
        <v>0</v>
      </c>
      <c r="R444" s="48">
        <v>0</v>
      </c>
      <c r="S444" s="48">
        <v>0</v>
      </c>
      <c r="T444" s="48">
        <f t="shared" si="41"/>
        <v>-20.628050000000016</v>
      </c>
      <c r="U444" s="48">
        <f t="shared" si="42"/>
        <v>-20.628050000000016</v>
      </c>
      <c r="V444" s="49">
        <f>+Tabla_Auditorias[[#This Row],[AJUSTE
EGRESO
COSTO]]+Tabla_Auditorias[[#This Row],[AJUSTE EGRESO
MAL ESTADO]]+Tabla_Auditorias[[#This Row],[AJUSTE
INGRESO
COSTO]]</f>
        <v>-18.054561666670111</v>
      </c>
      <c r="W444" s="48">
        <f>-130.72-899.72</f>
        <v>-1030.44</v>
      </c>
      <c r="X444" s="48">
        <v>0</v>
      </c>
      <c r="Y444" s="48">
        <v>0</v>
      </c>
      <c r="Z444" s="48">
        <v>1012.3854383333299</v>
      </c>
      <c r="AA444" s="50">
        <f t="shared" si="43"/>
        <v>-18.054561666670111</v>
      </c>
      <c r="AB444" s="36" t="str">
        <f t="shared" si="38"/>
        <v>MEDIO</v>
      </c>
      <c r="AC444" s="37">
        <f>IFERROR(IF(M444=0,0,IF(ABS(O444)/M444=0,0,IF(ABS(O444)/M444&lt;=0.01,10,IF(ABS(O444)/M444&lt;=0.03,25,IF(ABS(O444)/M444&lt;=0.05,40,50)))))+IF(ABS(U444)=0,0,IF(ABS(U444)&lt;=200,10,IF(ABS(U444)&lt;=500,15,IF(ABS(U444)&lt;=2000,22,30))))+IF(COUNTIFS($B$382:B443,B444,$O$382:O443,"&lt;0")&gt;0,15,0)+IF(OR(Q444&lt;0,R444&lt;0),5,0),0)</f>
        <v>35</v>
      </c>
      <c r="AD444" s="35">
        <v>0</v>
      </c>
      <c r="AE444" s="41" t="s">
        <v>49</v>
      </c>
      <c r="AF444" s="38" t="str">
        <f t="shared" si="44"/>
        <v>Si</v>
      </c>
      <c r="AG444" s="39" t="s">
        <v>532</v>
      </c>
      <c r="AH444" s="40">
        <v>19.86</v>
      </c>
      <c r="AI444" s="51">
        <f t="shared" si="39"/>
        <v>1.0999990122531107</v>
      </c>
      <c r="AJ444" s="38" t="str">
        <f t="shared" si="40"/>
        <v>Cobrado Total</v>
      </c>
    </row>
    <row r="445" spans="1:36" ht="38.25" customHeight="1" x14ac:dyDescent="0.25">
      <c r="A445" s="32">
        <v>441</v>
      </c>
      <c r="B445" s="33" t="s">
        <v>371</v>
      </c>
      <c r="C445" s="32" t="s">
        <v>51</v>
      </c>
      <c r="D445" s="32" t="s">
        <v>362</v>
      </c>
      <c r="E445" s="32" t="s">
        <v>53</v>
      </c>
      <c r="F445" s="32"/>
      <c r="G445" s="33" t="s">
        <v>372</v>
      </c>
      <c r="H445" s="32" t="s">
        <v>47</v>
      </c>
      <c r="I445" s="32" t="s">
        <v>533</v>
      </c>
      <c r="J445" s="34">
        <v>46142</v>
      </c>
      <c r="K445" s="34">
        <v>46149</v>
      </c>
      <c r="L445" s="32" t="s">
        <v>48</v>
      </c>
      <c r="M445" s="48">
        <v>17257.13</v>
      </c>
      <c r="N445" s="48">
        <v>0</v>
      </c>
      <c r="O445" s="48">
        <v>-8.98</v>
      </c>
      <c r="P445" s="48">
        <v>3.23</v>
      </c>
      <c r="Q445" s="48">
        <v>0</v>
      </c>
      <c r="R445" s="48">
        <v>0</v>
      </c>
      <c r="S445" s="48">
        <v>0</v>
      </c>
      <c r="T445" s="48">
        <f t="shared" si="41"/>
        <v>-5.75</v>
      </c>
      <c r="U445" s="48">
        <f t="shared" si="42"/>
        <v>-5.75</v>
      </c>
      <c r="V445" s="49">
        <f>+Tabla_Auditorias[[#This Row],[AJUSTE
EGRESO
COSTO]]+Tabla_Auditorias[[#This Row],[AJUSTE EGRESO
MAL ESTADO]]+Tabla_Auditorias[[#This Row],[AJUSTE
INGRESO
COSTO]]</f>
        <v>-5.75</v>
      </c>
      <c r="W445" s="48">
        <f>-8.98-29.59</f>
        <v>-38.57</v>
      </c>
      <c r="X445" s="48">
        <v>0</v>
      </c>
      <c r="Y445" s="48">
        <v>0</v>
      </c>
      <c r="Z445" s="48">
        <v>32.82</v>
      </c>
      <c r="AA445" s="50">
        <f t="shared" si="43"/>
        <v>-5.75</v>
      </c>
      <c r="AB445" s="36" t="str">
        <f t="shared" si="38"/>
        <v>MEDIO</v>
      </c>
      <c r="AC445" s="37">
        <f>IFERROR(IF(M445=0,0,IF(ABS(O445)/M445=0,0,IF(ABS(O445)/M445&lt;=0.01,10,IF(ABS(O445)/M445&lt;=0.03,25,IF(ABS(O445)/M445&lt;=0.05,40,50)))))+IF(ABS(U445)=0,0,IF(ABS(U445)&lt;=200,10,IF(ABS(U445)&lt;=500,15,IF(ABS(U445)&lt;=2000,22,30))))+IF(COUNTIFS($B$5:B444,B445,$O$5:O444,"&lt;0")&gt;0,15,0)+IF(OR(Q445&lt;0,R445&lt;0),5,0),0)</f>
        <v>35</v>
      </c>
      <c r="AD445" s="35">
        <v>0</v>
      </c>
      <c r="AE445" s="41" t="s">
        <v>432</v>
      </c>
      <c r="AF445" s="38" t="str">
        <f t="shared" si="44"/>
        <v>Si</v>
      </c>
      <c r="AG445" s="39" t="s">
        <v>534</v>
      </c>
      <c r="AH445" s="40">
        <v>0</v>
      </c>
      <c r="AI445" s="51">
        <f t="shared" si="39"/>
        <v>0</v>
      </c>
      <c r="AJ445" s="38" t="str">
        <f t="shared" si="40"/>
        <v>Pendiente</v>
      </c>
    </row>
    <row r="446" spans="1:36" x14ac:dyDescent="0.25">
      <c r="A446" s="32">
        <v>442</v>
      </c>
      <c r="B446" s="33" t="s">
        <v>535</v>
      </c>
      <c r="C446" s="32" t="s">
        <v>51</v>
      </c>
      <c r="D446" s="32" t="s">
        <v>57</v>
      </c>
      <c r="E446" s="32" t="s">
        <v>45</v>
      </c>
      <c r="F446" s="32">
        <v>1748</v>
      </c>
      <c r="G446" s="33" t="s">
        <v>314</v>
      </c>
      <c r="H446" s="32" t="s">
        <v>47</v>
      </c>
      <c r="I446" s="32" t="s">
        <v>536</v>
      </c>
      <c r="J446" s="34">
        <v>46144</v>
      </c>
      <c r="K446" s="34">
        <v>46146</v>
      </c>
      <c r="L446" s="32" t="s">
        <v>48</v>
      </c>
      <c r="M446" s="48">
        <v>38974.535600000003</v>
      </c>
      <c r="N446" s="48">
        <v>0</v>
      </c>
      <c r="O446" s="48">
        <v>0</v>
      </c>
      <c r="P446" s="48">
        <v>0</v>
      </c>
      <c r="Q446" s="48">
        <v>0</v>
      </c>
      <c r="R446" s="48">
        <v>0</v>
      </c>
      <c r="S446" s="48">
        <v>0</v>
      </c>
      <c r="T446" s="48">
        <f t="shared" si="41"/>
        <v>0</v>
      </c>
      <c r="U446" s="48">
        <f t="shared" si="42"/>
        <v>0</v>
      </c>
      <c r="V446" s="49">
        <f>+Tabla_Auditorias[[#This Row],[AJUSTE
EGRESO
COSTO]]+Tabla_Auditorias[[#This Row],[AJUSTE EGRESO
MAL ESTADO]]+Tabla_Auditorias[[#This Row],[AJUSTE
INGRESO
COSTO]]</f>
        <v>0</v>
      </c>
      <c r="W446" s="48">
        <v>0</v>
      </c>
      <c r="X446" s="48">
        <v>0</v>
      </c>
      <c r="Y446" s="48">
        <v>0</v>
      </c>
      <c r="Z446" s="48">
        <v>0</v>
      </c>
      <c r="AA446" s="50">
        <f t="shared" si="43"/>
        <v>0</v>
      </c>
      <c r="AB446" s="36" t="str">
        <f t="shared" si="38"/>
        <v>BAJO</v>
      </c>
      <c r="AC446" s="37">
        <f>IFERROR(IF(M446=0,0,IF(ABS(O446)/M446=0,0,IF(ABS(O446)/M446&lt;=0.01,10,IF(ABS(O446)/M446&lt;=0.03,25,IF(ABS(O446)/M446&lt;=0.05,40,50)))))+IF(ABS(U446)=0,0,IF(ABS(U446)&lt;=200,10,IF(ABS(U446)&lt;=500,15,IF(ABS(U446)&lt;=2000,22,30))))+IF(COUNTIFS($B$382:B445,B446,$O$382:O445,"&lt;0")&gt;0,15,0)+IF(OR(Q446&lt;0,R446&lt;0),5,0),0)</f>
        <v>0</v>
      </c>
      <c r="AD446" s="35">
        <v>0</v>
      </c>
      <c r="AE446" s="107" t="s">
        <v>529</v>
      </c>
      <c r="AF446" s="38" t="str">
        <f t="shared" si="44"/>
        <v>No</v>
      </c>
      <c r="AG446" s="39" t="s">
        <v>221</v>
      </c>
      <c r="AH446" s="40">
        <v>0</v>
      </c>
      <c r="AI446" s="51" t="str">
        <f t="shared" si="39"/>
        <v/>
      </c>
      <c r="AJ446" s="38" t="str">
        <f t="shared" si="40"/>
        <v>Pendiente</v>
      </c>
    </row>
    <row r="447" spans="1:36" ht="25.5" customHeight="1" x14ac:dyDescent="0.25">
      <c r="A447" s="32">
        <v>443</v>
      </c>
      <c r="B447" s="33" t="s">
        <v>510</v>
      </c>
      <c r="C447" s="32" t="s">
        <v>51</v>
      </c>
      <c r="D447" s="32" t="s">
        <v>377</v>
      </c>
      <c r="E447" s="32" t="s">
        <v>45</v>
      </c>
      <c r="F447" s="32">
        <v>1758</v>
      </c>
      <c r="G447" s="33" t="s">
        <v>314</v>
      </c>
      <c r="H447" s="32" t="s">
        <v>47</v>
      </c>
      <c r="I447" s="32" t="s">
        <v>537</v>
      </c>
      <c r="J447" s="34">
        <v>46146</v>
      </c>
      <c r="K447" s="34">
        <v>46147</v>
      </c>
      <c r="L447" s="32" t="s">
        <v>48</v>
      </c>
      <c r="M447" s="48">
        <v>634921.48099999991</v>
      </c>
      <c r="N447" s="48">
        <v>0</v>
      </c>
      <c r="O447" s="48">
        <v>0</v>
      </c>
      <c r="P447" s="48">
        <v>0</v>
      </c>
      <c r="Q447" s="48">
        <v>0</v>
      </c>
      <c r="R447" s="48">
        <v>0</v>
      </c>
      <c r="S447" s="48">
        <v>0</v>
      </c>
      <c r="T447" s="48">
        <f t="shared" si="41"/>
        <v>0</v>
      </c>
      <c r="U447" s="48">
        <f t="shared" si="42"/>
        <v>0</v>
      </c>
      <c r="V447" s="49">
        <f>+Tabla_Auditorias[[#This Row],[AJUSTE
EGRESO
COSTO]]+Tabla_Auditorias[[#This Row],[AJUSTE EGRESO
MAL ESTADO]]+Tabla_Auditorias[[#This Row],[AJUSTE
INGRESO
COSTO]]</f>
        <v>0</v>
      </c>
      <c r="W447" s="48">
        <v>0</v>
      </c>
      <c r="X447" s="48">
        <v>0</v>
      </c>
      <c r="Y447" s="48">
        <v>0</v>
      </c>
      <c r="Z447" s="48">
        <v>0</v>
      </c>
      <c r="AA447" s="50">
        <f t="shared" si="43"/>
        <v>0</v>
      </c>
      <c r="AB447" s="36" t="str">
        <f t="shared" si="38"/>
        <v>BAJO</v>
      </c>
      <c r="AC447" s="37">
        <f>IFERROR(IF(M447=0,0,IF(ABS(O447)/M447=0,0,IF(ABS(O447)/M447&lt;=0.01,10,IF(ABS(O447)/M447&lt;=0.03,25,IF(ABS(O447)/M447&lt;=0.05,40,50)))))+IF(ABS(U447)=0,0,IF(ABS(U447)&lt;=200,10,IF(ABS(U447)&lt;=500,15,IF(ABS(U447)&lt;=2000,22,30))))+IF(COUNTIFS($B$5:B446,B447,$O$5:O446,"&lt;0")&gt;0,15,0)+IF(OR(Q447&lt;0,R447&lt;0),5,0),0)</f>
        <v>0</v>
      </c>
      <c r="AD447" s="35">
        <v>0</v>
      </c>
      <c r="AE447" s="41" t="s">
        <v>408</v>
      </c>
      <c r="AF447" s="38" t="str">
        <f t="shared" si="44"/>
        <v>No</v>
      </c>
      <c r="AG447" s="39" t="s">
        <v>221</v>
      </c>
      <c r="AH447" s="40">
        <v>0</v>
      </c>
      <c r="AI447" s="51" t="str">
        <f t="shared" si="39"/>
        <v/>
      </c>
      <c r="AJ447" s="38" t="str">
        <f t="shared" si="40"/>
        <v>Pendiente</v>
      </c>
    </row>
    <row r="448" spans="1:36" ht="25.5" customHeight="1" x14ac:dyDescent="0.25">
      <c r="A448" s="32">
        <v>444</v>
      </c>
      <c r="B448" s="33" t="s">
        <v>538</v>
      </c>
      <c r="C448" s="32" t="s">
        <v>51</v>
      </c>
      <c r="D448" s="32" t="s">
        <v>377</v>
      </c>
      <c r="E448" s="32" t="s">
        <v>58</v>
      </c>
      <c r="F448" s="32">
        <v>1759</v>
      </c>
      <c r="G448" s="33" t="s">
        <v>539</v>
      </c>
      <c r="H448" s="32" t="s">
        <v>47</v>
      </c>
      <c r="I448" s="32" t="s">
        <v>540</v>
      </c>
      <c r="J448" s="34">
        <v>46146</v>
      </c>
      <c r="K448" s="34">
        <v>46146</v>
      </c>
      <c r="L448" s="32" t="s">
        <v>48</v>
      </c>
      <c r="M448" s="48">
        <v>100868.72</v>
      </c>
      <c r="N448" s="48">
        <v>0</v>
      </c>
      <c r="O448" s="48">
        <v>0</v>
      </c>
      <c r="P448" s="48">
        <v>0</v>
      </c>
      <c r="Q448" s="48">
        <v>0</v>
      </c>
      <c r="R448" s="48">
        <v>0</v>
      </c>
      <c r="S448" s="48">
        <v>0</v>
      </c>
      <c r="T448" s="48">
        <f t="shared" si="41"/>
        <v>0</v>
      </c>
      <c r="U448" s="48">
        <f t="shared" si="42"/>
        <v>0</v>
      </c>
      <c r="V448" s="49">
        <f>+Tabla_Auditorias[[#This Row],[AJUSTE
EGRESO
COSTO]]+Tabla_Auditorias[[#This Row],[AJUSTE EGRESO
MAL ESTADO]]+Tabla_Auditorias[[#This Row],[AJUSTE
INGRESO
COSTO]]</f>
        <v>0</v>
      </c>
      <c r="W448" s="48">
        <v>0</v>
      </c>
      <c r="X448" s="48">
        <v>0</v>
      </c>
      <c r="Y448" s="48">
        <v>0</v>
      </c>
      <c r="Z448" s="48">
        <v>0</v>
      </c>
      <c r="AA448" s="50">
        <f>+SUM(Tabla_Auditorias[[#This Row],[AJUSTE
EGRESO
COSTO]:[AJUSTE
INGRESO
COSTO]])</f>
        <v>0</v>
      </c>
      <c r="AB448" s="36" t="str">
        <f t="shared" si="38"/>
        <v>BAJO</v>
      </c>
      <c r="AC448" s="37">
        <f>IFERROR(IF(M448=0,0,IF(ABS(O448)/M448=0,0,IF(ABS(O448)/M448&lt;=0.01,10,IF(ABS(O448)/M448&lt;=0.03,25,IF(ABS(O448)/M448&lt;=0.05,40,50)))))+IF(ABS(U448)=0,0,IF(ABS(U448)&lt;=200,10,IF(ABS(U448)&lt;=500,15,IF(ABS(U448)&lt;=2000,22,30))))+IF(COUNTIFS($B$382:B447,B448,$O$382:O447,"&lt;0")&gt;0,15,0)+IF(OR(Q448&lt;0,R448&lt;0),5,0),0)</f>
        <v>0</v>
      </c>
      <c r="AD448" s="35">
        <v>0</v>
      </c>
      <c r="AE448" s="41" t="s">
        <v>541</v>
      </c>
      <c r="AF448" s="38" t="str">
        <f>IF(Tabla_Auditorias[[#This Row],[TOTAL
COSTO
NETO]]&lt;&gt;0,"Si","No")</f>
        <v>No</v>
      </c>
      <c r="AG448" s="39" t="s">
        <v>221</v>
      </c>
      <c r="AH448" s="40">
        <v>0</v>
      </c>
      <c r="AI448" s="51" t="str">
        <f t="shared" si="39"/>
        <v/>
      </c>
      <c r="AJ448" s="38" t="str">
        <f t="shared" si="40"/>
        <v>Pendiente</v>
      </c>
    </row>
    <row r="449" spans="1:36" ht="21" customHeight="1" x14ac:dyDescent="0.25">
      <c r="A449" s="32">
        <v>445</v>
      </c>
      <c r="B449" s="33" t="s">
        <v>109</v>
      </c>
      <c r="C449" s="32" t="s">
        <v>43</v>
      </c>
      <c r="D449" s="32" t="s">
        <v>44</v>
      </c>
      <c r="E449" s="32" t="s">
        <v>58</v>
      </c>
      <c r="F449" s="32">
        <v>1505</v>
      </c>
      <c r="G449" s="33" t="s">
        <v>59</v>
      </c>
      <c r="H449" s="32" t="s">
        <v>47</v>
      </c>
      <c r="I449" s="32" t="s">
        <v>542</v>
      </c>
      <c r="J449" s="34">
        <v>46146</v>
      </c>
      <c r="K449" s="34">
        <v>46147</v>
      </c>
      <c r="L449" s="32" t="s">
        <v>48</v>
      </c>
      <c r="M449" s="48">
        <v>138002.48069999999</v>
      </c>
      <c r="N449" s="48">
        <v>0</v>
      </c>
      <c r="O449" s="48">
        <v>0</v>
      </c>
      <c r="P449" s="48">
        <v>0</v>
      </c>
      <c r="Q449" s="48">
        <v>0</v>
      </c>
      <c r="R449" s="48">
        <v>0</v>
      </c>
      <c r="S449" s="48">
        <v>0</v>
      </c>
      <c r="T449" s="48">
        <f t="shared" si="41"/>
        <v>0</v>
      </c>
      <c r="U449" s="48">
        <f t="shared" si="42"/>
        <v>0</v>
      </c>
      <c r="V449" s="49">
        <f>+Tabla_Auditorias[[#This Row],[AJUSTE
EGRESO
COSTO]]+Tabla_Auditorias[[#This Row],[AJUSTE EGRESO
MAL ESTADO]]+Tabla_Auditorias[[#This Row],[AJUSTE
INGRESO
COSTO]]</f>
        <v>-17.640699999999999</v>
      </c>
      <c r="W449" s="48">
        <v>0</v>
      </c>
      <c r="X449" s="48">
        <v>-17.640699999999999</v>
      </c>
      <c r="Y449" s="48">
        <v>0</v>
      </c>
      <c r="Z449" s="48">
        <v>0</v>
      </c>
      <c r="AA449" s="50">
        <f t="shared" ref="AA449:AA477" si="45">W449+X449+Y449+Z449</f>
        <v>-17.640699999999999</v>
      </c>
      <c r="AB449" s="36" t="str">
        <f t="shared" si="38"/>
        <v>MEDIO</v>
      </c>
      <c r="AC449" s="37">
        <f>IFERROR(IF(M449=0,0,IF(ABS(O449)/M449=0,0,IF(ABS(O449)/M449&lt;=0.01,10,IF(ABS(O449)/M449&lt;=0.03,25,IF(ABS(O449)/M449&lt;=0.05,40,50)))))+IF(ABS(U449)=0,0,IF(ABS(U449)&lt;=200,10,IF(ABS(U449)&lt;=500,15,IF(ABS(U449)&lt;=2000,22,30))))+IF(COUNTIFS($B$5:B447,B449,$O$5:O447,"&lt;0")&gt;0,15,0)+IF(OR(Q449&lt;0,R449&lt;0),5,0),0)</f>
        <v>15</v>
      </c>
      <c r="AD449" s="35">
        <v>0</v>
      </c>
      <c r="AE449" s="107" t="s">
        <v>529</v>
      </c>
      <c r="AF449" s="38" t="str">
        <f t="shared" ref="AF449:AF477" si="46">IF(AA449&lt;&gt;0,"Si","No")</f>
        <v>Si</v>
      </c>
      <c r="AG449" s="39" t="s">
        <v>543</v>
      </c>
      <c r="AH449" s="40">
        <v>0</v>
      </c>
      <c r="AI449" s="51">
        <f t="shared" si="39"/>
        <v>0</v>
      </c>
      <c r="AJ449" s="38" t="str">
        <f t="shared" si="40"/>
        <v>Pendiente</v>
      </c>
    </row>
    <row r="450" spans="1:36" ht="21" customHeight="1" x14ac:dyDescent="0.25">
      <c r="A450" s="32">
        <v>446</v>
      </c>
      <c r="B450" s="33" t="s">
        <v>105</v>
      </c>
      <c r="C450" s="32" t="s">
        <v>51</v>
      </c>
      <c r="D450" s="32" t="s">
        <v>57</v>
      </c>
      <c r="E450" s="32" t="s">
        <v>53</v>
      </c>
      <c r="F450" s="32">
        <v>1710</v>
      </c>
      <c r="G450" s="33" t="s">
        <v>54</v>
      </c>
      <c r="H450" s="32" t="s">
        <v>47</v>
      </c>
      <c r="I450" s="32" t="s">
        <v>544</v>
      </c>
      <c r="J450" s="34">
        <v>46146</v>
      </c>
      <c r="K450" s="34">
        <v>46147</v>
      </c>
      <c r="L450" s="32" t="s">
        <v>48</v>
      </c>
      <c r="M450" s="48">
        <v>84617.021999999997</v>
      </c>
      <c r="N450" s="48">
        <v>0</v>
      </c>
      <c r="O450" s="48">
        <v>0</v>
      </c>
      <c r="P450" s="48">
        <v>0</v>
      </c>
      <c r="Q450" s="48">
        <v>0</v>
      </c>
      <c r="R450" s="48">
        <v>0</v>
      </c>
      <c r="S450" s="48">
        <v>0</v>
      </c>
      <c r="T450" s="48">
        <f t="shared" si="41"/>
        <v>0</v>
      </c>
      <c r="U450" s="48">
        <f t="shared" si="42"/>
        <v>0</v>
      </c>
      <c r="V450" s="49">
        <f>+Tabla_Auditorias[[#This Row],[AJUSTE
EGRESO
COSTO]]+Tabla_Auditorias[[#This Row],[AJUSTE EGRESO
MAL ESTADO]]+Tabla_Auditorias[[#This Row],[AJUSTE
INGRESO
COSTO]]</f>
        <v>0</v>
      </c>
      <c r="W450" s="48">
        <v>0</v>
      </c>
      <c r="X450" s="48">
        <v>0</v>
      </c>
      <c r="Y450" s="48">
        <v>0</v>
      </c>
      <c r="Z450" s="48">
        <v>0</v>
      </c>
      <c r="AA450" s="50">
        <f t="shared" si="45"/>
        <v>0</v>
      </c>
      <c r="AB450" s="36" t="str">
        <f t="shared" si="38"/>
        <v>MEDIO</v>
      </c>
      <c r="AC450" s="37">
        <f>IFERROR(IF(M450=0,0,IF(ABS(O450)/M450=0,0,IF(ABS(O450)/M450&lt;=0.01,10,IF(ABS(O450)/M450&lt;=0.03,25,IF(ABS(O450)/M450&lt;=0.05,40,50)))))+IF(ABS(U450)=0,0,IF(ABS(U450)&lt;=200,10,IF(ABS(U450)&lt;=500,15,IF(ABS(U450)&lt;=2000,22,30))))+IF(COUNTIFS($B$5:B449,B450,$O$5:O449,"&lt;0")&gt;0,15,0)+IF(OR(Q450&lt;0,R450&lt;0),5,0),0)</f>
        <v>15</v>
      </c>
      <c r="AD450" s="35">
        <v>0</v>
      </c>
      <c r="AE450" s="107" t="s">
        <v>529</v>
      </c>
      <c r="AF450" s="38" t="str">
        <f t="shared" si="46"/>
        <v>No</v>
      </c>
      <c r="AG450" s="39" t="s">
        <v>221</v>
      </c>
      <c r="AH450" s="40">
        <v>0</v>
      </c>
      <c r="AI450" s="51" t="str">
        <f t="shared" si="39"/>
        <v/>
      </c>
      <c r="AJ450" s="38" t="str">
        <f t="shared" si="40"/>
        <v>Pendiente</v>
      </c>
    </row>
    <row r="451" spans="1:36" ht="25.5" customHeight="1" x14ac:dyDescent="0.25">
      <c r="A451" s="32">
        <v>447</v>
      </c>
      <c r="B451" s="33" t="s">
        <v>497</v>
      </c>
      <c r="C451" s="32" t="s">
        <v>51</v>
      </c>
      <c r="D451" s="32" t="s">
        <v>377</v>
      </c>
      <c r="E451" s="32" t="s">
        <v>53</v>
      </c>
      <c r="F451" s="32">
        <v>1757</v>
      </c>
      <c r="G451" s="33" t="s">
        <v>314</v>
      </c>
      <c r="H451" s="32" t="s">
        <v>47</v>
      </c>
      <c r="I451" s="32" t="s">
        <v>545</v>
      </c>
      <c r="J451" s="34">
        <v>46147</v>
      </c>
      <c r="K451" s="34">
        <v>46148</v>
      </c>
      <c r="L451" s="32" t="s">
        <v>48</v>
      </c>
      <c r="M451" s="48">
        <v>107127.2666</v>
      </c>
      <c r="N451" s="48">
        <v>0</v>
      </c>
      <c r="O451" s="48">
        <v>0</v>
      </c>
      <c r="P451" s="48">
        <v>0</v>
      </c>
      <c r="Q451" s="48">
        <v>0</v>
      </c>
      <c r="R451" s="48">
        <v>0</v>
      </c>
      <c r="S451" s="48">
        <v>0</v>
      </c>
      <c r="T451" s="48">
        <f t="shared" si="41"/>
        <v>0</v>
      </c>
      <c r="U451" s="48">
        <f t="shared" si="42"/>
        <v>0</v>
      </c>
      <c r="V451" s="49">
        <f>+Tabla_Auditorias[[#This Row],[AJUSTE
EGRESO
COSTO]]+Tabla_Auditorias[[#This Row],[AJUSTE EGRESO
MAL ESTADO]]+Tabla_Auditorias[[#This Row],[AJUSTE
INGRESO
COSTO]]</f>
        <v>0</v>
      </c>
      <c r="W451" s="48">
        <v>0</v>
      </c>
      <c r="X451" s="48">
        <v>0</v>
      </c>
      <c r="Y451" s="48">
        <v>0</v>
      </c>
      <c r="Z451" s="48">
        <v>0</v>
      </c>
      <c r="AA451" s="50">
        <f t="shared" si="45"/>
        <v>0</v>
      </c>
      <c r="AB451" s="36" t="str">
        <f t="shared" si="38"/>
        <v>BAJO</v>
      </c>
      <c r="AC451" s="37">
        <f>IFERROR(IF(M451=0,0,IF(ABS(O451)/M451=0,0,IF(ABS(O451)/M451&lt;=0.01,10,IF(ABS(O451)/M451&lt;=0.03,25,IF(ABS(O451)/M451&lt;=0.05,40,50)))))+IF(ABS(U451)=0,0,IF(ABS(U451)&lt;=200,10,IF(ABS(U451)&lt;=500,15,IF(ABS(U451)&lt;=2000,22,30))))+IF(COUNTIFS($B$5:B450,B451,$O$5:O450,"&lt;0")&gt;0,15,0)+IF(OR(Q451&lt;0,R451&lt;0),5,0),0)</f>
        <v>0</v>
      </c>
      <c r="AD451" s="35">
        <v>0</v>
      </c>
      <c r="AE451" s="41" t="s">
        <v>541</v>
      </c>
      <c r="AF451" s="38" t="str">
        <f t="shared" si="46"/>
        <v>No</v>
      </c>
      <c r="AG451" s="39" t="s">
        <v>221</v>
      </c>
      <c r="AH451" s="40">
        <v>0</v>
      </c>
      <c r="AI451" s="51" t="str">
        <f t="shared" si="39"/>
        <v/>
      </c>
      <c r="AJ451" s="38" t="str">
        <f t="shared" si="40"/>
        <v>Pendiente</v>
      </c>
    </row>
    <row r="452" spans="1:36" x14ac:dyDescent="0.25">
      <c r="A452" s="32">
        <v>448</v>
      </c>
      <c r="B452" s="33" t="s">
        <v>113</v>
      </c>
      <c r="C452" s="32" t="s">
        <v>51</v>
      </c>
      <c r="D452" s="32" t="s">
        <v>57</v>
      </c>
      <c r="E452" s="32" t="s">
        <v>58</v>
      </c>
      <c r="F452" s="32">
        <v>1728</v>
      </c>
      <c r="G452" s="33" t="s">
        <v>59</v>
      </c>
      <c r="H452" s="32" t="s">
        <v>47</v>
      </c>
      <c r="I452" s="32" t="s">
        <v>546</v>
      </c>
      <c r="J452" s="34">
        <v>46147</v>
      </c>
      <c r="K452" s="34">
        <v>46147</v>
      </c>
      <c r="L452" s="32" t="s">
        <v>48</v>
      </c>
      <c r="M452" s="48">
        <v>64879.957600000002</v>
      </c>
      <c r="N452" s="48">
        <v>0</v>
      </c>
      <c r="O452" s="48">
        <v>0</v>
      </c>
      <c r="P452" s="48">
        <v>0</v>
      </c>
      <c r="Q452" s="48">
        <v>0</v>
      </c>
      <c r="R452" s="48">
        <v>-722.77</v>
      </c>
      <c r="S452" s="48">
        <v>0</v>
      </c>
      <c r="T452" s="48">
        <f t="shared" si="41"/>
        <v>-722.77</v>
      </c>
      <c r="U452" s="48">
        <f t="shared" si="42"/>
        <v>0</v>
      </c>
      <c r="V452" s="49">
        <f>+Tabla_Auditorias[[#This Row],[AJUSTE
EGRESO
COSTO]]+Tabla_Auditorias[[#This Row],[AJUSTE EGRESO
MAL ESTADO]]+Tabla_Auditorias[[#This Row],[AJUSTE
INGRESO
COSTO]]</f>
        <v>0</v>
      </c>
      <c r="W452" s="48">
        <v>0</v>
      </c>
      <c r="X452" s="48">
        <v>0</v>
      </c>
      <c r="Y452" s="48">
        <v>-790.68619999999999</v>
      </c>
      <c r="Z452" s="48">
        <v>0</v>
      </c>
      <c r="AA452" s="50">
        <f t="shared" si="45"/>
        <v>-790.68619999999999</v>
      </c>
      <c r="AB452" s="36" t="str">
        <f t="shared" si="38"/>
        <v>MEDIO</v>
      </c>
      <c r="AC452" s="37">
        <f>IFERROR(IF(M452=0,0,IF(ABS(O452)/M452=0,0,IF(ABS(O452)/M452&lt;=0.01,10,IF(ABS(O452)/M452&lt;=0.03,25,IF(ABS(O452)/M452&lt;=0.05,40,50)))))+IF(ABS(U452)=0,0,IF(ABS(U452)&lt;=200,10,IF(ABS(U452)&lt;=500,15,IF(ABS(U452)&lt;=2000,22,30))))+IF(COUNTIFS($B$5:B451,B452,$O$5:O451,"&lt;0")&gt;0,15,0)+IF(OR(Q452&lt;0,R452&lt;0),5,0),0)</f>
        <v>20</v>
      </c>
      <c r="AD452" s="35">
        <v>0</v>
      </c>
      <c r="AE452" s="107" t="s">
        <v>529</v>
      </c>
      <c r="AF452" s="38" t="str">
        <f t="shared" si="46"/>
        <v>Si</v>
      </c>
      <c r="AG452" s="39" t="s">
        <v>547</v>
      </c>
      <c r="AH452" s="40">
        <v>0</v>
      </c>
      <c r="AI452" s="51" t="str">
        <f t="shared" si="39"/>
        <v/>
      </c>
      <c r="AJ452" s="38" t="str">
        <f t="shared" si="40"/>
        <v>Pendiente</v>
      </c>
    </row>
    <row r="453" spans="1:36" ht="25.5" customHeight="1" x14ac:dyDescent="0.25">
      <c r="A453" s="32">
        <v>449</v>
      </c>
      <c r="B453" s="33" t="s">
        <v>548</v>
      </c>
      <c r="C453" s="32" t="s">
        <v>51</v>
      </c>
      <c r="D453" s="32" t="s">
        <v>377</v>
      </c>
      <c r="E453" s="32" t="s">
        <v>45</v>
      </c>
      <c r="F453" s="32">
        <v>1756</v>
      </c>
      <c r="G453" s="33" t="s">
        <v>314</v>
      </c>
      <c r="H453" s="32" t="s">
        <v>47</v>
      </c>
      <c r="I453" s="32" t="s">
        <v>549</v>
      </c>
      <c r="J453" s="34">
        <v>46148</v>
      </c>
      <c r="K453" s="34">
        <v>46148</v>
      </c>
      <c r="L453" s="32" t="s">
        <v>48</v>
      </c>
      <c r="M453" s="48">
        <v>1176053.6021345239</v>
      </c>
      <c r="N453" s="48">
        <v>0</v>
      </c>
      <c r="O453" s="48">
        <v>0</v>
      </c>
      <c r="P453" s="48">
        <v>0</v>
      </c>
      <c r="Q453" s="48">
        <v>0</v>
      </c>
      <c r="R453" s="48">
        <v>0</v>
      </c>
      <c r="S453" s="48">
        <v>0</v>
      </c>
      <c r="T453" s="48">
        <f t="shared" si="41"/>
        <v>0</v>
      </c>
      <c r="U453" s="48">
        <f t="shared" si="42"/>
        <v>0</v>
      </c>
      <c r="V453" s="49">
        <f>+Tabla_Auditorias[[#This Row],[AJUSTE
EGRESO
COSTO]]+Tabla_Auditorias[[#This Row],[AJUSTE EGRESO
MAL ESTADO]]+Tabla_Auditorias[[#This Row],[AJUSTE
INGRESO
COSTO]]</f>
        <v>0</v>
      </c>
      <c r="W453" s="48">
        <v>0</v>
      </c>
      <c r="X453" s="48">
        <v>0</v>
      </c>
      <c r="Y453" s="48">
        <v>0</v>
      </c>
      <c r="Z453" s="48">
        <v>0</v>
      </c>
      <c r="AA453" s="50">
        <f t="shared" si="45"/>
        <v>0</v>
      </c>
      <c r="AB453" s="36" t="str">
        <f t="shared" ref="AB453:AB505" si="47">IFERROR(IF(AC453&lt;=10,"BAJO",IF(AC453&lt;=35,"MEDIO",IF(AC453&lt;=65,"ALTO","CRÍTICO"))),"BAJO")</f>
        <v>BAJO</v>
      </c>
      <c r="AC453" s="37">
        <f>IFERROR(IF(M453=0,0,IF(ABS(O453)/M453=0,0,IF(ABS(O453)/M453&lt;=0.01,10,IF(ABS(O453)/M453&lt;=0.03,25,IF(ABS(O453)/M453&lt;=0.05,40,50)))))+IF(ABS(U453)=0,0,IF(ABS(U453)&lt;=200,10,IF(ABS(U453)&lt;=500,15,IF(ABS(U453)&lt;=2000,22,30))))+IF(COUNTIFS($B$5:B452,B453,$O$5:O452,"&lt;0")&gt;0,15,0)+IF(OR(Q453&lt;0,R453&lt;0),5,0),0)</f>
        <v>0</v>
      </c>
      <c r="AD453" s="35">
        <v>0</v>
      </c>
      <c r="AE453" s="41" t="s">
        <v>408</v>
      </c>
      <c r="AF453" s="38" t="str">
        <f t="shared" si="46"/>
        <v>No</v>
      </c>
      <c r="AG453" s="39" t="s">
        <v>221</v>
      </c>
      <c r="AH453" s="40">
        <v>0</v>
      </c>
      <c r="AI453" s="51" t="str">
        <f t="shared" ref="AI453:AI505" si="48">IFERROR(IF(V453&lt;0,ABS(AH453/V453),""),"")</f>
        <v/>
      </c>
      <c r="AJ453" s="38" t="str">
        <f t="shared" ref="AJ453:AJ505" si="49">IF(V453&gt;0,"No Aplica",IF(AND(V453&lt;0,AH453=0),"Pendiente",IF(AND(AH453&gt;0,AH453&gt;=ABS(V453)),"Cobrado Total",IF(AND(AH453&gt;0,AH453&lt;ABS(V453)),"Cobrado Parcial","Pendiente"))))</f>
        <v>Pendiente</v>
      </c>
    </row>
    <row r="454" spans="1:36" ht="25.5" customHeight="1" x14ac:dyDescent="0.25">
      <c r="A454" s="32">
        <v>450</v>
      </c>
      <c r="B454" s="33" t="s">
        <v>376</v>
      </c>
      <c r="C454" s="32" t="s">
        <v>51</v>
      </c>
      <c r="D454" s="32" t="s">
        <v>377</v>
      </c>
      <c r="E454" s="32" t="s">
        <v>45</v>
      </c>
      <c r="F454" s="32">
        <v>1760</v>
      </c>
      <c r="G454" s="33" t="s">
        <v>314</v>
      </c>
      <c r="H454" s="32" t="s">
        <v>47</v>
      </c>
      <c r="I454" s="32" t="s">
        <v>550</v>
      </c>
      <c r="J454" s="34">
        <v>46148</v>
      </c>
      <c r="K454" s="34">
        <v>46148</v>
      </c>
      <c r="L454" s="32" t="s">
        <v>48</v>
      </c>
      <c r="M454" s="48">
        <v>193406.50459999999</v>
      </c>
      <c r="N454" s="48">
        <v>0</v>
      </c>
      <c r="O454" s="48">
        <v>0</v>
      </c>
      <c r="P454" s="48">
        <v>0</v>
      </c>
      <c r="Q454" s="48">
        <v>0</v>
      </c>
      <c r="R454" s="48">
        <v>0</v>
      </c>
      <c r="S454" s="48">
        <v>0</v>
      </c>
      <c r="T454" s="48">
        <f t="shared" si="41"/>
        <v>0</v>
      </c>
      <c r="U454" s="48">
        <f t="shared" si="42"/>
        <v>0</v>
      </c>
      <c r="V454" s="49">
        <f>+Tabla_Auditorias[[#This Row],[AJUSTE
EGRESO
COSTO]]+Tabla_Auditorias[[#This Row],[AJUSTE EGRESO
MAL ESTADO]]+Tabla_Auditorias[[#This Row],[AJUSTE
INGRESO
COSTO]]</f>
        <v>0</v>
      </c>
      <c r="W454" s="48">
        <v>0</v>
      </c>
      <c r="X454" s="48">
        <v>0</v>
      </c>
      <c r="Y454" s="48">
        <v>0</v>
      </c>
      <c r="Z454" s="48">
        <v>0</v>
      </c>
      <c r="AA454" s="50">
        <f t="shared" si="45"/>
        <v>0</v>
      </c>
      <c r="AB454" s="36" t="str">
        <f t="shared" si="47"/>
        <v>MEDIO</v>
      </c>
      <c r="AC454" s="37">
        <f>IFERROR(IF(M454=0,0,IF(ABS(O454)/M454=0,0,IF(ABS(O454)/M454&lt;=0.01,10,IF(ABS(O454)/M454&lt;=0.03,25,IF(ABS(O454)/M454&lt;=0.05,40,50)))))+IF(ABS(U454)=0,0,IF(ABS(U454)&lt;=200,10,IF(ABS(U454)&lt;=500,15,IF(ABS(U454)&lt;=2000,22,30))))+IF(COUNTIFS($B$5:B453,B454,$O$5:O453,"&lt;0")&gt;0,15,0)+IF(OR(Q454&lt;0,R454&lt;0),5,0),0)</f>
        <v>15</v>
      </c>
      <c r="AD454" s="35">
        <v>0</v>
      </c>
      <c r="AE454" s="41" t="s">
        <v>408</v>
      </c>
      <c r="AF454" s="38" t="str">
        <f t="shared" si="46"/>
        <v>No</v>
      </c>
      <c r="AG454" s="39" t="s">
        <v>221</v>
      </c>
      <c r="AH454" s="40">
        <v>0</v>
      </c>
      <c r="AI454" s="51" t="str">
        <f t="shared" si="48"/>
        <v/>
      </c>
      <c r="AJ454" s="38" t="str">
        <f t="shared" si="49"/>
        <v>Pendiente</v>
      </c>
    </row>
    <row r="455" spans="1:36" ht="25.5" customHeight="1" x14ac:dyDescent="0.25">
      <c r="A455" s="32">
        <v>451</v>
      </c>
      <c r="B455" s="33" t="s">
        <v>551</v>
      </c>
      <c r="C455" s="32" t="s">
        <v>51</v>
      </c>
      <c r="D455" s="32" t="s">
        <v>377</v>
      </c>
      <c r="E455" s="32" t="s">
        <v>53</v>
      </c>
      <c r="F455" s="32">
        <v>1755</v>
      </c>
      <c r="G455" s="33" t="s">
        <v>54</v>
      </c>
      <c r="H455" s="32" t="s">
        <v>47</v>
      </c>
      <c r="I455" s="32" t="s">
        <v>552</v>
      </c>
      <c r="J455" s="34">
        <v>46148</v>
      </c>
      <c r="K455" s="34">
        <v>46148</v>
      </c>
      <c r="L455" s="32" t="s">
        <v>48</v>
      </c>
      <c r="M455" s="48">
        <v>243301.11540000001</v>
      </c>
      <c r="N455" s="48">
        <v>0</v>
      </c>
      <c r="O455" s="48">
        <v>0</v>
      </c>
      <c r="P455" s="48">
        <v>0</v>
      </c>
      <c r="Q455" s="48">
        <v>0</v>
      </c>
      <c r="R455" s="48">
        <v>0</v>
      </c>
      <c r="S455" s="48">
        <v>0</v>
      </c>
      <c r="T455" s="48">
        <f t="shared" si="41"/>
        <v>0</v>
      </c>
      <c r="U455" s="48">
        <f t="shared" si="42"/>
        <v>0</v>
      </c>
      <c r="V455" s="49">
        <f>+Tabla_Auditorias[[#This Row],[AJUSTE
EGRESO
COSTO]]+Tabla_Auditorias[[#This Row],[AJUSTE EGRESO
MAL ESTADO]]+Tabla_Auditorias[[#This Row],[AJUSTE
INGRESO
COSTO]]</f>
        <v>0</v>
      </c>
      <c r="W455" s="48">
        <v>0</v>
      </c>
      <c r="X455" s="48">
        <v>0</v>
      </c>
      <c r="Y455" s="48">
        <v>0</v>
      </c>
      <c r="Z455" s="48">
        <v>0</v>
      </c>
      <c r="AA455" s="50">
        <f t="shared" si="45"/>
        <v>0</v>
      </c>
      <c r="AB455" s="36" t="str">
        <f t="shared" si="47"/>
        <v>BAJO</v>
      </c>
      <c r="AC455" s="37">
        <f>IFERROR(IF(M455=0,0,IF(ABS(O455)/M455=0,0,IF(ABS(O455)/M455&lt;=0.01,10,IF(ABS(O455)/M455&lt;=0.03,25,IF(ABS(O455)/M455&lt;=0.05,40,50)))))+IF(ABS(U455)=0,0,IF(ABS(U455)&lt;=200,10,IF(ABS(U455)&lt;=500,15,IF(ABS(U455)&lt;=2000,22,30))))+IF(COUNTIFS($B$5:B454,B455,$O$5:O454,"&lt;0")&gt;0,15,0)+IF(OR(Q455&lt;0,R455&lt;0),5,0),0)</f>
        <v>0</v>
      </c>
      <c r="AD455" s="35">
        <v>0</v>
      </c>
      <c r="AE455" s="41" t="s">
        <v>408</v>
      </c>
      <c r="AF455" s="38" t="str">
        <f t="shared" si="46"/>
        <v>No</v>
      </c>
      <c r="AG455" s="39" t="s">
        <v>221</v>
      </c>
      <c r="AH455" s="40">
        <v>0</v>
      </c>
      <c r="AI455" s="51" t="str">
        <f t="shared" si="48"/>
        <v/>
      </c>
      <c r="AJ455" s="38" t="str">
        <f t="shared" si="49"/>
        <v>Pendiente</v>
      </c>
    </row>
    <row r="456" spans="1:36" ht="21" customHeight="1" x14ac:dyDescent="0.25">
      <c r="A456" s="32">
        <v>452</v>
      </c>
      <c r="B456" s="33" t="s">
        <v>107</v>
      </c>
      <c r="C456" s="32" t="s">
        <v>51</v>
      </c>
      <c r="D456" s="32" t="s">
        <v>57</v>
      </c>
      <c r="E456" s="32" t="s">
        <v>53</v>
      </c>
      <c r="F456" s="32">
        <v>1708</v>
      </c>
      <c r="G456" s="33" t="s">
        <v>54</v>
      </c>
      <c r="H456" s="32" t="s">
        <v>47</v>
      </c>
      <c r="I456" s="32" t="s">
        <v>553</v>
      </c>
      <c r="J456" s="34">
        <v>46148</v>
      </c>
      <c r="K456" s="34">
        <v>46148</v>
      </c>
      <c r="L456" s="32" t="s">
        <v>48</v>
      </c>
      <c r="M456" s="48">
        <v>75250.985900000029</v>
      </c>
      <c r="N456" s="48">
        <v>0</v>
      </c>
      <c r="O456" s="48">
        <v>0</v>
      </c>
      <c r="P456" s="48">
        <v>0</v>
      </c>
      <c r="Q456" s="48">
        <v>0</v>
      </c>
      <c r="R456" s="48">
        <v>0</v>
      </c>
      <c r="S456" s="48">
        <v>0</v>
      </c>
      <c r="T456" s="48">
        <f t="shared" si="41"/>
        <v>0</v>
      </c>
      <c r="U456" s="48">
        <f t="shared" si="42"/>
        <v>0</v>
      </c>
      <c r="V456" s="49">
        <f>+Tabla_Auditorias[[#This Row],[AJUSTE
EGRESO
COSTO]]+Tabla_Auditorias[[#This Row],[AJUSTE EGRESO
MAL ESTADO]]+Tabla_Auditorias[[#This Row],[AJUSTE
INGRESO
COSTO]]</f>
        <v>0</v>
      </c>
      <c r="W456" s="48">
        <v>0</v>
      </c>
      <c r="X456" s="48">
        <v>0</v>
      </c>
      <c r="Y456" s="48">
        <v>0</v>
      </c>
      <c r="Z456" s="48">
        <v>0</v>
      </c>
      <c r="AA456" s="50">
        <f t="shared" si="45"/>
        <v>0</v>
      </c>
      <c r="AB456" s="36" t="str">
        <f t="shared" si="47"/>
        <v>MEDIO</v>
      </c>
      <c r="AC456" s="37">
        <f>IFERROR(IF(M456=0,0,IF(ABS(O456)/M456=0,0,IF(ABS(O456)/M456&lt;=0.01,10,IF(ABS(O456)/M456&lt;=0.03,25,IF(ABS(O456)/M456&lt;=0.05,40,50)))))+IF(ABS(U456)=0,0,IF(ABS(U456)&lt;=200,10,IF(ABS(U456)&lt;=500,15,IF(ABS(U456)&lt;=2000,22,30))))+IF(COUNTIFS($B$5:B455,B456,$O$5:O455,"&lt;0")&gt;0,15,0)+IF(OR(Q456&lt;0,R456&lt;0),5,0),0)</f>
        <v>15</v>
      </c>
      <c r="AD456" s="35">
        <v>0</v>
      </c>
      <c r="AE456" s="107" t="s">
        <v>529</v>
      </c>
      <c r="AF456" s="38" t="str">
        <f t="shared" si="46"/>
        <v>No</v>
      </c>
      <c r="AG456" s="39" t="s">
        <v>221</v>
      </c>
      <c r="AH456" s="40">
        <v>0</v>
      </c>
      <c r="AI456" s="51" t="str">
        <f t="shared" si="48"/>
        <v/>
      </c>
      <c r="AJ456" s="38" t="str">
        <f t="shared" si="49"/>
        <v>Pendiente</v>
      </c>
    </row>
    <row r="457" spans="1:36" x14ac:dyDescent="0.25">
      <c r="A457" s="32">
        <v>453</v>
      </c>
      <c r="B457" s="33" t="s">
        <v>111</v>
      </c>
      <c r="C457" s="32" t="s">
        <v>51</v>
      </c>
      <c r="D457" s="32" t="s">
        <v>57</v>
      </c>
      <c r="E457" s="32" t="s">
        <v>58</v>
      </c>
      <c r="F457" s="32">
        <v>1702</v>
      </c>
      <c r="G457" s="33" t="s">
        <v>59</v>
      </c>
      <c r="H457" s="32" t="s">
        <v>47</v>
      </c>
      <c r="I457" s="32" t="s">
        <v>554</v>
      </c>
      <c r="J457" s="34">
        <v>46149</v>
      </c>
      <c r="K457" s="34">
        <v>46149</v>
      </c>
      <c r="L457" s="32" t="s">
        <v>48</v>
      </c>
      <c r="M457" s="48">
        <v>117163.139</v>
      </c>
      <c r="N457" s="48">
        <v>0</v>
      </c>
      <c r="O457" s="48">
        <v>0</v>
      </c>
      <c r="P457" s="48">
        <v>0</v>
      </c>
      <c r="Q457" s="48">
        <v>0</v>
      </c>
      <c r="R457" s="48">
        <v>0</v>
      </c>
      <c r="S457" s="48">
        <v>0</v>
      </c>
      <c r="T457" s="48">
        <f t="shared" si="41"/>
        <v>0</v>
      </c>
      <c r="U457" s="48">
        <f t="shared" si="42"/>
        <v>0</v>
      </c>
      <c r="V457" s="49">
        <f>+Tabla_Auditorias[[#This Row],[AJUSTE
EGRESO
COSTO]]+Tabla_Auditorias[[#This Row],[AJUSTE EGRESO
MAL ESTADO]]+Tabla_Auditorias[[#This Row],[AJUSTE
INGRESO
COSTO]]</f>
        <v>0</v>
      </c>
      <c r="W457" s="48">
        <v>0</v>
      </c>
      <c r="X457" s="48">
        <v>0</v>
      </c>
      <c r="Y457" s="48">
        <v>0</v>
      </c>
      <c r="Z457" s="48">
        <v>0</v>
      </c>
      <c r="AA457" s="50">
        <f t="shared" si="45"/>
        <v>0</v>
      </c>
      <c r="AB457" s="36" t="str">
        <f t="shared" si="47"/>
        <v>BAJO</v>
      </c>
      <c r="AC457" s="37">
        <f>IFERROR(IF(M457=0,0,IF(ABS(O457)/M457=0,0,IF(ABS(O457)/M457&lt;=0.01,10,IF(ABS(O457)/M457&lt;=0.03,25,IF(ABS(O457)/M457&lt;=0.05,40,50)))))+IF(ABS(U457)=0,0,IF(ABS(U457)&lt;=200,10,IF(ABS(U457)&lt;=500,15,IF(ABS(U457)&lt;=2000,22,30))))+IF(COUNTIFS($B$5:B456,B457,$O$5:O456,"&lt;0")&gt;0,15,0)+IF(OR(Q457&lt;0,R457&lt;0),5,0),0)</f>
        <v>0</v>
      </c>
      <c r="AD457" s="35">
        <v>0</v>
      </c>
      <c r="AE457" s="107" t="s">
        <v>529</v>
      </c>
      <c r="AF457" s="38" t="str">
        <f t="shared" si="46"/>
        <v>No</v>
      </c>
      <c r="AG457" s="39" t="s">
        <v>221</v>
      </c>
      <c r="AH457" s="40">
        <v>0</v>
      </c>
      <c r="AI457" s="51" t="str">
        <f t="shared" si="48"/>
        <v/>
      </c>
      <c r="AJ457" s="38" t="str">
        <f t="shared" si="49"/>
        <v>Pendiente</v>
      </c>
    </row>
    <row r="458" spans="1:36" x14ac:dyDescent="0.25">
      <c r="A458" s="32">
        <v>454</v>
      </c>
      <c r="B458" s="33" t="s">
        <v>93</v>
      </c>
      <c r="C458" s="32" t="s">
        <v>51</v>
      </c>
      <c r="D458" s="32" t="s">
        <v>64</v>
      </c>
      <c r="E458" s="32" t="s">
        <v>45</v>
      </c>
      <c r="F458" s="32">
        <v>1723</v>
      </c>
      <c r="G458" s="33" t="s">
        <v>314</v>
      </c>
      <c r="H458" s="32" t="s">
        <v>47</v>
      </c>
      <c r="I458" s="32" t="s">
        <v>555</v>
      </c>
      <c r="J458" s="34">
        <v>46149</v>
      </c>
      <c r="K458" s="34">
        <v>46150</v>
      </c>
      <c r="L458" s="32" t="s">
        <v>48</v>
      </c>
      <c r="M458" s="48">
        <v>337421.41539999959</v>
      </c>
      <c r="N458" s="48">
        <v>0</v>
      </c>
      <c r="O458" s="48">
        <v>0</v>
      </c>
      <c r="P458" s="48">
        <v>0</v>
      </c>
      <c r="Q458" s="48">
        <v>0</v>
      </c>
      <c r="R458" s="48">
        <v>0</v>
      </c>
      <c r="S458" s="48">
        <v>0</v>
      </c>
      <c r="T458" s="48">
        <f t="shared" si="41"/>
        <v>0</v>
      </c>
      <c r="U458" s="48">
        <f t="shared" si="42"/>
        <v>0</v>
      </c>
      <c r="V458" s="49">
        <f>+Tabla_Auditorias[[#This Row],[AJUSTE
EGRESO
COSTO]]+Tabla_Auditorias[[#This Row],[AJUSTE EGRESO
MAL ESTADO]]+Tabla_Auditorias[[#This Row],[AJUSTE
INGRESO
COSTO]]</f>
        <v>0</v>
      </c>
      <c r="W458" s="48">
        <v>0</v>
      </c>
      <c r="X458" s="48">
        <v>0</v>
      </c>
      <c r="Y458" s="48">
        <v>0</v>
      </c>
      <c r="Z458" s="48">
        <v>0</v>
      </c>
      <c r="AA458" s="50">
        <f t="shared" si="45"/>
        <v>0</v>
      </c>
      <c r="AB458" s="36" t="str">
        <f t="shared" si="47"/>
        <v>BAJO</v>
      </c>
      <c r="AC458" s="37">
        <f>IFERROR(IF(M458=0,0,IF(ABS(O458)/M458=0,0,IF(ABS(O458)/M458&lt;=0.01,10,IF(ABS(O458)/M458&lt;=0.03,25,IF(ABS(O458)/M458&lt;=0.05,40,50)))))+IF(ABS(U458)=0,0,IF(ABS(U458)&lt;=200,10,IF(ABS(U458)&lt;=500,15,IF(ABS(U458)&lt;=2000,22,30))))+IF(COUNTIFS($B$5:B457,B458,$O$5:O457,"&lt;0")&gt;0,15,0)+IF(OR(Q458&lt;0,R458&lt;0),5,0),0)</f>
        <v>0</v>
      </c>
      <c r="AD458" s="35">
        <v>0</v>
      </c>
      <c r="AE458" s="107" t="s">
        <v>529</v>
      </c>
      <c r="AF458" s="38" t="str">
        <f t="shared" si="46"/>
        <v>No</v>
      </c>
      <c r="AG458" s="39" t="s">
        <v>221</v>
      </c>
      <c r="AH458" s="40">
        <v>0</v>
      </c>
      <c r="AI458" s="51" t="str">
        <f t="shared" si="48"/>
        <v/>
      </c>
      <c r="AJ458" s="38" t="str">
        <f t="shared" si="49"/>
        <v>Pendiente</v>
      </c>
    </row>
    <row r="459" spans="1:36" ht="42" customHeight="1" x14ac:dyDescent="0.25">
      <c r="A459" s="32">
        <v>455</v>
      </c>
      <c r="B459" s="33" t="s">
        <v>101</v>
      </c>
      <c r="C459" s="32" t="s">
        <v>51</v>
      </c>
      <c r="D459" s="32" t="s">
        <v>64</v>
      </c>
      <c r="E459" s="32" t="s">
        <v>53</v>
      </c>
      <c r="F459" s="32">
        <v>1724</v>
      </c>
      <c r="G459" s="33" t="s">
        <v>54</v>
      </c>
      <c r="H459" s="32" t="s">
        <v>47</v>
      </c>
      <c r="I459" s="32" t="s">
        <v>556</v>
      </c>
      <c r="J459" s="34">
        <v>46149</v>
      </c>
      <c r="K459" s="34">
        <v>46149</v>
      </c>
      <c r="L459" s="32" t="s">
        <v>48</v>
      </c>
      <c r="M459" s="48">
        <v>227637.98610000001</v>
      </c>
      <c r="N459" s="48">
        <v>229.00659999999999</v>
      </c>
      <c r="O459" s="48">
        <v>-829.16959999999995</v>
      </c>
      <c r="P459" s="48">
        <v>0</v>
      </c>
      <c r="Q459" s="48">
        <v>0</v>
      </c>
      <c r="R459" s="48">
        <v>0</v>
      </c>
      <c r="S459" s="48">
        <v>0</v>
      </c>
      <c r="T459" s="48">
        <f t="shared" si="41"/>
        <v>-600.16300000000001</v>
      </c>
      <c r="U459" s="48">
        <f t="shared" si="42"/>
        <v>-600.16300000000001</v>
      </c>
      <c r="V459" s="49">
        <f>+Tabla_Auditorias[[#This Row],[AJUSTE
EGRESO
COSTO]]+Tabla_Auditorias[[#This Row],[AJUSTE EGRESO
MAL ESTADO]]+Tabla_Auditorias[[#This Row],[AJUSTE
INGRESO
COSTO]]</f>
        <v>-427.28651111111105</v>
      </c>
      <c r="W459" s="48">
        <v>-554.71159999999998</v>
      </c>
      <c r="X459" s="48">
        <v>0</v>
      </c>
      <c r="Y459" s="48">
        <v>0</v>
      </c>
      <c r="Z459" s="48">
        <v>127.42508888888889</v>
      </c>
      <c r="AA459" s="50">
        <f t="shared" si="45"/>
        <v>-427.28651111111105</v>
      </c>
      <c r="AB459" s="36" t="str">
        <f t="shared" si="47"/>
        <v>ALTO</v>
      </c>
      <c r="AC459" s="37">
        <f>IFERROR(IF(M459=0,0,IF(ABS(O459)/M459=0,0,IF(ABS(O459)/M459&lt;=0.01,10,IF(ABS(O459)/M459&lt;=0.03,25,IF(ABS(O459)/M459&lt;=0.05,40,50)))))+IF(ABS(U459)=0,0,IF(ABS(U459)&lt;=200,10,IF(ABS(U459)&lt;=500,15,IF(ABS(U459)&lt;=2000,22,30))))+IF(COUNTIFS($B$5:B458,B459,$O$5:O458,"&lt;0")&gt;0,15,0)+IF(OR(Q459&lt;0,R459&lt;0),5,0),0)</f>
        <v>47</v>
      </c>
      <c r="AD459" s="35">
        <v>0</v>
      </c>
      <c r="AE459" s="41" t="s">
        <v>49</v>
      </c>
      <c r="AF459" s="38" t="str">
        <f t="shared" si="46"/>
        <v>Si</v>
      </c>
      <c r="AG459" s="39" t="s">
        <v>557</v>
      </c>
      <c r="AH459" s="40">
        <v>470.02</v>
      </c>
      <c r="AI459" s="51">
        <f t="shared" si="48"/>
        <v>1.1000113220933776</v>
      </c>
      <c r="AJ459" s="38" t="str">
        <f t="shared" si="49"/>
        <v>Cobrado Total</v>
      </c>
    </row>
    <row r="460" spans="1:36" ht="25.5" customHeight="1" x14ac:dyDescent="0.25">
      <c r="A460" s="32">
        <v>456</v>
      </c>
      <c r="B460" s="33" t="s">
        <v>125</v>
      </c>
      <c r="C460" s="32" t="s">
        <v>43</v>
      </c>
      <c r="D460" s="32" t="s">
        <v>44</v>
      </c>
      <c r="E460" s="32" t="s">
        <v>53</v>
      </c>
      <c r="F460" s="32">
        <v>1516</v>
      </c>
      <c r="G460" s="33" t="s">
        <v>54</v>
      </c>
      <c r="H460" s="32" t="s">
        <v>47</v>
      </c>
      <c r="I460" s="32" t="s">
        <v>558</v>
      </c>
      <c r="J460" s="34">
        <v>46149</v>
      </c>
      <c r="K460" s="34">
        <v>46149</v>
      </c>
      <c r="L460" s="32" t="s">
        <v>48</v>
      </c>
      <c r="M460" s="48">
        <v>94299.570600000006</v>
      </c>
      <c r="N460" s="48">
        <v>466.08710000000002</v>
      </c>
      <c r="O460" s="48">
        <v>-865.72829999999988</v>
      </c>
      <c r="P460" s="48">
        <v>-57.360500000000002</v>
      </c>
      <c r="Q460" s="48">
        <v>0</v>
      </c>
      <c r="R460" s="48">
        <v>0</v>
      </c>
      <c r="S460" s="48">
        <v>0</v>
      </c>
      <c r="T460" s="48">
        <f t="shared" si="41"/>
        <v>-457.00169999999986</v>
      </c>
      <c r="U460" s="48">
        <f t="shared" si="42"/>
        <v>-457.00169999999986</v>
      </c>
      <c r="V460" s="49">
        <f>+Tabla_Auditorias[[#This Row],[AJUSTE
EGRESO
COSTO]]+Tabla_Auditorias[[#This Row],[AJUSTE EGRESO
MAL ESTADO]]+Tabla_Auditorias[[#This Row],[AJUSTE
INGRESO
COSTO]]</f>
        <v>-253.66</v>
      </c>
      <c r="W460" s="48">
        <v>-489.81</v>
      </c>
      <c r="X460" s="48">
        <v>0</v>
      </c>
      <c r="Y460" s="48">
        <v>0</v>
      </c>
      <c r="Z460" s="48">
        <v>236.15</v>
      </c>
      <c r="AA460" s="50">
        <f t="shared" si="45"/>
        <v>-253.66</v>
      </c>
      <c r="AB460" s="36" t="str">
        <f t="shared" si="47"/>
        <v>ALTO</v>
      </c>
      <c r="AC460" s="37">
        <f>IFERROR(IF(M460=0,0,IF(ABS(O460)/M460=0,0,IF(ABS(O460)/M460&lt;=0.01,10,IF(ABS(O460)/M460&lt;=0.03,25,IF(ABS(O460)/M460&lt;=0.05,40,50)))))+IF(ABS(U460)=0,0,IF(ABS(U460)&lt;=200,10,IF(ABS(U460)&lt;=500,15,IF(ABS(U460)&lt;=2000,22,30))))+IF(COUNTIFS($B$5:B459,B460,$O$5:O459,"&lt;0")&gt;0,15,0)+IF(OR(Q460&lt;0,R460&lt;0),5,0),0)</f>
        <v>40</v>
      </c>
      <c r="AD460" s="35">
        <v>0</v>
      </c>
      <c r="AE460" s="41" t="s">
        <v>49</v>
      </c>
      <c r="AF460" s="38" t="str">
        <f t="shared" si="46"/>
        <v>Si</v>
      </c>
      <c r="AG460" s="39"/>
      <c r="AH460" s="40">
        <v>279.02999999999997</v>
      </c>
      <c r="AI460" s="51">
        <f t="shared" si="48"/>
        <v>1.1000157691397934</v>
      </c>
      <c r="AJ460" s="38" t="str">
        <f t="shared" si="49"/>
        <v>Cobrado Total</v>
      </c>
    </row>
    <row r="461" spans="1:36" x14ac:dyDescent="0.25">
      <c r="A461" s="32">
        <v>457</v>
      </c>
      <c r="B461" s="33" t="s">
        <v>115</v>
      </c>
      <c r="C461" s="32" t="s">
        <v>51</v>
      </c>
      <c r="D461" s="32" t="s">
        <v>57</v>
      </c>
      <c r="E461" s="32" t="s">
        <v>58</v>
      </c>
      <c r="F461" s="32">
        <v>1734</v>
      </c>
      <c r="G461" s="33" t="s">
        <v>59</v>
      </c>
      <c r="H461" s="32" t="s">
        <v>47</v>
      </c>
      <c r="I461" s="32" t="s">
        <v>559</v>
      </c>
      <c r="J461" s="34">
        <v>46150</v>
      </c>
      <c r="K461" s="34">
        <v>46150</v>
      </c>
      <c r="L461" s="32" t="s">
        <v>48</v>
      </c>
      <c r="M461" s="48">
        <v>49332.360399999998</v>
      </c>
      <c r="N461" s="48">
        <v>0</v>
      </c>
      <c r="O461" s="48">
        <v>0</v>
      </c>
      <c r="P461" s="48">
        <v>0</v>
      </c>
      <c r="Q461" s="48">
        <v>0</v>
      </c>
      <c r="R461" s="48">
        <v>0</v>
      </c>
      <c r="S461" s="48">
        <v>0</v>
      </c>
      <c r="T461" s="48">
        <f t="shared" si="41"/>
        <v>0</v>
      </c>
      <c r="U461" s="48">
        <f t="shared" si="42"/>
        <v>0</v>
      </c>
      <c r="V461" s="49">
        <f>+Tabla_Auditorias[[#This Row],[AJUSTE
EGRESO
COSTO]]+Tabla_Auditorias[[#This Row],[AJUSTE EGRESO
MAL ESTADO]]+Tabla_Auditorias[[#This Row],[AJUSTE
INGRESO
COSTO]]</f>
        <v>0</v>
      </c>
      <c r="W461" s="48">
        <v>0</v>
      </c>
      <c r="X461" s="48">
        <v>0</v>
      </c>
      <c r="Y461" s="48">
        <v>0</v>
      </c>
      <c r="Z461" s="48">
        <v>0</v>
      </c>
      <c r="AA461" s="50">
        <f t="shared" si="45"/>
        <v>0</v>
      </c>
      <c r="AB461" s="36" t="str">
        <f t="shared" si="47"/>
        <v>BAJO</v>
      </c>
      <c r="AC461" s="37">
        <f>IFERROR(IF(M461=0,0,IF(ABS(O461)/M461=0,0,IF(ABS(O461)/M461&lt;=0.01,10,IF(ABS(O461)/M461&lt;=0.03,25,IF(ABS(O461)/M461&lt;=0.05,40,50)))))+IF(ABS(U461)=0,0,IF(ABS(U461)&lt;=200,10,IF(ABS(U461)&lt;=500,15,IF(ABS(U461)&lt;=2000,22,30))))+IF(COUNTIFS($B$5:B460,B461,$O$5:O460,"&lt;0")&gt;0,15,0)+IF(OR(Q461&lt;0,R461&lt;0),5,0),0)</f>
        <v>0</v>
      </c>
      <c r="AD461" s="35">
        <v>0</v>
      </c>
      <c r="AE461" s="107" t="s">
        <v>529</v>
      </c>
      <c r="AF461" s="38" t="str">
        <f t="shared" si="46"/>
        <v>No</v>
      </c>
      <c r="AG461" s="39" t="s">
        <v>221</v>
      </c>
      <c r="AH461" s="40">
        <v>0</v>
      </c>
      <c r="AI461" s="51" t="str">
        <f t="shared" si="48"/>
        <v/>
      </c>
      <c r="AJ461" s="38" t="str">
        <f t="shared" si="49"/>
        <v>Pendiente</v>
      </c>
    </row>
    <row r="462" spans="1:36" ht="38.25" customHeight="1" x14ac:dyDescent="0.25">
      <c r="A462" s="32">
        <v>458</v>
      </c>
      <c r="B462" s="33" t="s">
        <v>129</v>
      </c>
      <c r="C462" s="32" t="s">
        <v>51</v>
      </c>
      <c r="D462" s="32" t="s">
        <v>57</v>
      </c>
      <c r="E462" s="32" t="s">
        <v>45</v>
      </c>
      <c r="F462" s="32">
        <v>1712</v>
      </c>
      <c r="G462" s="33" t="s">
        <v>314</v>
      </c>
      <c r="H462" s="32" t="s">
        <v>47</v>
      </c>
      <c r="I462" s="32" t="s">
        <v>560</v>
      </c>
      <c r="J462" s="34">
        <v>46152</v>
      </c>
      <c r="K462" s="34">
        <v>46153</v>
      </c>
      <c r="L462" s="32" t="s">
        <v>48</v>
      </c>
      <c r="M462" s="48">
        <v>120851.3283125</v>
      </c>
      <c r="N462" s="48">
        <v>0</v>
      </c>
      <c r="O462" s="48">
        <v>0</v>
      </c>
      <c r="P462" s="48">
        <v>0</v>
      </c>
      <c r="Q462" s="48">
        <v>0</v>
      </c>
      <c r="R462" s="48">
        <v>0</v>
      </c>
      <c r="S462" s="48">
        <v>0</v>
      </c>
      <c r="T462" s="48">
        <f t="shared" si="41"/>
        <v>0</v>
      </c>
      <c r="U462" s="48">
        <f t="shared" si="42"/>
        <v>0</v>
      </c>
      <c r="V462" s="49">
        <f>+Tabla_Auditorias[[#This Row],[AJUSTE
EGRESO
COSTO]]+Tabla_Auditorias[[#This Row],[AJUSTE EGRESO
MAL ESTADO]]+Tabla_Auditorias[[#This Row],[AJUSTE
INGRESO
COSTO]]</f>
        <v>-8.4563205521666873</v>
      </c>
      <c r="W462" s="48">
        <v>-182.50809092253709</v>
      </c>
      <c r="X462" s="48">
        <v>0</v>
      </c>
      <c r="Y462" s="48">
        <v>0</v>
      </c>
      <c r="Z462" s="48">
        <v>174.05177037037041</v>
      </c>
      <c r="AA462" s="50">
        <f t="shared" si="45"/>
        <v>-8.4563205521666873</v>
      </c>
      <c r="AB462" s="36" t="str">
        <f t="shared" si="47"/>
        <v>MEDIO</v>
      </c>
      <c r="AC462" s="37">
        <f>IFERROR(IF(M462=0,0,IF(ABS(O462)/M462=0,0,IF(ABS(O462)/M462&lt;=0.01,10,IF(ABS(O462)/M462&lt;=0.03,25,IF(ABS(O462)/M462&lt;=0.05,40,50)))))+IF(ABS(U462)=0,0,IF(ABS(U462)&lt;=200,10,IF(ABS(U462)&lt;=500,15,IF(ABS(U462)&lt;=2000,22,30))))+IF(COUNTIFS($B$5:B461,B462,$O$5:O461,"&lt;0")&gt;0,15,0)+IF(OR(Q462&lt;0,R462&lt;0),5,0),0)</f>
        <v>15</v>
      </c>
      <c r="AD462" s="35">
        <v>0</v>
      </c>
      <c r="AE462" s="41" t="s">
        <v>49</v>
      </c>
      <c r="AF462" s="38" t="str">
        <f t="shared" si="46"/>
        <v>Si</v>
      </c>
      <c r="AG462" s="39" t="s">
        <v>3316</v>
      </c>
      <c r="AH462" s="40">
        <v>9.31</v>
      </c>
      <c r="AI462" s="51">
        <f t="shared" si="48"/>
        <v>1.1009516423327381</v>
      </c>
      <c r="AJ462" s="38" t="str">
        <f t="shared" si="49"/>
        <v>Cobrado Total</v>
      </c>
    </row>
    <row r="463" spans="1:36" ht="31.5" customHeight="1" x14ac:dyDescent="0.25">
      <c r="A463" s="32">
        <v>459</v>
      </c>
      <c r="B463" s="33" t="s">
        <v>74</v>
      </c>
      <c r="C463" s="32" t="s">
        <v>51</v>
      </c>
      <c r="D463" s="32" t="s">
        <v>57</v>
      </c>
      <c r="E463" s="32" t="s">
        <v>58</v>
      </c>
      <c r="F463" s="32">
        <v>1700</v>
      </c>
      <c r="G463" s="33" t="s">
        <v>59</v>
      </c>
      <c r="H463" s="32" t="s">
        <v>47</v>
      </c>
      <c r="I463" s="32" t="s">
        <v>561</v>
      </c>
      <c r="J463" s="34">
        <v>46152</v>
      </c>
      <c r="K463" s="34">
        <v>46153</v>
      </c>
      <c r="L463" s="32" t="s">
        <v>48</v>
      </c>
      <c r="M463" s="48">
        <v>120623.89659999999</v>
      </c>
      <c r="N463" s="48">
        <v>0</v>
      </c>
      <c r="O463" s="48">
        <v>0</v>
      </c>
      <c r="P463" s="48">
        <v>0</v>
      </c>
      <c r="Q463" s="48">
        <v>0</v>
      </c>
      <c r="R463" s="48">
        <v>-1049.433</v>
      </c>
      <c r="S463" s="48">
        <v>0</v>
      </c>
      <c r="T463" s="48">
        <f t="shared" si="41"/>
        <v>-1049.433</v>
      </c>
      <c r="U463" s="48">
        <f t="shared" si="42"/>
        <v>0</v>
      </c>
      <c r="V463" s="49">
        <f>+Tabla_Auditorias[[#This Row],[AJUSTE
EGRESO
COSTO]]+Tabla_Auditorias[[#This Row],[AJUSTE EGRESO
MAL ESTADO]]+Tabla_Auditorias[[#This Row],[AJUSTE
INGRESO
COSTO]]</f>
        <v>0</v>
      </c>
      <c r="W463" s="48">
        <v>0</v>
      </c>
      <c r="X463" s="48">
        <v>0</v>
      </c>
      <c r="Y463" s="48">
        <v>-1052.4168999999999</v>
      </c>
      <c r="Z463" s="48">
        <v>0</v>
      </c>
      <c r="AA463" s="50">
        <f t="shared" si="45"/>
        <v>-1052.4168999999999</v>
      </c>
      <c r="AB463" s="36" t="str">
        <f t="shared" si="47"/>
        <v>MEDIO</v>
      </c>
      <c r="AC463" s="37">
        <f>IFERROR(IF(M463=0,0,IF(ABS(O463)/M463=0,0,IF(ABS(O463)/M463&lt;=0.01,10,IF(ABS(O463)/M463&lt;=0.03,25,IF(ABS(O463)/M463&lt;=0.05,40,50)))))+IF(ABS(U463)=0,0,IF(ABS(U463)&lt;=200,10,IF(ABS(U463)&lt;=500,15,IF(ABS(U463)&lt;=2000,22,30))))+IF(COUNTIFS($B$5:B462,B463,$O$5:O462,"&lt;0")&gt;0,15,0)+IF(OR(Q463&lt;0,R463&lt;0),5,0),0)</f>
        <v>20</v>
      </c>
      <c r="AD463" s="35">
        <v>0</v>
      </c>
      <c r="AE463" s="107" t="s">
        <v>529</v>
      </c>
      <c r="AF463" s="38" t="str">
        <f t="shared" si="46"/>
        <v>Si</v>
      </c>
      <c r="AG463" s="39" t="s">
        <v>562</v>
      </c>
      <c r="AH463" s="40">
        <v>0</v>
      </c>
      <c r="AI463" s="51" t="str">
        <f t="shared" si="48"/>
        <v/>
      </c>
      <c r="AJ463" s="38" t="str">
        <f t="shared" si="49"/>
        <v>Pendiente</v>
      </c>
    </row>
    <row r="464" spans="1:36" ht="42" customHeight="1" x14ac:dyDescent="0.25">
      <c r="A464" s="32">
        <v>460</v>
      </c>
      <c r="B464" s="33" t="s">
        <v>65</v>
      </c>
      <c r="C464" s="32" t="s">
        <v>51</v>
      </c>
      <c r="D464" s="32" t="s">
        <v>57</v>
      </c>
      <c r="E464" s="32" t="s">
        <v>58</v>
      </c>
      <c r="F464" s="32">
        <v>1707</v>
      </c>
      <c r="G464" s="33" t="s">
        <v>59</v>
      </c>
      <c r="H464" s="32" t="s">
        <v>47</v>
      </c>
      <c r="I464" s="32" t="s">
        <v>563</v>
      </c>
      <c r="J464" s="34">
        <v>46154</v>
      </c>
      <c r="K464" s="34">
        <v>46157</v>
      </c>
      <c r="L464" s="32" t="s">
        <v>48</v>
      </c>
      <c r="M464" s="48">
        <v>105353.3213</v>
      </c>
      <c r="N464" s="48">
        <v>17.52</v>
      </c>
      <c r="O464" s="48">
        <v>-13.35</v>
      </c>
      <c r="P464" s="48">
        <v>-2.4500000000000002</v>
      </c>
      <c r="Q464" s="48">
        <v>0</v>
      </c>
      <c r="R464" s="48">
        <v>-640.74</v>
      </c>
      <c r="S464" s="48">
        <v>0</v>
      </c>
      <c r="T464" s="48">
        <f t="shared" si="41"/>
        <v>-639.02</v>
      </c>
      <c r="U464" s="48">
        <f t="shared" si="42"/>
        <v>1.7199999999999998</v>
      </c>
      <c r="V464" s="49">
        <f>+Tabla_Auditorias[[#This Row],[AJUSTE
EGRESO
COSTO]]+Tabla_Auditorias[[#This Row],[AJUSTE EGRESO
MAL ESTADO]]+Tabla_Auditorias[[#This Row],[AJUSTE
INGRESO
COSTO]]</f>
        <v>2.8020055555555583</v>
      </c>
      <c r="W464" s="48">
        <v>-9.3864944444444411</v>
      </c>
      <c r="X464" s="48">
        <v>0</v>
      </c>
      <c r="Y464" s="48">
        <v>-451.3</v>
      </c>
      <c r="Z464" s="48">
        <v>12.188499999999999</v>
      </c>
      <c r="AA464" s="50">
        <f t="shared" si="45"/>
        <v>-448.49799444444449</v>
      </c>
      <c r="AB464" s="36" t="str">
        <f t="shared" si="47"/>
        <v>ALTO</v>
      </c>
      <c r="AC464" s="37">
        <f>IFERROR(IF(M464=0,0,IF(ABS(O464)/M464=0,0,IF(ABS(O464)/M464&lt;=0.01,10,IF(ABS(O464)/M464&lt;=0.03,25,IF(ABS(O464)/M464&lt;=0.05,40,50)))))+IF(ABS(U464)=0,0,IF(ABS(U464)&lt;=200,10,IF(ABS(U464)&lt;=500,15,IF(ABS(U464)&lt;=2000,22,30))))+IF(COUNTIFS($B$5:B463,B464,$O$5:O463,"&lt;0")&gt;0,15,0)+IF(OR(Q464&lt;0,R464&lt;0),5,0),0)</f>
        <v>40</v>
      </c>
      <c r="AD464" s="35">
        <v>0</v>
      </c>
      <c r="AE464" s="107" t="s">
        <v>529</v>
      </c>
      <c r="AF464" s="38" t="str">
        <f t="shared" si="46"/>
        <v>Si</v>
      </c>
      <c r="AG464" s="39" t="s">
        <v>564</v>
      </c>
      <c r="AH464" s="40">
        <v>0</v>
      </c>
      <c r="AI464" s="51" t="str">
        <f t="shared" si="48"/>
        <v/>
      </c>
      <c r="AJ464" s="38" t="str">
        <f t="shared" si="49"/>
        <v>No Aplica</v>
      </c>
    </row>
    <row r="465" spans="1:36" ht="38.25" customHeight="1" x14ac:dyDescent="0.25">
      <c r="A465" s="32">
        <v>461</v>
      </c>
      <c r="B465" s="33" t="s">
        <v>373</v>
      </c>
      <c r="C465" s="32" t="s">
        <v>51</v>
      </c>
      <c r="D465" s="32" t="s">
        <v>362</v>
      </c>
      <c r="E465" s="32" t="s">
        <v>58</v>
      </c>
      <c r="F465" s="32">
        <v>1736</v>
      </c>
      <c r="G465" s="33" t="s">
        <v>59</v>
      </c>
      <c r="H465" s="32" t="s">
        <v>47</v>
      </c>
      <c r="I465" s="32" t="s">
        <v>565</v>
      </c>
      <c r="J465" s="34">
        <v>46156</v>
      </c>
      <c r="K465" s="34">
        <v>46158</v>
      </c>
      <c r="L465" s="32" t="s">
        <v>48</v>
      </c>
      <c r="M465" s="48">
        <v>25432.480856107701</v>
      </c>
      <c r="N465" s="48">
        <v>89.66</v>
      </c>
      <c r="O465" s="48">
        <v>-81.760000000000005</v>
      </c>
      <c r="P465" s="48">
        <v>0</v>
      </c>
      <c r="Q465" s="48">
        <v>0</v>
      </c>
      <c r="R465" s="48">
        <v>0</v>
      </c>
      <c r="S465" s="48">
        <v>0</v>
      </c>
      <c r="T465" s="48">
        <f t="shared" si="41"/>
        <v>7.8999999999999915</v>
      </c>
      <c r="U465" s="48">
        <f t="shared" si="42"/>
        <v>7.8999999999999915</v>
      </c>
      <c r="V465" s="49">
        <f>+Tabla_Auditorias[[#This Row],[AJUSTE
EGRESO
COSTO]]+Tabla_Auditorias[[#This Row],[AJUSTE EGRESO
MAL ESTADO]]+Tabla_Auditorias[[#This Row],[AJUSTE
INGRESO
COSTO]]</f>
        <v>7.9055870192813984</v>
      </c>
      <c r="W465" s="48">
        <v>-81.757195074936106</v>
      </c>
      <c r="X465" s="48">
        <v>0</v>
      </c>
      <c r="Y465" s="48">
        <v>0</v>
      </c>
      <c r="Z465" s="48">
        <v>89.662782094217505</v>
      </c>
      <c r="AA465" s="50">
        <f t="shared" si="45"/>
        <v>7.9055870192813984</v>
      </c>
      <c r="AB465" s="36" t="str">
        <f t="shared" si="47"/>
        <v>MEDIO</v>
      </c>
      <c r="AC465" s="37">
        <f>IFERROR(IF(M465=0,0,IF(ABS(O465)/M465=0,0,IF(ABS(O465)/M465&lt;=0.01,10,IF(ABS(O465)/M465&lt;=0.03,25,IF(ABS(O465)/M465&lt;=0.05,40,50)))))+IF(ABS(U465)=0,0,IF(ABS(U465)&lt;=200,10,IF(ABS(U465)&lt;=500,15,IF(ABS(U465)&lt;=2000,22,30))))+IF(COUNTIFS($B$5:B464,B465,$O$5:O464,"&lt;0")&gt;0,15,0)+IF(OR(Q465&lt;0,R465&lt;0),5,0),0)</f>
        <v>35</v>
      </c>
      <c r="AD465" s="35">
        <v>0</v>
      </c>
      <c r="AE465" s="41" t="s">
        <v>432</v>
      </c>
      <c r="AF465" s="38" t="str">
        <f t="shared" si="46"/>
        <v>Si</v>
      </c>
      <c r="AG465" s="39" t="s">
        <v>566</v>
      </c>
      <c r="AH465" s="40">
        <v>0</v>
      </c>
      <c r="AI465" s="51" t="str">
        <f t="shared" si="48"/>
        <v/>
      </c>
      <c r="AJ465" s="38" t="str">
        <f t="shared" si="49"/>
        <v>No Aplica</v>
      </c>
    </row>
    <row r="466" spans="1:36" ht="52.5" customHeight="1" x14ac:dyDescent="0.25">
      <c r="A466" s="32">
        <v>462</v>
      </c>
      <c r="B466" s="33" t="s">
        <v>413</v>
      </c>
      <c r="C466" s="32" t="s">
        <v>43</v>
      </c>
      <c r="D466" s="32" t="s">
        <v>44</v>
      </c>
      <c r="E466" s="32" t="s">
        <v>53</v>
      </c>
      <c r="F466" s="32">
        <v>1518</v>
      </c>
      <c r="G466" s="33" t="s">
        <v>54</v>
      </c>
      <c r="H466" s="32" t="s">
        <v>47</v>
      </c>
      <c r="I466" s="32" t="s">
        <v>567</v>
      </c>
      <c r="J466" s="34">
        <v>46158</v>
      </c>
      <c r="K466" s="34">
        <v>46158</v>
      </c>
      <c r="L466" s="32" t="s">
        <v>48</v>
      </c>
      <c r="M466" s="48">
        <v>70307.661300000269</v>
      </c>
      <c r="N466" s="48">
        <v>278.31599999999997</v>
      </c>
      <c r="O466" s="48">
        <v>-311.94619999999998</v>
      </c>
      <c r="P466" s="48">
        <v>0</v>
      </c>
      <c r="Q466" s="48">
        <v>0</v>
      </c>
      <c r="R466" s="48">
        <v>0</v>
      </c>
      <c r="S466" s="48">
        <v>0</v>
      </c>
      <c r="T466" s="48">
        <f t="shared" si="41"/>
        <v>-33.630200000000002</v>
      </c>
      <c r="U466" s="48">
        <f t="shared" si="42"/>
        <v>-33.630200000000002</v>
      </c>
      <c r="V466" s="49">
        <f>+Tabla_Auditorias[[#This Row],[AJUSTE
EGRESO
COSTO]]+Tabla_Auditorias[[#This Row],[AJUSTE EGRESO
MAL ESTADO]]+Tabla_Auditorias[[#This Row],[AJUSTE
INGRESO
COSTO]]</f>
        <v>-6.6411696969697118</v>
      </c>
      <c r="W466" s="48">
        <v>-161.26650000000001</v>
      </c>
      <c r="X466" s="48">
        <v>0</v>
      </c>
      <c r="Y466" s="48">
        <v>0</v>
      </c>
      <c r="Z466" s="48">
        <v>154.6253303030303</v>
      </c>
      <c r="AA466" s="50">
        <f t="shared" si="45"/>
        <v>-6.6411696969697118</v>
      </c>
      <c r="AB466" s="36" t="str">
        <f t="shared" si="47"/>
        <v>MEDIO</v>
      </c>
      <c r="AC466" s="37">
        <f>IFERROR(IF(M466=0,0,IF(ABS(O466)/M466=0,0,IF(ABS(O466)/M466&lt;=0.01,10,IF(ABS(O466)/M466&lt;=0.03,25,IF(ABS(O466)/M466&lt;=0.05,40,50)))))+IF(ABS(U466)=0,0,IF(ABS(U466)&lt;=200,10,IF(ABS(U466)&lt;=500,15,IF(ABS(U466)&lt;=2000,22,30))))+IF(COUNTIFS($B$5:B465,B466,$O$5:O465,"&lt;0")&gt;0,15,0)+IF(OR(Q466&lt;0,R466&lt;0),5,0),0)</f>
        <v>35</v>
      </c>
      <c r="AD466" s="35">
        <v>0</v>
      </c>
      <c r="AE466" s="41" t="s">
        <v>49</v>
      </c>
      <c r="AF466" s="38" t="str">
        <f t="shared" si="46"/>
        <v>Si</v>
      </c>
      <c r="AG466" s="39" t="s">
        <v>568</v>
      </c>
      <c r="AH466" s="40">
        <v>7.31</v>
      </c>
      <c r="AI466" s="51">
        <f t="shared" si="48"/>
        <v>1.1007097143347304</v>
      </c>
      <c r="AJ466" s="38" t="str">
        <f t="shared" si="49"/>
        <v>Cobrado Total</v>
      </c>
    </row>
    <row r="467" spans="1:36" ht="25.5" customHeight="1" x14ac:dyDescent="0.25">
      <c r="A467" s="32">
        <v>463</v>
      </c>
      <c r="B467" s="33" t="s">
        <v>569</v>
      </c>
      <c r="C467" s="32" t="s">
        <v>43</v>
      </c>
      <c r="D467" s="32" t="s">
        <v>44</v>
      </c>
      <c r="E467" s="32" t="s">
        <v>53</v>
      </c>
      <c r="F467" s="32">
        <v>1513</v>
      </c>
      <c r="G467" s="33" t="s">
        <v>54</v>
      </c>
      <c r="H467" s="32" t="s">
        <v>47</v>
      </c>
      <c r="I467" s="32" t="s">
        <v>570</v>
      </c>
      <c r="J467" s="34">
        <v>46158</v>
      </c>
      <c r="K467" s="34">
        <v>46158</v>
      </c>
      <c r="L467" s="32" t="s">
        <v>48</v>
      </c>
      <c r="M467" s="48">
        <v>142835.51940000019</v>
      </c>
      <c r="N467" s="48">
        <v>0</v>
      </c>
      <c r="O467" s="48">
        <v>0</v>
      </c>
      <c r="P467" s="48">
        <v>0</v>
      </c>
      <c r="Q467" s="48">
        <v>0</v>
      </c>
      <c r="R467" s="48">
        <v>0</v>
      </c>
      <c r="S467" s="48">
        <v>0</v>
      </c>
      <c r="T467" s="48">
        <f t="shared" si="41"/>
        <v>0</v>
      </c>
      <c r="U467" s="48">
        <f t="shared" si="42"/>
        <v>0</v>
      </c>
      <c r="V467" s="49">
        <f>+Tabla_Auditorias[[#This Row],[AJUSTE
EGRESO
COSTO]]+Tabla_Auditorias[[#This Row],[AJUSTE EGRESO
MAL ESTADO]]+Tabla_Auditorias[[#This Row],[AJUSTE
INGRESO
COSTO]]</f>
        <v>0</v>
      </c>
      <c r="W467" s="48">
        <v>0</v>
      </c>
      <c r="X467" s="48">
        <v>0</v>
      </c>
      <c r="Y467" s="48">
        <v>0</v>
      </c>
      <c r="Z467" s="48">
        <v>0</v>
      </c>
      <c r="AA467" s="50">
        <f t="shared" si="45"/>
        <v>0</v>
      </c>
      <c r="AB467" s="36" t="str">
        <f t="shared" si="47"/>
        <v>BAJO</v>
      </c>
      <c r="AC467" s="37">
        <f>IFERROR(IF(M467=0,0,IF(ABS(O467)/M467=0,0,IF(ABS(O467)/M467&lt;=0.01,10,IF(ABS(O467)/M467&lt;=0.03,25,IF(ABS(O467)/M467&lt;=0.05,40,50)))))+IF(ABS(U467)=0,0,IF(ABS(U467)&lt;=200,10,IF(ABS(U467)&lt;=500,15,IF(ABS(U467)&lt;=2000,22,30))))+IF(COUNTIFS($B$5:B466,B467,$O$5:O466,"&lt;0")&gt;0,15,0)+IF(OR(Q467&lt;0,R467&lt;0),5,0),0)</f>
        <v>0</v>
      </c>
      <c r="AD467" s="35">
        <v>0</v>
      </c>
      <c r="AE467" s="41" t="s">
        <v>408</v>
      </c>
      <c r="AF467" s="38" t="str">
        <f t="shared" si="46"/>
        <v>No</v>
      </c>
      <c r="AG467" s="39" t="s">
        <v>221</v>
      </c>
      <c r="AH467" s="40">
        <v>0</v>
      </c>
      <c r="AI467" s="51" t="str">
        <f t="shared" si="48"/>
        <v/>
      </c>
      <c r="AJ467" s="38" t="str">
        <f t="shared" si="49"/>
        <v>Pendiente</v>
      </c>
    </row>
    <row r="468" spans="1:36" ht="38.25" customHeight="1" x14ac:dyDescent="0.25">
      <c r="A468" s="32">
        <v>464</v>
      </c>
      <c r="B468" s="33" t="s">
        <v>365</v>
      </c>
      <c r="C468" s="32" t="s">
        <v>51</v>
      </c>
      <c r="D468" s="32" t="s">
        <v>362</v>
      </c>
      <c r="E468" s="32" t="s">
        <v>58</v>
      </c>
      <c r="F468" s="32">
        <v>1715</v>
      </c>
      <c r="G468" s="33" t="s">
        <v>59</v>
      </c>
      <c r="H468" s="32" t="s">
        <v>47</v>
      </c>
      <c r="I468" s="32" t="s">
        <v>571</v>
      </c>
      <c r="J468" s="34">
        <v>46160</v>
      </c>
      <c r="K468" s="34">
        <v>46167</v>
      </c>
      <c r="L468" s="32" t="s">
        <v>48</v>
      </c>
      <c r="M468" s="48">
        <v>42791.896397233802</v>
      </c>
      <c r="N468" s="48">
        <v>369.67</v>
      </c>
      <c r="O468" s="48">
        <v>-496.91</v>
      </c>
      <c r="P468" s="48">
        <v>0</v>
      </c>
      <c r="Q468" s="48">
        <v>0</v>
      </c>
      <c r="R468" s="48">
        <v>0</v>
      </c>
      <c r="S468" s="48">
        <v>0</v>
      </c>
      <c r="T468" s="48">
        <f t="shared" si="41"/>
        <v>-127.24000000000001</v>
      </c>
      <c r="U468" s="48">
        <f t="shared" si="42"/>
        <v>-127.24000000000001</v>
      </c>
      <c r="V468" s="49">
        <f>+Tabla_Auditorias[[#This Row],[AJUSTE
EGRESO
COSTO]]+Tabla_Auditorias[[#This Row],[AJUSTE EGRESO
MAL ESTADO]]+Tabla_Auditorias[[#This Row],[AJUSTE
INGRESO
COSTO]]</f>
        <v>-127.244320908041</v>
      </c>
      <c r="W468" s="48">
        <v>-496.79261561416001</v>
      </c>
      <c r="X468" s="48">
        <v>0</v>
      </c>
      <c r="Y468" s="48">
        <v>0</v>
      </c>
      <c r="Z468" s="48">
        <v>369.54829470611901</v>
      </c>
      <c r="AA468" s="50">
        <f t="shared" si="45"/>
        <v>-127.244320908041</v>
      </c>
      <c r="AB468" s="36" t="str">
        <f t="shared" si="47"/>
        <v>ALTO</v>
      </c>
      <c r="AC468" s="37">
        <f>IFERROR(IF(M468=0,0,IF(ABS(O468)/M468=0,0,IF(ABS(O468)/M468&lt;=0.01,10,IF(ABS(O468)/M468&lt;=0.03,25,IF(ABS(O468)/M468&lt;=0.05,40,50)))))+IF(ABS(U468)=0,0,IF(ABS(U468)&lt;=200,10,IF(ABS(U468)&lt;=500,15,IF(ABS(U468)&lt;=2000,22,30))))+IF(COUNTIFS($B$5:B467,B468,$O$5:O467,"&lt;0")&gt;0,15,0)+IF(OR(Q468&lt;0,R468&lt;0),5,0),0)</f>
        <v>50</v>
      </c>
      <c r="AD468" s="35">
        <v>0</v>
      </c>
      <c r="AE468" s="41" t="s">
        <v>432</v>
      </c>
      <c r="AF468" s="38" t="str">
        <f t="shared" si="46"/>
        <v>Si</v>
      </c>
      <c r="AG468" s="39" t="s">
        <v>572</v>
      </c>
      <c r="AH468" s="40">
        <v>0</v>
      </c>
      <c r="AI468" s="51">
        <f t="shared" si="48"/>
        <v>0</v>
      </c>
      <c r="AJ468" s="38" t="str">
        <f t="shared" si="49"/>
        <v>Pendiente</v>
      </c>
    </row>
    <row r="469" spans="1:36" ht="25.5" customHeight="1" x14ac:dyDescent="0.25">
      <c r="A469" s="32">
        <v>465</v>
      </c>
      <c r="B469" s="33" t="s">
        <v>50</v>
      </c>
      <c r="C469" s="32" t="s">
        <v>51</v>
      </c>
      <c r="D469" s="32" t="s">
        <v>52</v>
      </c>
      <c r="E469" s="32" t="s">
        <v>53</v>
      </c>
      <c r="F469" s="32">
        <v>1732</v>
      </c>
      <c r="G469" s="33" t="s">
        <v>54</v>
      </c>
      <c r="H469" s="32" t="s">
        <v>47</v>
      </c>
      <c r="I469" s="32" t="s">
        <v>573</v>
      </c>
      <c r="J469" s="34">
        <v>46162</v>
      </c>
      <c r="K469" s="34">
        <v>46162</v>
      </c>
      <c r="L469" s="32" t="s">
        <v>48</v>
      </c>
      <c r="M469" s="48">
        <v>47524.321199999998</v>
      </c>
      <c r="N469" s="48">
        <v>0</v>
      </c>
      <c r="O469" s="48">
        <v>0</v>
      </c>
      <c r="P469" s="48">
        <v>0</v>
      </c>
      <c r="Q469" s="48">
        <v>0</v>
      </c>
      <c r="R469" s="48">
        <v>0</v>
      </c>
      <c r="S469" s="48">
        <v>0</v>
      </c>
      <c r="T469" s="48">
        <f t="shared" si="41"/>
        <v>0</v>
      </c>
      <c r="U469" s="48">
        <f t="shared" si="42"/>
        <v>0</v>
      </c>
      <c r="V469" s="49">
        <f>+Tabla_Auditorias[[#This Row],[AJUSTE
EGRESO
COSTO]]+Tabla_Auditorias[[#This Row],[AJUSTE EGRESO
MAL ESTADO]]+Tabla_Auditorias[[#This Row],[AJUSTE
INGRESO
COSTO]]</f>
        <v>0</v>
      </c>
      <c r="W469" s="48">
        <v>0</v>
      </c>
      <c r="X469" s="48">
        <v>0</v>
      </c>
      <c r="Y469" s="48">
        <v>0</v>
      </c>
      <c r="Z469" s="48">
        <v>0</v>
      </c>
      <c r="AA469" s="50">
        <f t="shared" si="45"/>
        <v>0</v>
      </c>
      <c r="AB469" s="36" t="str">
        <f t="shared" si="47"/>
        <v>BAJO</v>
      </c>
      <c r="AC469" s="37">
        <f>IFERROR(IF(M469=0,0,IF(ABS(O469)/M469=0,0,IF(ABS(O469)/M469&lt;=0.01,10,IF(ABS(O469)/M469&lt;=0.03,25,IF(ABS(O469)/M469&lt;=0.05,40,50)))))+IF(ABS(U469)=0,0,IF(ABS(U469)&lt;=200,10,IF(ABS(U469)&lt;=500,15,IF(ABS(U469)&lt;=2000,22,30))))+IF(COUNTIFS($B$5:B468,B469,$O$5:O468,"&lt;0")&gt;0,15,0)+IF(OR(Q469&lt;0,R469&lt;0),5,0),0)</f>
        <v>0</v>
      </c>
      <c r="AD469" s="35">
        <v>0</v>
      </c>
      <c r="AE469" s="107" t="s">
        <v>529</v>
      </c>
      <c r="AF469" s="38" t="str">
        <f t="shared" si="46"/>
        <v>No</v>
      </c>
      <c r="AG469" s="39" t="s">
        <v>221</v>
      </c>
      <c r="AH469" s="40">
        <v>0</v>
      </c>
      <c r="AI469" s="51" t="str">
        <f t="shared" si="48"/>
        <v/>
      </c>
      <c r="AJ469" s="38" t="str">
        <f t="shared" si="49"/>
        <v>Pendiente</v>
      </c>
    </row>
    <row r="470" spans="1:36" ht="38.25" customHeight="1" x14ac:dyDescent="0.25">
      <c r="A470" s="32">
        <v>466</v>
      </c>
      <c r="B470" s="33" t="s">
        <v>291</v>
      </c>
      <c r="C470" s="32" t="s">
        <v>153</v>
      </c>
      <c r="D470" s="32" t="s">
        <v>89</v>
      </c>
      <c r="E470" s="32" t="s">
        <v>53</v>
      </c>
      <c r="F470" s="32">
        <v>3043</v>
      </c>
      <c r="G470" s="33" t="s">
        <v>54</v>
      </c>
      <c r="H470" s="32" t="s">
        <v>47</v>
      </c>
      <c r="I470" s="32" t="s">
        <v>574</v>
      </c>
      <c r="J470" s="34">
        <v>46162</v>
      </c>
      <c r="K470" s="34">
        <v>46162</v>
      </c>
      <c r="L470" s="32" t="s">
        <v>48</v>
      </c>
      <c r="M470" s="48">
        <v>26647.127100000002</v>
      </c>
      <c r="N470" s="48">
        <v>0</v>
      </c>
      <c r="O470" s="48">
        <v>0</v>
      </c>
      <c r="P470" s="48">
        <v>0</v>
      </c>
      <c r="Q470" s="48">
        <v>0</v>
      </c>
      <c r="R470" s="48">
        <v>0</v>
      </c>
      <c r="S470" s="48">
        <v>0</v>
      </c>
      <c r="T470" s="48">
        <f t="shared" si="41"/>
        <v>0</v>
      </c>
      <c r="U470" s="48">
        <f t="shared" si="42"/>
        <v>0</v>
      </c>
      <c r="V470" s="49">
        <f>+Tabla_Auditorias[[#This Row],[AJUSTE
EGRESO
COSTO]]+Tabla_Auditorias[[#This Row],[AJUSTE EGRESO
MAL ESTADO]]+Tabla_Auditorias[[#This Row],[AJUSTE
INGRESO
COSTO]]</f>
        <v>0</v>
      </c>
      <c r="W470" s="48">
        <v>0</v>
      </c>
      <c r="X470" s="48">
        <v>0</v>
      </c>
      <c r="Y470" s="48">
        <v>0</v>
      </c>
      <c r="Z470" s="48">
        <v>0</v>
      </c>
      <c r="AA470" s="50">
        <f t="shared" si="45"/>
        <v>0</v>
      </c>
      <c r="AB470" s="36" t="str">
        <f t="shared" si="47"/>
        <v>BAJO</v>
      </c>
      <c r="AC470" s="37">
        <f>IFERROR(IF(M470=0,0,IF(ABS(O470)/M470=0,0,IF(ABS(O470)/M470&lt;=0.01,10,IF(ABS(O470)/M470&lt;=0.03,25,IF(ABS(O470)/M470&lt;=0.05,40,50)))))+IF(ABS(U470)=0,0,IF(ABS(U470)&lt;=200,10,IF(ABS(U470)&lt;=500,15,IF(ABS(U470)&lt;=2000,22,30))))+IF(COUNTIFS($B$5:B469,B470,$O$5:O469,"&lt;0")&gt;0,15,0)+IF(OR(Q470&lt;0,R470&lt;0),5,0),0)</f>
        <v>0</v>
      </c>
      <c r="AD470" s="35">
        <v>0</v>
      </c>
      <c r="AE470" s="41" t="s">
        <v>602</v>
      </c>
      <c r="AF470" s="38" t="str">
        <f t="shared" si="46"/>
        <v>No</v>
      </c>
      <c r="AG470" s="39" t="s">
        <v>221</v>
      </c>
      <c r="AH470" s="40">
        <v>0</v>
      </c>
      <c r="AI470" s="51" t="str">
        <f t="shared" si="48"/>
        <v/>
      </c>
      <c r="AJ470" s="38" t="str">
        <f t="shared" si="49"/>
        <v>Pendiente</v>
      </c>
    </row>
    <row r="471" spans="1:36" ht="21" customHeight="1" x14ac:dyDescent="0.25">
      <c r="A471" s="32">
        <v>467</v>
      </c>
      <c r="B471" s="33" t="s">
        <v>188</v>
      </c>
      <c r="C471" s="32" t="s">
        <v>51</v>
      </c>
      <c r="D471" s="32" t="s">
        <v>57</v>
      </c>
      <c r="E471" s="32" t="s">
        <v>58</v>
      </c>
      <c r="F471" s="32">
        <v>1742</v>
      </c>
      <c r="G471" s="33" t="s">
        <v>59</v>
      </c>
      <c r="H471" s="32" t="s">
        <v>47</v>
      </c>
      <c r="I471" s="32" t="s">
        <v>575</v>
      </c>
      <c r="J471" s="34">
        <v>46163</v>
      </c>
      <c r="K471" s="34">
        <v>46163</v>
      </c>
      <c r="L471" s="32" t="s">
        <v>48</v>
      </c>
      <c r="M471" s="48">
        <v>123355.8371</v>
      </c>
      <c r="N471" s="48">
        <v>19.399999999999999</v>
      </c>
      <c r="O471" s="48">
        <v>-19.73</v>
      </c>
      <c r="P471" s="48">
        <v>9.8800000000000008</v>
      </c>
      <c r="Q471" s="48">
        <v>0</v>
      </c>
      <c r="R471" s="48">
        <v>0</v>
      </c>
      <c r="S471" s="48">
        <v>0</v>
      </c>
      <c r="T471" s="48">
        <f t="shared" si="41"/>
        <v>9.5499999999999989</v>
      </c>
      <c r="U471" s="48">
        <f t="shared" si="42"/>
        <v>9.5499999999999989</v>
      </c>
      <c r="V471" s="49">
        <f>+Tabla_Auditorias[[#This Row],[AJUSTE
EGRESO
COSTO]]+Tabla_Auditorias[[#This Row],[AJUSTE EGRESO
MAL ESTADO]]+Tabla_Auditorias[[#This Row],[AJUSTE
INGRESO
COSTO]]</f>
        <v>11.424033333333327</v>
      </c>
      <c r="W471" s="48">
        <v>-44.593466666666671</v>
      </c>
      <c r="X471" s="48">
        <v>0</v>
      </c>
      <c r="Y471" s="48">
        <v>0</v>
      </c>
      <c r="Z471" s="48">
        <v>56.017499999999998</v>
      </c>
      <c r="AA471" s="50">
        <f t="shared" si="45"/>
        <v>11.424033333333327</v>
      </c>
      <c r="AB471" s="36" t="str">
        <f t="shared" si="47"/>
        <v>MEDIO</v>
      </c>
      <c r="AC471" s="37">
        <f>IFERROR(IF(M471=0,0,IF(ABS(O471)/M471=0,0,IF(ABS(O471)/M471&lt;=0.01,10,IF(ABS(O471)/M471&lt;=0.03,25,IF(ABS(O471)/M471&lt;=0.05,40,50)))))+IF(ABS(U471)=0,0,IF(ABS(U471)&lt;=200,10,IF(ABS(U471)&lt;=500,15,IF(ABS(U471)&lt;=2000,22,30))))+IF(COUNTIFS($B$5:B470,B471,$O$5:O470,"&lt;0")&gt;0,15,0)+IF(OR(Q471&lt;0,R471&lt;0),5,0),0)</f>
        <v>35</v>
      </c>
      <c r="AD471" s="35">
        <v>0</v>
      </c>
      <c r="AE471" s="107" t="s">
        <v>529</v>
      </c>
      <c r="AF471" s="38" t="str">
        <f t="shared" si="46"/>
        <v>Si</v>
      </c>
      <c r="AG471" s="39" t="s">
        <v>576</v>
      </c>
      <c r="AH471" s="40">
        <v>0</v>
      </c>
      <c r="AI471" s="51" t="str">
        <f t="shared" si="48"/>
        <v/>
      </c>
      <c r="AJ471" s="38" t="str">
        <f t="shared" si="49"/>
        <v>No Aplica</v>
      </c>
    </row>
    <row r="472" spans="1:36" ht="25.5" customHeight="1" x14ac:dyDescent="0.25">
      <c r="A472" s="32">
        <v>468</v>
      </c>
      <c r="B472" s="33" t="s">
        <v>224</v>
      </c>
      <c r="C472" s="32" t="s">
        <v>153</v>
      </c>
      <c r="D472" s="32" t="s">
        <v>89</v>
      </c>
      <c r="E472" s="32" t="s">
        <v>58</v>
      </c>
      <c r="F472" s="32">
        <v>3042</v>
      </c>
      <c r="G472" s="33" t="s">
        <v>59</v>
      </c>
      <c r="H472" s="32" t="s">
        <v>47</v>
      </c>
      <c r="I472" s="32" t="s">
        <v>577</v>
      </c>
      <c r="J472" s="34">
        <v>46164</v>
      </c>
      <c r="K472" s="34">
        <v>46164</v>
      </c>
      <c r="L472" s="32" t="s">
        <v>48</v>
      </c>
      <c r="M472" s="48">
        <v>14254.4534</v>
      </c>
      <c r="N472" s="48">
        <v>43.7</v>
      </c>
      <c r="O472" s="48">
        <v>0</v>
      </c>
      <c r="P472" s="48">
        <v>2.1499999999999799</v>
      </c>
      <c r="Q472" s="48">
        <v>0</v>
      </c>
      <c r="R472" s="48">
        <v>0</v>
      </c>
      <c r="S472" s="48">
        <v>0</v>
      </c>
      <c r="T472" s="48">
        <f t="shared" si="41"/>
        <v>45.84999999999998</v>
      </c>
      <c r="U472" s="48">
        <f t="shared" ref="U472:U505" si="50">N472+O472+P472+Q472+S472</f>
        <v>45.84999999999998</v>
      </c>
      <c r="V472" s="49">
        <f>+Tabla_Auditorias[[#This Row],[AJUSTE
EGRESO
COSTO]]+Tabla_Auditorias[[#This Row],[AJUSTE EGRESO
MAL ESTADO]]+Tabla_Auditorias[[#This Row],[AJUSTE
INGRESO
COSTO]]</f>
        <v>29.971220316317016</v>
      </c>
      <c r="W472" s="48">
        <v>-170.31311891445199</v>
      </c>
      <c r="X472" s="48">
        <v>0</v>
      </c>
      <c r="Y472" s="48">
        <v>0</v>
      </c>
      <c r="Z472" s="48">
        <v>200.28433923076901</v>
      </c>
      <c r="AA472" s="50">
        <f t="shared" si="45"/>
        <v>29.971220316317016</v>
      </c>
      <c r="AB472" s="36" t="str">
        <f t="shared" si="47"/>
        <v>MEDIO</v>
      </c>
      <c r="AC472" s="37">
        <f>IFERROR(IF(M472=0,0,IF(ABS(O472)/M472=0,0,IF(ABS(O472)/M472&lt;=0.01,10,IF(ABS(O472)/M472&lt;=0.03,25,IF(ABS(O472)/M472&lt;=0.05,40,50)))))+IF(ABS(U472)=0,0,IF(ABS(U472)&lt;=200,10,IF(ABS(U472)&lt;=500,15,IF(ABS(U472)&lt;=2000,22,30))))+IF(COUNTIFS($B$5:B471,B472,$O$5:O471,"&lt;0")&gt;0,15,0)+IF(OR(Q472&lt;0,R472&lt;0),5,0),0)</f>
        <v>25</v>
      </c>
      <c r="AD472" s="35">
        <v>0</v>
      </c>
      <c r="AE472" s="41" t="s">
        <v>602</v>
      </c>
      <c r="AF472" s="38" t="str">
        <f t="shared" si="46"/>
        <v>Si</v>
      </c>
      <c r="AG472" s="39" t="s">
        <v>578</v>
      </c>
      <c r="AH472" s="40">
        <v>0</v>
      </c>
      <c r="AI472" s="51" t="str">
        <f t="shared" si="48"/>
        <v/>
      </c>
      <c r="AJ472" s="38" t="str">
        <f t="shared" si="49"/>
        <v>No Aplica</v>
      </c>
    </row>
    <row r="473" spans="1:36" ht="31.5" customHeight="1" x14ac:dyDescent="0.25">
      <c r="A473" s="32">
        <v>469</v>
      </c>
      <c r="B473" s="33" t="s">
        <v>118</v>
      </c>
      <c r="C473" s="32" t="s">
        <v>43</v>
      </c>
      <c r="D473" s="32" t="s">
        <v>44</v>
      </c>
      <c r="E473" s="32" t="s">
        <v>53</v>
      </c>
      <c r="F473" s="32">
        <v>1507</v>
      </c>
      <c r="G473" s="33" t="s">
        <v>54</v>
      </c>
      <c r="H473" s="32" t="s">
        <v>47</v>
      </c>
      <c r="I473" s="32" t="s">
        <v>579</v>
      </c>
      <c r="J473" s="34">
        <v>46164</v>
      </c>
      <c r="K473" s="34">
        <v>46164</v>
      </c>
      <c r="L473" s="32" t="s">
        <v>48</v>
      </c>
      <c r="M473" s="48">
        <v>82129.781000000061</v>
      </c>
      <c r="N473" s="48">
        <v>342.35</v>
      </c>
      <c r="O473" s="48">
        <v>-339.92</v>
      </c>
      <c r="P473" s="48">
        <v>-2.720000000000006</v>
      </c>
      <c r="Q473" s="48">
        <v>0</v>
      </c>
      <c r="R473" s="48">
        <v>0</v>
      </c>
      <c r="S473" s="48">
        <v>0</v>
      </c>
      <c r="T473" s="48">
        <f t="shared" si="41"/>
        <v>-0.28999999999999915</v>
      </c>
      <c r="U473" s="48">
        <f t="shared" si="50"/>
        <v>-0.28999999999999915</v>
      </c>
      <c r="V473" s="49">
        <f>+Tabla_Auditorias[[#This Row],[AJUSTE
EGRESO
COSTO]]+Tabla_Auditorias[[#This Row],[AJUSTE EGRESO
MAL ESTADO]]+Tabla_Auditorias[[#This Row],[AJUSTE
INGRESO
COSTO]]</f>
        <v>-2.7007549999999867</v>
      </c>
      <c r="W473" s="48">
        <v>-173.2132666666667</v>
      </c>
      <c r="X473" s="48">
        <v>0</v>
      </c>
      <c r="Y473" s="48">
        <v>0</v>
      </c>
      <c r="Z473" s="48">
        <v>170.51251166666671</v>
      </c>
      <c r="AA473" s="50">
        <f t="shared" si="45"/>
        <v>-2.7007549999999867</v>
      </c>
      <c r="AB473" s="36" t="str">
        <f t="shared" si="47"/>
        <v>MEDIO</v>
      </c>
      <c r="AC473" s="37">
        <f>IFERROR(IF(M473=0,0,IF(ABS(O473)/M473=0,0,IF(ABS(O473)/M473&lt;=0.01,10,IF(ABS(O473)/M473&lt;=0.03,25,IF(ABS(O473)/M473&lt;=0.05,40,50)))))+IF(ABS(U473)=0,0,IF(ABS(U473)&lt;=200,10,IF(ABS(U473)&lt;=500,15,IF(ABS(U473)&lt;=2000,22,30))))+IF(COUNTIFS($B$5:B472,B473,$O$5:O472,"&lt;0")&gt;0,15,0)+IF(OR(Q473&lt;0,R473&lt;0),5,0),0)</f>
        <v>35</v>
      </c>
      <c r="AD473" s="35">
        <v>0</v>
      </c>
      <c r="AE473" s="41" t="s">
        <v>49</v>
      </c>
      <c r="AF473" s="38" t="str">
        <f t="shared" si="46"/>
        <v>Si</v>
      </c>
      <c r="AG473" s="39" t="s">
        <v>580</v>
      </c>
      <c r="AH473" s="40">
        <v>2.97</v>
      </c>
      <c r="AI473" s="51">
        <f t="shared" si="48"/>
        <v>1.0996924933953709</v>
      </c>
      <c r="AJ473" s="38" t="str">
        <f t="shared" si="49"/>
        <v>Cobrado Total</v>
      </c>
    </row>
    <row r="474" spans="1:36" ht="38.25" customHeight="1" x14ac:dyDescent="0.25">
      <c r="A474" s="32">
        <v>470</v>
      </c>
      <c r="B474" s="33" t="s">
        <v>252</v>
      </c>
      <c r="C474" s="32" t="s">
        <v>88</v>
      </c>
      <c r="D474" s="32" t="s">
        <v>228</v>
      </c>
      <c r="E474" s="32" t="s">
        <v>45</v>
      </c>
      <c r="F474" s="32">
        <v>1451</v>
      </c>
      <c r="G474" s="33" t="s">
        <v>314</v>
      </c>
      <c r="H474" s="32" t="s">
        <v>47</v>
      </c>
      <c r="I474" s="32" t="s">
        <v>581</v>
      </c>
      <c r="J474" s="34">
        <v>46164</v>
      </c>
      <c r="K474" s="34">
        <v>46167</v>
      </c>
      <c r="L474" s="32" t="s">
        <v>48</v>
      </c>
      <c r="M474" s="48">
        <v>118265.86459038471</v>
      </c>
      <c r="N474" s="48">
        <v>277.08</v>
      </c>
      <c r="O474" s="48">
        <v>-498.2</v>
      </c>
      <c r="P474" s="48">
        <v>50.31</v>
      </c>
      <c r="Q474" s="48">
        <v>0</v>
      </c>
      <c r="R474" s="48">
        <v>0</v>
      </c>
      <c r="S474" s="48">
        <v>0</v>
      </c>
      <c r="T474" s="48">
        <f t="shared" si="41"/>
        <v>-170.81</v>
      </c>
      <c r="U474" s="48">
        <f t="shared" si="50"/>
        <v>-170.81</v>
      </c>
      <c r="V474" s="49">
        <f>+Tabla_Auditorias[[#This Row],[AJUSTE
EGRESO
COSTO]]+Tabla_Auditorias[[#This Row],[AJUSTE EGRESO
MAL ESTADO]]+Tabla_Auditorias[[#This Row],[AJUSTE
INGRESO
COSTO]]</f>
        <v>-170.80671987975643</v>
      </c>
      <c r="W474" s="48">
        <v>-595.50011987975654</v>
      </c>
      <c r="X474" s="48">
        <v>0</v>
      </c>
      <c r="Y474" s="48">
        <v>0</v>
      </c>
      <c r="Z474" s="48">
        <v>424.69340000000011</v>
      </c>
      <c r="AA474" s="50">
        <f t="shared" si="45"/>
        <v>-170.80671987975643</v>
      </c>
      <c r="AB474" s="36" t="str">
        <f t="shared" si="47"/>
        <v>MEDIO</v>
      </c>
      <c r="AC474" s="37">
        <f>IFERROR(IF(M474=0,0,IF(ABS(O474)/M474=0,0,IF(ABS(O474)/M474&lt;=0.01,10,IF(ABS(O474)/M474&lt;=0.03,25,IF(ABS(O474)/M474&lt;=0.05,40,50)))))+IF(ABS(U474)=0,0,IF(ABS(U474)&lt;=200,10,IF(ABS(U474)&lt;=500,15,IF(ABS(U474)&lt;=2000,22,30))))+IF(COUNTIFS($B$5:B473,B474,$O$5:O473,"&lt;0")&gt;0,15,0)+IF(OR(Q474&lt;0,R474&lt;0),5,0),0)</f>
        <v>35</v>
      </c>
      <c r="AD474" s="35">
        <v>0</v>
      </c>
      <c r="AE474" s="41" t="s">
        <v>602</v>
      </c>
      <c r="AF474" s="38" t="str">
        <f t="shared" si="46"/>
        <v>Si</v>
      </c>
      <c r="AG474" s="39" t="s">
        <v>221</v>
      </c>
      <c r="AH474" s="40">
        <v>0</v>
      </c>
      <c r="AI474" s="51">
        <f t="shared" si="48"/>
        <v>0</v>
      </c>
      <c r="AJ474" s="38" t="str">
        <f t="shared" si="49"/>
        <v>Pendiente</v>
      </c>
    </row>
    <row r="475" spans="1:36" x14ac:dyDescent="0.25">
      <c r="A475" s="32">
        <v>471</v>
      </c>
      <c r="B475" s="33" t="s">
        <v>175</v>
      </c>
      <c r="C475" s="32" t="s">
        <v>51</v>
      </c>
      <c r="D475" s="32" t="s">
        <v>52</v>
      </c>
      <c r="E475" s="32" t="s">
        <v>58</v>
      </c>
      <c r="F475" s="32">
        <v>1738</v>
      </c>
      <c r="G475" s="33" t="s">
        <v>59</v>
      </c>
      <c r="H475" s="32" t="s">
        <v>47</v>
      </c>
      <c r="I475" s="32" t="s">
        <v>582</v>
      </c>
      <c r="J475" s="34">
        <v>46165</v>
      </c>
      <c r="K475" s="34">
        <v>46165</v>
      </c>
      <c r="L475" s="32" t="s">
        <v>48</v>
      </c>
      <c r="M475" s="48">
        <v>41021.754500000003</v>
      </c>
      <c r="N475" s="48">
        <v>0</v>
      </c>
      <c r="O475" s="48">
        <v>0</v>
      </c>
      <c r="P475" s="48">
        <v>0</v>
      </c>
      <c r="Q475" s="48">
        <v>0</v>
      </c>
      <c r="R475" s="48">
        <v>0</v>
      </c>
      <c r="S475" s="48">
        <v>0</v>
      </c>
      <c r="T475" s="48">
        <f t="shared" si="41"/>
        <v>0</v>
      </c>
      <c r="U475" s="48">
        <f t="shared" si="50"/>
        <v>0</v>
      </c>
      <c r="V475" s="49">
        <f>+Tabla_Auditorias[[#This Row],[AJUSTE
EGRESO
COSTO]]+Tabla_Auditorias[[#This Row],[AJUSTE EGRESO
MAL ESTADO]]+Tabla_Auditorias[[#This Row],[AJUSTE
INGRESO
COSTO]]</f>
        <v>0</v>
      </c>
      <c r="W475" s="48">
        <v>0</v>
      </c>
      <c r="X475" s="48">
        <v>0</v>
      </c>
      <c r="Y475" s="48">
        <v>0</v>
      </c>
      <c r="Z475" s="48">
        <v>0</v>
      </c>
      <c r="AA475" s="50">
        <f t="shared" si="45"/>
        <v>0</v>
      </c>
      <c r="AB475" s="36" t="str">
        <f t="shared" si="47"/>
        <v>BAJO</v>
      </c>
      <c r="AC475" s="37">
        <f>IFERROR(IF(M475=0,0,IF(ABS(O475)/M475=0,0,IF(ABS(O475)/M475&lt;=0.01,10,IF(ABS(O475)/M475&lt;=0.03,25,IF(ABS(O475)/M475&lt;=0.05,40,50)))))+IF(ABS(U475)=0,0,IF(ABS(U475)&lt;=200,10,IF(ABS(U475)&lt;=500,15,IF(ABS(U475)&lt;=2000,22,30))))+IF(COUNTIFS($B$5:B474,B475,$O$5:O474,"&lt;0")&gt;0,15,0)+IF(OR(Q475&lt;0,R475&lt;0),5,0),0)</f>
        <v>0</v>
      </c>
      <c r="AD475" s="35">
        <v>0</v>
      </c>
      <c r="AE475" s="107" t="s">
        <v>529</v>
      </c>
      <c r="AF475" s="38" t="str">
        <f t="shared" si="46"/>
        <v>No</v>
      </c>
      <c r="AG475" s="39" t="s">
        <v>221</v>
      </c>
      <c r="AH475" s="40">
        <v>0</v>
      </c>
      <c r="AI475" s="51" t="str">
        <f t="shared" si="48"/>
        <v/>
      </c>
      <c r="AJ475" s="38" t="str">
        <f t="shared" si="49"/>
        <v>Pendiente</v>
      </c>
    </row>
    <row r="476" spans="1:36" ht="52.5" customHeight="1" x14ac:dyDescent="0.25">
      <c r="A476" s="32">
        <v>472</v>
      </c>
      <c r="B476" s="33" t="s">
        <v>71</v>
      </c>
      <c r="C476" s="32" t="s">
        <v>43</v>
      </c>
      <c r="D476" s="32" t="s">
        <v>44</v>
      </c>
      <c r="E476" s="32" t="s">
        <v>45</v>
      </c>
      <c r="F476" s="32">
        <v>1512</v>
      </c>
      <c r="G476" s="33" t="s">
        <v>314</v>
      </c>
      <c r="H476" s="32" t="s">
        <v>47</v>
      </c>
      <c r="I476" s="32" t="s">
        <v>583</v>
      </c>
      <c r="J476" s="34">
        <v>46167</v>
      </c>
      <c r="K476" s="34">
        <v>46170</v>
      </c>
      <c r="L476" s="32" t="s">
        <v>48</v>
      </c>
      <c r="M476" s="48">
        <v>128494.9230269229</v>
      </c>
      <c r="N476" s="48">
        <v>521.95000000000005</v>
      </c>
      <c r="O476" s="48">
        <v>-1058.3699999999999</v>
      </c>
      <c r="P476" s="48">
        <v>454.34999999999991</v>
      </c>
      <c r="Q476" s="48">
        <v>-233.44</v>
      </c>
      <c r="R476" s="48">
        <v>-330.18000000000012</v>
      </c>
      <c r="S476" s="48">
        <v>0</v>
      </c>
      <c r="T476" s="48">
        <f t="shared" si="41"/>
        <v>-645.69000000000005</v>
      </c>
      <c r="U476" s="48">
        <f t="shared" si="50"/>
        <v>-315.50999999999993</v>
      </c>
      <c r="V476" s="49">
        <f>+Tabla_Auditorias[[#This Row],[AJUSTE
EGRESO
COSTO]]+Tabla_Auditorias[[#This Row],[AJUSTE EGRESO
MAL ESTADO]]+Tabla_Auditorias[[#This Row],[AJUSTE
INGRESO
COSTO]]</f>
        <v>-19.550233333332926</v>
      </c>
      <c r="W476" s="48">
        <f>-645.79-962.3</f>
        <v>-1608.09</v>
      </c>
      <c r="X476" s="48">
        <v>-125.26</v>
      </c>
      <c r="Y476" s="48">
        <v>-190.55</v>
      </c>
      <c r="Z476" s="48">
        <v>1713.799766666667</v>
      </c>
      <c r="AA476" s="50">
        <f t="shared" si="45"/>
        <v>-210.10023333333288</v>
      </c>
      <c r="AB476" s="36" t="str">
        <f t="shared" si="47"/>
        <v>ALTO</v>
      </c>
      <c r="AC476" s="37">
        <f>IFERROR(IF(M476=0,0,IF(ABS(O476)/M476=0,0,IF(ABS(O476)/M476&lt;=0.01,10,IF(ABS(O476)/M476&lt;=0.03,25,IF(ABS(O476)/M476&lt;=0.05,40,50)))))+IF(ABS(U476)=0,0,IF(ABS(U476)&lt;=200,10,IF(ABS(U476)&lt;=500,15,IF(ABS(U476)&lt;=2000,22,30))))+IF(COUNTIFS($B$5:B475,B476,$O$5:O475,"&lt;0")&gt;0,15,0)+IF(OR(Q476&lt;0,R476&lt;0),5,0),0)</f>
        <v>45</v>
      </c>
      <c r="AD476" s="35">
        <v>0</v>
      </c>
      <c r="AE476" s="41" t="s">
        <v>49</v>
      </c>
      <c r="AF476" s="38" t="str">
        <f t="shared" si="46"/>
        <v>Si</v>
      </c>
      <c r="AG476" s="39" t="s">
        <v>584</v>
      </c>
      <c r="AH476" s="40">
        <v>210.1</v>
      </c>
      <c r="AI476" s="51">
        <f t="shared" si="48"/>
        <v>10.746674805245515</v>
      </c>
      <c r="AJ476" s="38" t="str">
        <f t="shared" si="49"/>
        <v>Cobrado Total</v>
      </c>
    </row>
    <row r="477" spans="1:36" ht="38.25" customHeight="1" x14ac:dyDescent="0.25">
      <c r="A477" s="32">
        <v>473</v>
      </c>
      <c r="B477" s="33" t="s">
        <v>381</v>
      </c>
      <c r="C477" s="32" t="s">
        <v>51</v>
      </c>
      <c r="D477" s="32" t="s">
        <v>377</v>
      </c>
      <c r="E477" s="32" t="s">
        <v>58</v>
      </c>
      <c r="F477" s="32">
        <v>1762</v>
      </c>
      <c r="G477" s="33" t="s">
        <v>59</v>
      </c>
      <c r="H477" s="32" t="s">
        <v>47</v>
      </c>
      <c r="I477" s="32" t="s">
        <v>585</v>
      </c>
      <c r="J477" s="34">
        <v>46168</v>
      </c>
      <c r="K477" s="34">
        <v>46168</v>
      </c>
      <c r="L477" s="32" t="s">
        <v>48</v>
      </c>
      <c r="M477" s="48">
        <v>70771.251199999999</v>
      </c>
      <c r="N477" s="48">
        <v>31.68</v>
      </c>
      <c r="O477" s="48">
        <v>0</v>
      </c>
      <c r="P477" s="48">
        <v>0</v>
      </c>
      <c r="Q477" s="48">
        <v>0</v>
      </c>
      <c r="R477" s="48">
        <v>0</v>
      </c>
      <c r="S477" s="48">
        <v>0</v>
      </c>
      <c r="T477" s="48">
        <f t="shared" si="41"/>
        <v>31.68</v>
      </c>
      <c r="U477" s="48">
        <f t="shared" si="50"/>
        <v>31.68</v>
      </c>
      <c r="V477" s="49">
        <f>+Tabla_Auditorias[[#This Row],[AJUSTE
EGRESO
COSTO]]+Tabla_Auditorias[[#This Row],[AJUSTE EGRESO
MAL ESTADO]]+Tabla_Auditorias[[#This Row],[AJUSTE
INGRESO
COSTO]]</f>
        <v>31.683399999999999</v>
      </c>
      <c r="W477" s="48">
        <v>0</v>
      </c>
      <c r="X477" s="48">
        <v>0</v>
      </c>
      <c r="Y477" s="48">
        <v>0</v>
      </c>
      <c r="Z477" s="48">
        <v>31.683399999999999</v>
      </c>
      <c r="AA477" s="50">
        <f t="shared" si="45"/>
        <v>31.683399999999999</v>
      </c>
      <c r="AB477" s="36" t="str">
        <f t="shared" si="47"/>
        <v>MEDIO</v>
      </c>
      <c r="AC477" s="37">
        <f>IFERROR(IF(M477=0,0,IF(ABS(O477)/M477=0,0,IF(ABS(O477)/M477&lt;=0.01,10,IF(ABS(O477)/M477&lt;=0.03,25,IF(ABS(O477)/M477&lt;=0.05,40,50)))))+IF(ABS(U477)=0,0,IF(ABS(U477)&lt;=200,10,IF(ABS(U477)&lt;=500,15,IF(ABS(U477)&lt;=2000,22,30))))+IF(COUNTIFS($B$5:B476,B477,$O$5:O476,"&lt;0")&gt;0,15,0)+IF(OR(Q477&lt;0,R477&lt;0),5,0),0)</f>
        <v>25</v>
      </c>
      <c r="AD477" s="35">
        <v>0</v>
      </c>
      <c r="AE477" s="41" t="s">
        <v>541</v>
      </c>
      <c r="AF477" s="38" t="str">
        <f t="shared" si="46"/>
        <v>Si</v>
      </c>
      <c r="AG477" s="39" t="s">
        <v>586</v>
      </c>
      <c r="AH477" s="40">
        <v>0</v>
      </c>
      <c r="AI477" s="51" t="str">
        <f t="shared" si="48"/>
        <v/>
      </c>
      <c r="AJ477" s="38" t="str">
        <f t="shared" si="49"/>
        <v>No Aplica</v>
      </c>
    </row>
    <row r="478" spans="1:36" ht="38.25" customHeight="1" x14ac:dyDescent="0.25">
      <c r="A478" s="32">
        <v>474</v>
      </c>
      <c r="B478" s="33" t="s">
        <v>444</v>
      </c>
      <c r="C478" s="32" t="s">
        <v>51</v>
      </c>
      <c r="D478" s="32" t="s">
        <v>377</v>
      </c>
      <c r="E478" s="32" t="s">
        <v>58</v>
      </c>
      <c r="F478" s="32">
        <v>1751</v>
      </c>
      <c r="G478" s="33" t="s">
        <v>366</v>
      </c>
      <c r="H478" s="32" t="s">
        <v>47</v>
      </c>
      <c r="I478" s="32" t="s">
        <v>587</v>
      </c>
      <c r="J478" s="34">
        <v>46174</v>
      </c>
      <c r="K478" s="34">
        <v>46174</v>
      </c>
      <c r="L478" s="32" t="s">
        <v>48</v>
      </c>
      <c r="M478" s="48">
        <v>900906.43</v>
      </c>
      <c r="N478" s="48">
        <v>0</v>
      </c>
      <c r="O478" s="48">
        <v>0</v>
      </c>
      <c r="P478" s="48">
        <v>0</v>
      </c>
      <c r="Q478" s="48">
        <v>0</v>
      </c>
      <c r="R478" s="48">
        <v>0</v>
      </c>
      <c r="S478" s="48">
        <v>0</v>
      </c>
      <c r="T478" s="48">
        <v>0</v>
      </c>
      <c r="U478" s="48">
        <f t="shared" si="50"/>
        <v>0</v>
      </c>
      <c r="V478" s="49">
        <f>+Tabla_Auditorias[[#This Row],[AJUSTE
EGRESO
COSTO]]+Tabla_Auditorias[[#This Row],[AJUSTE EGRESO
MAL ESTADO]]+Tabla_Auditorias[[#This Row],[AJUSTE
INGRESO
COSTO]]</f>
        <v>0</v>
      </c>
      <c r="W478" s="48">
        <v>0</v>
      </c>
      <c r="X478" s="48">
        <v>0</v>
      </c>
      <c r="Y478" s="48">
        <v>0</v>
      </c>
      <c r="Z478" s="48">
        <v>0</v>
      </c>
      <c r="AA478" s="50">
        <v>0</v>
      </c>
      <c r="AB478" s="36" t="str">
        <f t="shared" si="47"/>
        <v>BAJO</v>
      </c>
      <c r="AC478" s="37">
        <f>IFERROR(IF(M478=0,0,IF(ABS(O478)/M478=0,0,IF(ABS(O478)/M478&lt;=0.01,10,IF(ABS(O478)/M478&lt;=0.03,25,IF(ABS(O478)/M478&lt;=0.05,40,50)))))+IF(ABS(U478)=0,0,IF(ABS(U478)&lt;=200,10,IF(ABS(U478)&lt;=500,15,IF(ABS(U478)&lt;=2000,22,30))))+IF(COUNTIFS($B$382:B477,B478,$O$382:O477,"&lt;0")&gt;0,15,0)+IF(OR(Q478&lt;0,R478&lt;0),5,0),0)</f>
        <v>0</v>
      </c>
      <c r="AD478" s="35">
        <v>0</v>
      </c>
      <c r="AE478" s="41" t="s">
        <v>541</v>
      </c>
      <c r="AF478" s="38" t="str">
        <f>IF(Tabla_Auditorias[[#This Row],[TOTAL
COSTO
NETO]]&lt;&gt;0,"Si","No")</f>
        <v>No</v>
      </c>
      <c r="AG478" s="39" t="s">
        <v>221</v>
      </c>
      <c r="AH478" s="40">
        <v>0</v>
      </c>
      <c r="AI478" s="51" t="str">
        <f t="shared" si="48"/>
        <v/>
      </c>
      <c r="AJ478" s="38" t="str">
        <f t="shared" si="49"/>
        <v>Pendiente</v>
      </c>
    </row>
    <row r="479" spans="1:36" ht="21" customHeight="1" x14ac:dyDescent="0.25">
      <c r="A479" s="32">
        <v>475</v>
      </c>
      <c r="B479" s="33" t="s">
        <v>440</v>
      </c>
      <c r="C479" s="32" t="s">
        <v>51</v>
      </c>
      <c r="D479" s="32" t="s">
        <v>377</v>
      </c>
      <c r="E479" s="32" t="s">
        <v>58</v>
      </c>
      <c r="F479" s="32">
        <v>1750</v>
      </c>
      <c r="G479" s="33" t="s">
        <v>382</v>
      </c>
      <c r="H479" s="32" t="s">
        <v>47</v>
      </c>
      <c r="I479" s="32" t="s">
        <v>588</v>
      </c>
      <c r="J479" s="34">
        <v>46174</v>
      </c>
      <c r="K479" s="34">
        <v>46174</v>
      </c>
      <c r="L479" s="32" t="s">
        <v>48</v>
      </c>
      <c r="M479" s="48">
        <v>320539.09999999998</v>
      </c>
      <c r="N479" s="48">
        <v>0</v>
      </c>
      <c r="O479" s="48">
        <v>0</v>
      </c>
      <c r="P479" s="48">
        <v>0</v>
      </c>
      <c r="Q479" s="48">
        <v>0</v>
      </c>
      <c r="R479" s="48">
        <v>0</v>
      </c>
      <c r="S479" s="48">
        <v>0</v>
      </c>
      <c r="T479" s="48">
        <f t="shared" ref="T479:T505" si="51">N479+O479+P479+Q479+R479+S479</f>
        <v>0</v>
      </c>
      <c r="U479" s="48">
        <f t="shared" si="50"/>
        <v>0</v>
      </c>
      <c r="V479" s="49">
        <f>+Tabla_Auditorias[[#This Row],[AJUSTE
EGRESO
COSTO]]+Tabla_Auditorias[[#This Row],[AJUSTE EGRESO
MAL ESTADO]]+Tabla_Auditorias[[#This Row],[AJUSTE
INGRESO
COSTO]]</f>
        <v>0</v>
      </c>
      <c r="W479" s="48">
        <v>0</v>
      </c>
      <c r="X479" s="48">
        <v>0</v>
      </c>
      <c r="Y479" s="48">
        <v>0</v>
      </c>
      <c r="Z479" s="48">
        <v>0</v>
      </c>
      <c r="AA479" s="50">
        <f>+SUM(Tabla_Auditorias[[#This Row],[AJUSTE
EGRESO
COSTO]:[AJUSTE
INGRESO
COSTO]])</f>
        <v>0</v>
      </c>
      <c r="AB479" s="36" t="str">
        <f t="shared" si="47"/>
        <v>BAJO</v>
      </c>
      <c r="AC479" s="37">
        <f>IFERROR(IF(M479=0,0,IF(ABS(O479)/M479=0,0,IF(ABS(O479)/M479&lt;=0.01,10,IF(ABS(O479)/M479&lt;=0.03,25,IF(ABS(O479)/M479&lt;=0.05,40,50)))))+IF(ABS(U479)=0,0,IF(ABS(U479)&lt;=200,10,IF(ABS(U479)&lt;=500,15,IF(ABS(U479)&lt;=2000,22,30))))+IF(COUNTIFS($B$382:B478,B479,$O$382:O478,"&lt;0")&gt;0,15,0)+IF(OR(Q479&lt;0,R479&lt;0),5,0),0)</f>
        <v>0</v>
      </c>
      <c r="AD479" s="35">
        <v>0</v>
      </c>
      <c r="AE479" s="41" t="s">
        <v>541</v>
      </c>
      <c r="AF479" s="38" t="str">
        <f>IF(Tabla_Auditorias[[#This Row],[TOTAL
COSTO
NETO]]&lt;&gt;0,"Si","No")</f>
        <v>No</v>
      </c>
      <c r="AG479" s="39" t="s">
        <v>589</v>
      </c>
      <c r="AH479" s="40">
        <v>0</v>
      </c>
      <c r="AI479" s="51" t="str">
        <f t="shared" si="48"/>
        <v/>
      </c>
      <c r="AJ479" s="38" t="str">
        <f t="shared" si="49"/>
        <v>Pendiente</v>
      </c>
    </row>
    <row r="480" spans="1:36" ht="38.25" customHeight="1" x14ac:dyDescent="0.25">
      <c r="A480" s="32">
        <v>476</v>
      </c>
      <c r="B480" s="33" t="s">
        <v>538</v>
      </c>
      <c r="C480" s="32" t="s">
        <v>51</v>
      </c>
      <c r="D480" s="32" t="s">
        <v>377</v>
      </c>
      <c r="E480" s="32" t="s">
        <v>58</v>
      </c>
      <c r="F480" s="32">
        <v>1759</v>
      </c>
      <c r="G480" s="33" t="s">
        <v>539</v>
      </c>
      <c r="H480" s="32" t="s">
        <v>47</v>
      </c>
      <c r="I480" s="32" t="s">
        <v>590</v>
      </c>
      <c r="J480" s="34">
        <v>46174</v>
      </c>
      <c r="K480" s="34">
        <v>46174</v>
      </c>
      <c r="L480" s="32" t="s">
        <v>48</v>
      </c>
      <c r="M480" s="48">
        <v>90250.55</v>
      </c>
      <c r="N480" s="48">
        <v>0</v>
      </c>
      <c r="O480" s="48">
        <v>0</v>
      </c>
      <c r="P480" s="48">
        <v>0</v>
      </c>
      <c r="Q480" s="48">
        <v>0</v>
      </c>
      <c r="R480" s="48">
        <v>0</v>
      </c>
      <c r="S480" s="48">
        <v>0</v>
      </c>
      <c r="T480" s="48">
        <f t="shared" si="51"/>
        <v>0</v>
      </c>
      <c r="U480" s="48">
        <f t="shared" si="50"/>
        <v>0</v>
      </c>
      <c r="V480" s="49">
        <f>+Tabla_Auditorias[[#This Row],[AJUSTE
EGRESO
COSTO]]+Tabla_Auditorias[[#This Row],[AJUSTE EGRESO
MAL ESTADO]]+Tabla_Auditorias[[#This Row],[AJUSTE
INGRESO
COSTO]]</f>
        <v>0</v>
      </c>
      <c r="W480" s="48">
        <v>0</v>
      </c>
      <c r="X480" s="48">
        <v>0</v>
      </c>
      <c r="Y480" s="48">
        <v>0</v>
      </c>
      <c r="Z480" s="48">
        <v>0</v>
      </c>
      <c r="AA480" s="50">
        <f>+SUM(Tabla_Auditorias[[#This Row],[AJUSTE
EGRESO
COSTO]:[AJUSTE
INGRESO
COSTO]])</f>
        <v>0</v>
      </c>
      <c r="AB480" s="36" t="str">
        <f t="shared" si="47"/>
        <v>BAJO</v>
      </c>
      <c r="AC480" s="37">
        <f>IFERROR(IF(M480=0,0,IF(ABS(O480)/M480=0,0,IF(ABS(O480)/M480&lt;=0.01,10,IF(ABS(O480)/M480&lt;=0.03,25,IF(ABS(O480)/M480&lt;=0.05,40,50)))))+IF(ABS(U480)=0,0,IF(ABS(U480)&lt;=200,10,IF(ABS(U480)&lt;=500,15,IF(ABS(U480)&lt;=2000,22,30))))+IF(COUNTIFS($B$382:B479,B480,$O$382:O479,"&lt;0")&gt;0,15,0)+IF(OR(Q480&lt;0,R480&lt;0),5,0),0)</f>
        <v>0</v>
      </c>
      <c r="AD480" s="35">
        <v>0</v>
      </c>
      <c r="AE480" s="41" t="s">
        <v>541</v>
      </c>
      <c r="AF480" s="38" t="str">
        <f>IF(Tabla_Auditorias[[#This Row],[TOTAL
COSTO
NETO]]&lt;&gt;0,"Si","No")</f>
        <v>No</v>
      </c>
      <c r="AG480" s="39" t="s">
        <v>591</v>
      </c>
      <c r="AH480" s="40">
        <v>0</v>
      </c>
      <c r="AI480" s="51" t="str">
        <f t="shared" si="48"/>
        <v/>
      </c>
      <c r="AJ480" s="38" t="str">
        <f t="shared" si="49"/>
        <v>Pendiente</v>
      </c>
    </row>
    <row r="481" spans="1:36" ht="25.5" customHeight="1" x14ac:dyDescent="0.25">
      <c r="A481" s="32">
        <v>477</v>
      </c>
      <c r="B481" s="33" t="s">
        <v>592</v>
      </c>
      <c r="C481" s="32" t="s">
        <v>51</v>
      </c>
      <c r="D481" s="32" t="s">
        <v>377</v>
      </c>
      <c r="E481" s="32" t="s">
        <v>53</v>
      </c>
      <c r="F481" s="32">
        <v>1761</v>
      </c>
      <c r="G481" s="33" t="s">
        <v>54</v>
      </c>
      <c r="H481" s="32" t="s">
        <v>47</v>
      </c>
      <c r="I481" s="32" t="s">
        <v>593</v>
      </c>
      <c r="J481" s="34">
        <v>46176</v>
      </c>
      <c r="K481" s="34">
        <v>46176</v>
      </c>
      <c r="L481" s="32" t="s">
        <v>48</v>
      </c>
      <c r="M481" s="48">
        <v>11079.348099999999</v>
      </c>
      <c r="N481" s="48">
        <v>0</v>
      </c>
      <c r="O481" s="48">
        <v>0</v>
      </c>
      <c r="P481" s="48">
        <v>0</v>
      </c>
      <c r="Q481" s="48">
        <v>0</v>
      </c>
      <c r="R481" s="48">
        <v>0</v>
      </c>
      <c r="S481" s="48">
        <v>0</v>
      </c>
      <c r="T481" s="48">
        <f t="shared" si="51"/>
        <v>0</v>
      </c>
      <c r="U481" s="48">
        <f t="shared" si="50"/>
        <v>0</v>
      </c>
      <c r="V481" s="49">
        <f>+Tabla_Auditorias[[#This Row],[AJUSTE
EGRESO
COSTO]]+Tabla_Auditorias[[#This Row],[AJUSTE EGRESO
MAL ESTADO]]+Tabla_Auditorias[[#This Row],[AJUSTE
INGRESO
COSTO]]</f>
        <v>0</v>
      </c>
      <c r="W481" s="48">
        <v>0</v>
      </c>
      <c r="X481" s="48">
        <v>0</v>
      </c>
      <c r="Y481" s="48">
        <v>0</v>
      </c>
      <c r="Z481" s="48">
        <v>0</v>
      </c>
      <c r="AA481" s="50">
        <f t="shared" ref="AA481:AA509" si="52">W481+X481+Y481+Z481</f>
        <v>0</v>
      </c>
      <c r="AB481" s="36" t="str">
        <f t="shared" si="47"/>
        <v>BAJO</v>
      </c>
      <c r="AC481" s="37">
        <f>IFERROR(IF(M481=0,0,IF(ABS(O481)/M481=0,0,IF(ABS(O481)/M481&lt;=0.01,10,IF(ABS(O481)/M481&lt;=0.03,25,IF(ABS(O481)/M481&lt;=0.05,40,50)))))+IF(ABS(U481)=0,0,IF(ABS(U481)&lt;=200,10,IF(ABS(U481)&lt;=500,15,IF(ABS(U481)&lt;=2000,22,30))))+IF(COUNTIFS($B$5:B480,B481,$O$5:O480,"&lt;0")&gt;0,15,0)+IF(OR(Q481&lt;0,R481&lt;0),5,0),0)</f>
        <v>0</v>
      </c>
      <c r="AD481" s="35">
        <v>0</v>
      </c>
      <c r="AE481" s="41" t="s">
        <v>541</v>
      </c>
      <c r="AF481" s="38" t="str">
        <f t="shared" ref="AF481:AF505" si="53">IF(AA481&lt;&gt;0,"Si","No")</f>
        <v>No</v>
      </c>
      <c r="AG481" s="39" t="s">
        <v>221</v>
      </c>
      <c r="AH481" s="40">
        <v>0</v>
      </c>
      <c r="AI481" s="51" t="str">
        <f t="shared" si="48"/>
        <v/>
      </c>
      <c r="AJ481" s="38" t="str">
        <f t="shared" si="49"/>
        <v>Pendiente</v>
      </c>
    </row>
    <row r="482" spans="1:36" x14ac:dyDescent="0.25">
      <c r="A482" s="32">
        <v>478</v>
      </c>
      <c r="B482" s="33" t="s">
        <v>497</v>
      </c>
      <c r="C482" s="32" t="s">
        <v>51</v>
      </c>
      <c r="D482" s="32" t="s">
        <v>377</v>
      </c>
      <c r="E482" s="32" t="s">
        <v>53</v>
      </c>
      <c r="F482" s="32">
        <v>1757</v>
      </c>
      <c r="G482" s="33" t="s">
        <v>314</v>
      </c>
      <c r="H482" s="32" t="s">
        <v>47</v>
      </c>
      <c r="I482" s="32" t="s">
        <v>594</v>
      </c>
      <c r="J482" s="34">
        <v>46177</v>
      </c>
      <c r="K482" s="34">
        <v>46177</v>
      </c>
      <c r="L482" s="32" t="s">
        <v>48</v>
      </c>
      <c r="M482" s="48">
        <v>121232.7645</v>
      </c>
      <c r="N482" s="48">
        <v>0</v>
      </c>
      <c r="O482" s="48">
        <v>0</v>
      </c>
      <c r="P482" s="48">
        <v>0</v>
      </c>
      <c r="Q482" s="48">
        <v>0</v>
      </c>
      <c r="R482" s="48">
        <v>0</v>
      </c>
      <c r="S482" s="48">
        <v>0</v>
      </c>
      <c r="T482" s="48">
        <f t="shared" si="51"/>
        <v>0</v>
      </c>
      <c r="U482" s="48">
        <f t="shared" si="50"/>
        <v>0</v>
      </c>
      <c r="V482" s="49">
        <f>+Tabla_Auditorias[[#This Row],[AJUSTE
EGRESO
COSTO]]+Tabla_Auditorias[[#This Row],[AJUSTE EGRESO
MAL ESTADO]]+Tabla_Auditorias[[#This Row],[AJUSTE
INGRESO
COSTO]]</f>
        <v>0</v>
      </c>
      <c r="W482" s="48">
        <v>0</v>
      </c>
      <c r="X482" s="48">
        <v>0</v>
      </c>
      <c r="Y482" s="48">
        <v>0</v>
      </c>
      <c r="Z482" s="48">
        <v>0</v>
      </c>
      <c r="AA482" s="50">
        <f t="shared" si="52"/>
        <v>0</v>
      </c>
      <c r="AB482" s="36" t="str">
        <f t="shared" si="47"/>
        <v>BAJO</v>
      </c>
      <c r="AC482" s="37">
        <f>IFERROR(IF(M482=0,0,IF(ABS(O482)/M482=0,0,IF(ABS(O482)/M482&lt;=0.01,10,IF(ABS(O482)/M482&lt;=0.03,25,IF(ABS(O482)/M482&lt;=0.05,40,50)))))+IF(ABS(U482)=0,0,IF(ABS(U482)&lt;=200,10,IF(ABS(U482)&lt;=500,15,IF(ABS(U482)&lt;=2000,22,30))))+IF(COUNTIFS($B$5:B481,B482,$O$5:O481,"&lt;0")&gt;0,15,0)+IF(OR(Q482&lt;0,R482&lt;0),5,0),0)</f>
        <v>0</v>
      </c>
      <c r="AD482" s="35">
        <v>0</v>
      </c>
      <c r="AE482" s="41" t="s">
        <v>541</v>
      </c>
      <c r="AF482" s="38" t="str">
        <f t="shared" si="53"/>
        <v>No</v>
      </c>
      <c r="AG482" s="39" t="s">
        <v>221</v>
      </c>
      <c r="AH482" s="40">
        <v>0</v>
      </c>
      <c r="AI482" s="51" t="str">
        <f t="shared" si="48"/>
        <v/>
      </c>
      <c r="AJ482" s="38" t="str">
        <f t="shared" si="49"/>
        <v>Pendiente</v>
      </c>
    </row>
    <row r="483" spans="1:36" x14ac:dyDescent="0.25">
      <c r="A483" s="32">
        <v>479</v>
      </c>
      <c r="B483" s="33" t="s">
        <v>548</v>
      </c>
      <c r="C483" s="32" t="s">
        <v>51</v>
      </c>
      <c r="D483" s="32" t="s">
        <v>377</v>
      </c>
      <c r="E483" s="32" t="s">
        <v>45</v>
      </c>
      <c r="F483" s="32">
        <v>1756</v>
      </c>
      <c r="G483" s="33" t="s">
        <v>314</v>
      </c>
      <c r="H483" s="32" t="s">
        <v>47</v>
      </c>
      <c r="I483" s="32" t="s">
        <v>595</v>
      </c>
      <c r="J483" s="34">
        <v>46177</v>
      </c>
      <c r="K483" s="34">
        <v>46177</v>
      </c>
      <c r="L483" s="32" t="s">
        <v>48</v>
      </c>
      <c r="M483" s="48">
        <v>486295.54100000003</v>
      </c>
      <c r="N483" s="48">
        <v>0</v>
      </c>
      <c r="O483" s="48">
        <v>0</v>
      </c>
      <c r="P483" s="48">
        <v>0</v>
      </c>
      <c r="Q483" s="48">
        <v>0</v>
      </c>
      <c r="R483" s="48">
        <v>0</v>
      </c>
      <c r="S483" s="48">
        <v>0</v>
      </c>
      <c r="T483" s="48">
        <f t="shared" si="51"/>
        <v>0</v>
      </c>
      <c r="U483" s="48">
        <f t="shared" si="50"/>
        <v>0</v>
      </c>
      <c r="V483" s="49">
        <f>+Tabla_Auditorias[[#This Row],[AJUSTE
EGRESO
COSTO]]+Tabla_Auditorias[[#This Row],[AJUSTE EGRESO
MAL ESTADO]]+Tabla_Auditorias[[#This Row],[AJUSTE
INGRESO
COSTO]]</f>
        <v>0</v>
      </c>
      <c r="W483" s="48">
        <v>0</v>
      </c>
      <c r="X483" s="48">
        <v>0</v>
      </c>
      <c r="Y483" s="48">
        <v>0</v>
      </c>
      <c r="Z483" s="48">
        <v>0</v>
      </c>
      <c r="AA483" s="50">
        <f t="shared" si="52"/>
        <v>0</v>
      </c>
      <c r="AB483" s="36" t="str">
        <f t="shared" si="47"/>
        <v>BAJO</v>
      </c>
      <c r="AC483" s="37">
        <f>IFERROR(IF(M483=0,0,IF(ABS(O483)/M483=0,0,IF(ABS(O483)/M483&lt;=0.01,10,IF(ABS(O483)/M483&lt;=0.03,25,IF(ABS(O483)/M483&lt;=0.05,40,50)))))+IF(ABS(U483)=0,0,IF(ABS(U483)&lt;=200,10,IF(ABS(U483)&lt;=500,15,IF(ABS(U483)&lt;=2000,22,30))))+IF(COUNTIFS($B$5:B482,B483,$O$5:O482,"&lt;0")&gt;0,15,0)+IF(OR(Q483&lt;0,R483&lt;0),5,0),0)</f>
        <v>0</v>
      </c>
      <c r="AD483" s="35">
        <v>0</v>
      </c>
      <c r="AE483" s="41" t="s">
        <v>541</v>
      </c>
      <c r="AF483" s="38" t="str">
        <f t="shared" si="53"/>
        <v>No</v>
      </c>
      <c r="AG483" s="39" t="s">
        <v>221</v>
      </c>
      <c r="AH483" s="40">
        <v>0</v>
      </c>
      <c r="AI483" s="51" t="str">
        <f t="shared" si="48"/>
        <v/>
      </c>
      <c r="AJ483" s="38" t="str">
        <f t="shared" si="49"/>
        <v>Pendiente</v>
      </c>
    </row>
    <row r="484" spans="1:36" x14ac:dyDescent="0.25">
      <c r="A484" s="32">
        <v>480</v>
      </c>
      <c r="B484" s="33" t="s">
        <v>376</v>
      </c>
      <c r="C484" s="32" t="s">
        <v>51</v>
      </c>
      <c r="D484" s="32" t="s">
        <v>377</v>
      </c>
      <c r="E484" s="32" t="s">
        <v>45</v>
      </c>
      <c r="F484" s="32">
        <v>1760</v>
      </c>
      <c r="G484" s="33" t="s">
        <v>314</v>
      </c>
      <c r="H484" s="32" t="s">
        <v>47</v>
      </c>
      <c r="I484" s="32" t="s">
        <v>596</v>
      </c>
      <c r="J484" s="34">
        <v>46177</v>
      </c>
      <c r="K484" s="34">
        <v>46177</v>
      </c>
      <c r="L484" s="32" t="s">
        <v>48</v>
      </c>
      <c r="M484" s="48">
        <v>255096.8106</v>
      </c>
      <c r="N484" s="48">
        <v>0</v>
      </c>
      <c r="O484" s="48">
        <v>0</v>
      </c>
      <c r="P484" s="48">
        <v>0</v>
      </c>
      <c r="Q484" s="48">
        <v>0</v>
      </c>
      <c r="R484" s="48">
        <v>0</v>
      </c>
      <c r="S484" s="48">
        <v>0</v>
      </c>
      <c r="T484" s="48">
        <f t="shared" si="51"/>
        <v>0</v>
      </c>
      <c r="U484" s="48">
        <f t="shared" si="50"/>
        <v>0</v>
      </c>
      <c r="V484" s="49">
        <f>+Tabla_Auditorias[[#This Row],[AJUSTE
EGRESO
COSTO]]+Tabla_Auditorias[[#This Row],[AJUSTE EGRESO
MAL ESTADO]]+Tabla_Auditorias[[#This Row],[AJUSTE
INGRESO
COSTO]]</f>
        <v>0</v>
      </c>
      <c r="W484" s="48">
        <v>0</v>
      </c>
      <c r="X484" s="48">
        <v>0</v>
      </c>
      <c r="Y484" s="48">
        <v>0</v>
      </c>
      <c r="Z484" s="48">
        <v>0</v>
      </c>
      <c r="AA484" s="50">
        <f t="shared" si="52"/>
        <v>0</v>
      </c>
      <c r="AB484" s="36" t="str">
        <f t="shared" si="47"/>
        <v>MEDIO</v>
      </c>
      <c r="AC484" s="37">
        <f>IFERROR(IF(M484=0,0,IF(ABS(O484)/M484=0,0,IF(ABS(O484)/M484&lt;=0.01,10,IF(ABS(O484)/M484&lt;=0.03,25,IF(ABS(O484)/M484&lt;=0.05,40,50)))))+IF(ABS(U484)=0,0,IF(ABS(U484)&lt;=200,10,IF(ABS(U484)&lt;=500,15,IF(ABS(U484)&lt;=2000,22,30))))+IF(COUNTIFS($B$5:B483,B484,$O$5:O483,"&lt;0")&gt;0,15,0)+IF(OR(Q484&lt;0,R484&lt;0),5,0),0)</f>
        <v>15</v>
      </c>
      <c r="AD484" s="35">
        <v>0</v>
      </c>
      <c r="AE484" s="41" t="s">
        <v>541</v>
      </c>
      <c r="AF484" s="38" t="str">
        <f t="shared" si="53"/>
        <v>No</v>
      </c>
      <c r="AG484" s="39" t="s">
        <v>221</v>
      </c>
      <c r="AH484" s="40">
        <v>0</v>
      </c>
      <c r="AI484" s="51" t="str">
        <f t="shared" si="48"/>
        <v/>
      </c>
      <c r="AJ484" s="38" t="str">
        <f t="shared" si="49"/>
        <v>Pendiente</v>
      </c>
    </row>
    <row r="485" spans="1:36" x14ac:dyDescent="0.25">
      <c r="A485" s="32">
        <v>481</v>
      </c>
      <c r="B485" s="33" t="s">
        <v>510</v>
      </c>
      <c r="C485" s="32" t="s">
        <v>51</v>
      </c>
      <c r="D485" s="32" t="s">
        <v>377</v>
      </c>
      <c r="E485" s="32" t="s">
        <v>45</v>
      </c>
      <c r="F485" s="32">
        <v>1758</v>
      </c>
      <c r="G485" s="33" t="s">
        <v>314</v>
      </c>
      <c r="H485" s="32" t="s">
        <v>47</v>
      </c>
      <c r="I485" s="32" t="s">
        <v>597</v>
      </c>
      <c r="J485" s="34">
        <v>46177</v>
      </c>
      <c r="K485" s="34">
        <v>46177</v>
      </c>
      <c r="L485" s="32" t="s">
        <v>48</v>
      </c>
      <c r="M485" s="48">
        <v>585855.05799999996</v>
      </c>
      <c r="N485" s="48">
        <v>0</v>
      </c>
      <c r="O485" s="48">
        <v>0</v>
      </c>
      <c r="P485" s="48">
        <v>0</v>
      </c>
      <c r="Q485" s="48">
        <v>0</v>
      </c>
      <c r="R485" s="48">
        <v>0</v>
      </c>
      <c r="S485" s="48">
        <v>0</v>
      </c>
      <c r="T485" s="48">
        <f t="shared" si="51"/>
        <v>0</v>
      </c>
      <c r="U485" s="48">
        <f t="shared" si="50"/>
        <v>0</v>
      </c>
      <c r="V485" s="49">
        <f>+Tabla_Auditorias[[#This Row],[AJUSTE
EGRESO
COSTO]]+Tabla_Auditorias[[#This Row],[AJUSTE EGRESO
MAL ESTADO]]+Tabla_Auditorias[[#This Row],[AJUSTE
INGRESO
COSTO]]</f>
        <v>0</v>
      </c>
      <c r="W485" s="48">
        <v>0</v>
      </c>
      <c r="X485" s="48">
        <v>0</v>
      </c>
      <c r="Y485" s="48">
        <v>0</v>
      </c>
      <c r="Z485" s="48">
        <v>0</v>
      </c>
      <c r="AA485" s="50">
        <f t="shared" si="52"/>
        <v>0</v>
      </c>
      <c r="AB485" s="36" t="str">
        <f t="shared" si="47"/>
        <v>BAJO</v>
      </c>
      <c r="AC485" s="37">
        <f>IFERROR(IF(M485=0,0,IF(ABS(O485)/M485=0,0,IF(ABS(O485)/M485&lt;=0.01,10,IF(ABS(O485)/M485&lt;=0.03,25,IF(ABS(O485)/M485&lt;=0.05,40,50)))))+IF(ABS(U485)=0,0,IF(ABS(U485)&lt;=200,10,IF(ABS(U485)&lt;=500,15,IF(ABS(U485)&lt;=2000,22,30))))+IF(COUNTIFS($B$5:B484,B485,$O$5:O484,"&lt;0")&gt;0,15,0)+IF(OR(Q485&lt;0,R485&lt;0),5,0),0)</f>
        <v>0</v>
      </c>
      <c r="AD485" s="35">
        <v>0</v>
      </c>
      <c r="AE485" s="41" t="s">
        <v>541</v>
      </c>
      <c r="AF485" s="38" t="str">
        <f t="shared" si="53"/>
        <v>No</v>
      </c>
      <c r="AG485" s="39" t="s">
        <v>221</v>
      </c>
      <c r="AH485" s="40">
        <v>0</v>
      </c>
      <c r="AI485" s="51" t="str">
        <f t="shared" si="48"/>
        <v/>
      </c>
      <c r="AJ485" s="38" t="str">
        <f t="shared" si="49"/>
        <v>Pendiente</v>
      </c>
    </row>
    <row r="486" spans="1:36" ht="52.5" customHeight="1" x14ac:dyDescent="0.25">
      <c r="A486" s="32">
        <v>482</v>
      </c>
      <c r="B486" s="33" t="s">
        <v>125</v>
      </c>
      <c r="C486" s="32" t="s">
        <v>43</v>
      </c>
      <c r="D486" s="32" t="s">
        <v>44</v>
      </c>
      <c r="E486" s="32" t="s">
        <v>53</v>
      </c>
      <c r="F486" s="32">
        <v>1516</v>
      </c>
      <c r="G486" s="33" t="s">
        <v>54</v>
      </c>
      <c r="H486" s="32" t="s">
        <v>47</v>
      </c>
      <c r="I486" s="32" t="s">
        <v>598</v>
      </c>
      <c r="J486" s="34">
        <v>46177</v>
      </c>
      <c r="K486" s="34">
        <v>46177</v>
      </c>
      <c r="L486" s="32" t="s">
        <v>48</v>
      </c>
      <c r="M486" s="48">
        <v>83688.200999999899</v>
      </c>
      <c r="N486" s="48">
        <v>16.440000000000001</v>
      </c>
      <c r="O486" s="48">
        <v>-751.39</v>
      </c>
      <c r="P486" s="48">
        <v>0</v>
      </c>
      <c r="Q486" s="48">
        <v>-302.52629999999999</v>
      </c>
      <c r="R486" s="48">
        <v>0</v>
      </c>
      <c r="S486" s="48">
        <v>0</v>
      </c>
      <c r="T486" s="48">
        <f t="shared" si="51"/>
        <v>-1037.4762999999998</v>
      </c>
      <c r="U486" s="48">
        <f t="shared" si="50"/>
        <v>-1037.4762999999998</v>
      </c>
      <c r="V486" s="49">
        <f>+Tabla_Auditorias[[#This Row],[AJUSTE
EGRESO
COSTO]]+Tabla_Auditorias[[#This Row],[AJUSTE EGRESO
MAL ESTADO]]+Tabla_Auditorias[[#This Row],[AJUSTE
INGRESO
COSTO]]</f>
        <v>-634.45566666666673</v>
      </c>
      <c r="W486" s="48">
        <v>-492.70416666666671</v>
      </c>
      <c r="X486" s="48">
        <v>-205.84190000000001</v>
      </c>
      <c r="Y486" s="48">
        <v>0</v>
      </c>
      <c r="Z486" s="48">
        <v>64.090400000000002</v>
      </c>
      <c r="AA486" s="50">
        <f t="shared" si="52"/>
        <v>-634.45566666666673</v>
      </c>
      <c r="AB486" s="36" t="str">
        <f t="shared" si="47"/>
        <v>ALTO</v>
      </c>
      <c r="AC486" s="37">
        <f>IFERROR(IF(M486=0,0,IF(ABS(O486)/M486=0,0,IF(ABS(O486)/M486&lt;=0.01,10,IF(ABS(O486)/M486&lt;=0.03,25,IF(ABS(O486)/M486&lt;=0.05,40,50)))))+IF(ABS(U486)=0,0,IF(ABS(U486)&lt;=200,10,IF(ABS(U486)&lt;=500,15,IF(ABS(U486)&lt;=2000,22,30))))+IF(COUNTIFS($B$5:B485,B486,$O$5:O485,"&lt;0")&gt;0,15,0)+IF(OR(Q486&lt;0,R486&lt;0),5,0),0)</f>
        <v>52</v>
      </c>
      <c r="AD486" s="35">
        <v>0</v>
      </c>
      <c r="AE486" s="41" t="s">
        <v>49</v>
      </c>
      <c r="AF486" s="38" t="str">
        <f t="shared" si="53"/>
        <v>Si</v>
      </c>
      <c r="AG486" s="39" t="s">
        <v>599</v>
      </c>
      <c r="AH486" s="40">
        <v>697.9</v>
      </c>
      <c r="AI486" s="51">
        <f t="shared" si="48"/>
        <v>1.099998056076416</v>
      </c>
      <c r="AJ486" s="38" t="str">
        <f t="shared" si="49"/>
        <v>Cobrado Total</v>
      </c>
    </row>
    <row r="487" spans="1:36" ht="25.5" customHeight="1" x14ac:dyDescent="0.25">
      <c r="A487" s="32">
        <v>483</v>
      </c>
      <c r="B487" s="33" t="s">
        <v>410</v>
      </c>
      <c r="C487" s="32" t="s">
        <v>51</v>
      </c>
      <c r="D487" s="32" t="s">
        <v>377</v>
      </c>
      <c r="E487" s="32" t="s">
        <v>53</v>
      </c>
      <c r="F487" s="32">
        <v>1754</v>
      </c>
      <c r="G487" s="33" t="s">
        <v>54</v>
      </c>
      <c r="H487" s="32" t="s">
        <v>47</v>
      </c>
      <c r="I487" s="32" t="s">
        <v>600</v>
      </c>
      <c r="J487" s="34">
        <v>46177</v>
      </c>
      <c r="K487" s="34">
        <v>46177</v>
      </c>
      <c r="L487" s="32" t="s">
        <v>48</v>
      </c>
      <c r="M487" s="48">
        <v>451795.66</v>
      </c>
      <c r="N487" s="48">
        <v>0</v>
      </c>
      <c r="O487" s="48">
        <v>0</v>
      </c>
      <c r="P487" s="48">
        <v>0</v>
      </c>
      <c r="Q487" s="48">
        <v>0</v>
      </c>
      <c r="R487" s="48">
        <v>0</v>
      </c>
      <c r="S487" s="48">
        <v>0</v>
      </c>
      <c r="T487" s="48">
        <f t="shared" si="51"/>
        <v>0</v>
      </c>
      <c r="U487" s="48">
        <f t="shared" si="50"/>
        <v>0</v>
      </c>
      <c r="V487" s="49">
        <f>+Tabla_Auditorias[[#This Row],[AJUSTE
EGRESO
COSTO]]+Tabla_Auditorias[[#This Row],[AJUSTE EGRESO
MAL ESTADO]]+Tabla_Auditorias[[#This Row],[AJUSTE
INGRESO
COSTO]]</f>
        <v>0</v>
      </c>
      <c r="W487" s="48">
        <v>0</v>
      </c>
      <c r="X487" s="48">
        <v>0</v>
      </c>
      <c r="Y487" s="48">
        <v>0</v>
      </c>
      <c r="Z487" s="48">
        <v>0</v>
      </c>
      <c r="AA487" s="50">
        <f t="shared" si="52"/>
        <v>0</v>
      </c>
      <c r="AB487" s="36" t="str">
        <f t="shared" si="47"/>
        <v>BAJO</v>
      </c>
      <c r="AC487" s="37">
        <f>IFERROR(IF(M487=0,0,IF(ABS(O487)/M487=0,0,IF(ABS(O487)/M487&lt;=0.01,10,IF(ABS(O487)/M487&lt;=0.03,25,IF(ABS(O487)/M487&lt;=0.05,40,50)))))+IF(ABS(U487)=0,0,IF(ABS(U487)&lt;=200,10,IF(ABS(U487)&lt;=500,15,IF(ABS(U487)&lt;=2000,22,30))))+IF(COUNTIFS($B$5:B486,B487,$O$5:O486,"&lt;0")&gt;0,15,0)+IF(OR(Q487&lt;0,R487&lt;0),5,0),0)</f>
        <v>0</v>
      </c>
      <c r="AD487" s="35">
        <v>0</v>
      </c>
      <c r="AE487" s="41" t="s">
        <v>541</v>
      </c>
      <c r="AF487" s="38" t="str">
        <f t="shared" si="53"/>
        <v>No</v>
      </c>
      <c r="AG487" s="39" t="s">
        <v>221</v>
      </c>
      <c r="AH487" s="40">
        <v>0</v>
      </c>
      <c r="AI487" s="51" t="str">
        <f t="shared" si="48"/>
        <v/>
      </c>
      <c r="AJ487" s="38" t="str">
        <f t="shared" si="49"/>
        <v>Pendiente</v>
      </c>
    </row>
    <row r="488" spans="1:36" ht="42" customHeight="1" x14ac:dyDescent="0.25">
      <c r="A488" s="32">
        <v>484</v>
      </c>
      <c r="B488" s="33" t="s">
        <v>208</v>
      </c>
      <c r="C488" s="32" t="s">
        <v>43</v>
      </c>
      <c r="D488" s="32" t="s">
        <v>44</v>
      </c>
      <c r="E488" s="32" t="s">
        <v>58</v>
      </c>
      <c r="F488" s="32">
        <v>1521</v>
      </c>
      <c r="G488" s="33" t="s">
        <v>59</v>
      </c>
      <c r="H488" s="32" t="s">
        <v>47</v>
      </c>
      <c r="I488" s="32" t="s">
        <v>601</v>
      </c>
      <c r="J488" s="34">
        <v>46176</v>
      </c>
      <c r="K488" s="34">
        <v>46181</v>
      </c>
      <c r="L488" s="32" t="s">
        <v>48</v>
      </c>
      <c r="M488" s="48">
        <v>185734.66630000001</v>
      </c>
      <c r="N488" s="48">
        <v>319.17759999999998</v>
      </c>
      <c r="O488" s="48">
        <v>-309.3426</v>
      </c>
      <c r="P488" s="48">
        <v>40.932499999999898</v>
      </c>
      <c r="Q488" s="48">
        <v>-44.849699999999999</v>
      </c>
      <c r="R488" s="48">
        <v>0</v>
      </c>
      <c r="S488" s="48">
        <v>0</v>
      </c>
      <c r="T488" s="48">
        <f t="shared" si="51"/>
        <v>5.9177999999998789</v>
      </c>
      <c r="U488" s="48">
        <f t="shared" si="50"/>
        <v>5.9177999999998789</v>
      </c>
      <c r="V488" s="49">
        <f>+Tabla_Auditorias[[#This Row],[AJUSTE
EGRESO
COSTO]]+Tabla_Auditorias[[#This Row],[AJUSTE EGRESO
MAL ESTADO]]+Tabla_Auditorias[[#This Row],[AJUSTE
INGRESO
COSTO]]</f>
        <v>-34.537430000003042</v>
      </c>
      <c r="W488" s="48">
        <v>-1076.927813333333</v>
      </c>
      <c r="X488" s="48">
        <v>-27.3</v>
      </c>
      <c r="Y488" s="48">
        <v>0</v>
      </c>
      <c r="Z488" s="48">
        <v>1069.6903833333299</v>
      </c>
      <c r="AA488" s="50">
        <f t="shared" si="52"/>
        <v>-34.537430000003042</v>
      </c>
      <c r="AB488" s="36" t="str">
        <f t="shared" si="47"/>
        <v>ALTO</v>
      </c>
      <c r="AC488" s="37">
        <f>IFERROR(IF(M488=0,0,IF(ABS(O488)/M488=0,0,IF(ABS(O488)/M488&lt;=0.01,10,IF(ABS(O488)/M488&lt;=0.03,25,IF(ABS(O488)/M488&lt;=0.05,40,50)))))+IF(ABS(U488)=0,0,IF(ABS(U488)&lt;=200,10,IF(ABS(U488)&lt;=500,15,IF(ABS(U488)&lt;=2000,22,30))))+IF(COUNTIFS($B$5:B487,B488,$O$5:O487,"&lt;0")&gt;0,15,0)+IF(OR(Q488&lt;0,R488&lt;0),5,0),0)</f>
        <v>40</v>
      </c>
      <c r="AD488" s="35">
        <v>0</v>
      </c>
      <c r="AE488" s="41" t="s">
        <v>602</v>
      </c>
      <c r="AF488" s="38" t="str">
        <f t="shared" si="53"/>
        <v>Si</v>
      </c>
      <c r="AG488" s="39" t="s">
        <v>603</v>
      </c>
      <c r="AH488" s="40">
        <v>0</v>
      </c>
      <c r="AI488" s="51">
        <f t="shared" si="48"/>
        <v>0</v>
      </c>
      <c r="AJ488" s="38" t="str">
        <f t="shared" si="49"/>
        <v>Pendiente</v>
      </c>
    </row>
    <row r="489" spans="1:36" ht="25.5" customHeight="1" x14ac:dyDescent="0.25">
      <c r="A489" s="32">
        <v>485</v>
      </c>
      <c r="B489" s="33" t="s">
        <v>604</v>
      </c>
      <c r="C489" s="32" t="s">
        <v>51</v>
      </c>
      <c r="D489" s="32" t="s">
        <v>52</v>
      </c>
      <c r="E489" s="32" t="s">
        <v>58</v>
      </c>
      <c r="F489" s="32">
        <v>1737</v>
      </c>
      <c r="G489" s="33" t="s">
        <v>59</v>
      </c>
      <c r="H489" s="32" t="s">
        <v>47</v>
      </c>
      <c r="I489" s="32" t="s">
        <v>605</v>
      </c>
      <c r="J489" s="34">
        <v>46182</v>
      </c>
      <c r="K489" s="34">
        <v>46182</v>
      </c>
      <c r="L489" s="32" t="s">
        <v>48</v>
      </c>
      <c r="M489" s="48">
        <v>24059.838899999999</v>
      </c>
      <c r="N489" s="48">
        <v>0</v>
      </c>
      <c r="O489" s="48">
        <v>0</v>
      </c>
      <c r="P489" s="48">
        <v>0</v>
      </c>
      <c r="Q489" s="48">
        <v>0</v>
      </c>
      <c r="R489" s="48">
        <v>0</v>
      </c>
      <c r="S489" s="48">
        <v>0</v>
      </c>
      <c r="T489" s="48">
        <f t="shared" si="51"/>
        <v>0</v>
      </c>
      <c r="U489" s="48">
        <f t="shared" si="50"/>
        <v>0</v>
      </c>
      <c r="V489" s="49">
        <f>+Tabla_Auditorias[[#This Row],[AJUSTE
EGRESO
COSTO]]+Tabla_Auditorias[[#This Row],[AJUSTE EGRESO
MAL ESTADO]]+Tabla_Auditorias[[#This Row],[AJUSTE
INGRESO
COSTO]]</f>
        <v>0</v>
      </c>
      <c r="W489" s="48">
        <v>0</v>
      </c>
      <c r="X489" s="48">
        <v>0</v>
      </c>
      <c r="Y489" s="48">
        <v>0</v>
      </c>
      <c r="Z489" s="48">
        <v>0</v>
      </c>
      <c r="AA489" s="50">
        <f t="shared" si="52"/>
        <v>0</v>
      </c>
      <c r="AB489" s="36" t="str">
        <f t="shared" si="47"/>
        <v>BAJO</v>
      </c>
      <c r="AC489" s="37">
        <f>IFERROR(IF(M489=0,0,IF(ABS(O489)/M489=0,0,IF(ABS(O489)/M489&lt;=0.01,10,IF(ABS(O489)/M489&lt;=0.03,25,IF(ABS(O489)/M489&lt;=0.05,40,50)))))+IF(ABS(U489)=0,0,IF(ABS(U489)&lt;=200,10,IF(ABS(U489)&lt;=500,15,IF(ABS(U489)&lt;=2000,22,30))))+IF(COUNTIFS($B$5:B488,B489,$O$5:O488,"&lt;0")&gt;0,15,0)+IF(OR(Q489&lt;0,R489&lt;0),5,0),0)</f>
        <v>0</v>
      </c>
      <c r="AD489" s="35">
        <v>0</v>
      </c>
      <c r="AE489" s="41" t="s">
        <v>408</v>
      </c>
      <c r="AF489" s="38" t="str">
        <f t="shared" si="53"/>
        <v>No</v>
      </c>
      <c r="AG489" s="39" t="s">
        <v>221</v>
      </c>
      <c r="AH489" s="40">
        <v>0</v>
      </c>
      <c r="AI489" s="51" t="str">
        <f t="shared" si="48"/>
        <v/>
      </c>
      <c r="AJ489" s="38" t="str">
        <f t="shared" si="49"/>
        <v>Pendiente</v>
      </c>
    </row>
    <row r="490" spans="1:36" ht="25.5" customHeight="1" x14ac:dyDescent="0.25">
      <c r="A490" s="32">
        <v>486</v>
      </c>
      <c r="B490" s="33" t="s">
        <v>456</v>
      </c>
      <c r="C490" s="32" t="s">
        <v>43</v>
      </c>
      <c r="D490" s="32" t="s">
        <v>44</v>
      </c>
      <c r="E490" s="32" t="s">
        <v>58</v>
      </c>
      <c r="F490" s="32">
        <v>1519</v>
      </c>
      <c r="G490" s="33" t="s">
        <v>59</v>
      </c>
      <c r="H490" s="32" t="s">
        <v>47</v>
      </c>
      <c r="I490" s="32" t="s">
        <v>606</v>
      </c>
      <c r="J490" s="34">
        <v>46183</v>
      </c>
      <c r="K490" s="34">
        <v>46185</v>
      </c>
      <c r="L490" s="32" t="s">
        <v>48</v>
      </c>
      <c r="M490" s="48">
        <v>115154.7833</v>
      </c>
      <c r="N490" s="48">
        <v>27.32</v>
      </c>
      <c r="O490" s="48">
        <v>0</v>
      </c>
      <c r="P490" s="48">
        <v>-3.97</v>
      </c>
      <c r="Q490" s="48">
        <v>-281.86</v>
      </c>
      <c r="R490" s="48">
        <v>0</v>
      </c>
      <c r="S490" s="48">
        <v>0</v>
      </c>
      <c r="T490" s="48">
        <f t="shared" si="51"/>
        <v>-258.51</v>
      </c>
      <c r="U490" s="48">
        <f t="shared" si="50"/>
        <v>-258.51</v>
      </c>
      <c r="V490" s="49">
        <f>+Tabla_Auditorias[[#This Row],[AJUSTE
EGRESO
COSTO]]+Tabla_Auditorias[[#This Row],[AJUSTE EGRESO
MAL ESTADO]]+Tabla_Auditorias[[#This Row],[AJUSTE
INGRESO
COSTO]]</f>
        <v>-164.92918888888889</v>
      </c>
      <c r="W490" s="48">
        <v>-35.950355555555603</v>
      </c>
      <c r="X490" s="48">
        <v>-173.81569999999999</v>
      </c>
      <c r="Y490" s="48">
        <v>0</v>
      </c>
      <c r="Z490" s="48">
        <v>44.836866666666701</v>
      </c>
      <c r="AA490" s="50">
        <f t="shared" si="52"/>
        <v>-164.92918888888889</v>
      </c>
      <c r="AB490" s="36" t="str">
        <f t="shared" si="47"/>
        <v>MEDIO</v>
      </c>
      <c r="AC490" s="37">
        <f>IFERROR(IF(M490=0,0,IF(ABS(O490)/M490=0,0,IF(ABS(O490)/M490&lt;=0.01,10,IF(ABS(O490)/M490&lt;=0.03,25,IF(ABS(O490)/M490&lt;=0.05,40,50)))))+IF(ABS(U490)=0,0,IF(ABS(U490)&lt;=200,10,IF(ABS(U490)&lt;=500,15,IF(ABS(U490)&lt;=2000,22,30))))+IF(COUNTIFS($B$5:B489,B490,$O$5:O489,"&lt;0")&gt;0,15,0)+IF(OR(Q490&lt;0,R490&lt;0),5,0),0)</f>
        <v>35</v>
      </c>
      <c r="AD490" s="35">
        <v>0</v>
      </c>
      <c r="AE490" s="41" t="s">
        <v>408</v>
      </c>
      <c r="AF490" s="38" t="str">
        <f t="shared" si="53"/>
        <v>Si</v>
      </c>
      <c r="AG490" s="39" t="s">
        <v>607</v>
      </c>
      <c r="AH490" s="40">
        <v>0</v>
      </c>
      <c r="AI490" s="51">
        <f t="shared" si="48"/>
        <v>0</v>
      </c>
      <c r="AJ490" s="38" t="str">
        <f t="shared" si="49"/>
        <v>Pendiente</v>
      </c>
    </row>
    <row r="491" spans="1:36" ht="38.25" customHeight="1" x14ac:dyDescent="0.25">
      <c r="A491" s="32">
        <v>487</v>
      </c>
      <c r="B491" s="33" t="s">
        <v>80</v>
      </c>
      <c r="C491" s="32" t="s">
        <v>51</v>
      </c>
      <c r="D491" s="32" t="s">
        <v>52</v>
      </c>
      <c r="E491" s="32" t="s">
        <v>58</v>
      </c>
      <c r="F491" s="32">
        <v>1731</v>
      </c>
      <c r="G491" s="33" t="s">
        <v>59</v>
      </c>
      <c r="H491" s="32" t="s">
        <v>47</v>
      </c>
      <c r="I491" s="32" t="s">
        <v>608</v>
      </c>
      <c r="J491" s="34">
        <v>46186</v>
      </c>
      <c r="K491" s="34">
        <v>46186</v>
      </c>
      <c r="L491" s="32" t="s">
        <v>48</v>
      </c>
      <c r="M491" s="48">
        <v>40235.6708</v>
      </c>
      <c r="N491" s="48">
        <v>0</v>
      </c>
      <c r="O491" s="48">
        <v>0</v>
      </c>
      <c r="P491" s="48">
        <v>0</v>
      </c>
      <c r="Q491" s="48">
        <v>0</v>
      </c>
      <c r="R491" s="48">
        <v>0</v>
      </c>
      <c r="S491" s="48">
        <v>0</v>
      </c>
      <c r="T491" s="48">
        <f t="shared" si="51"/>
        <v>0</v>
      </c>
      <c r="U491" s="48">
        <f t="shared" si="50"/>
        <v>0</v>
      </c>
      <c r="V491" s="49">
        <f>+Tabla_Auditorias[[#This Row],[AJUSTE
EGRESO
COSTO]]+Tabla_Auditorias[[#This Row],[AJUSTE EGRESO
MAL ESTADO]]+Tabla_Auditorias[[#This Row],[AJUSTE
INGRESO
COSTO]]</f>
        <v>0</v>
      </c>
      <c r="W491" s="48">
        <v>0</v>
      </c>
      <c r="X491" s="48">
        <v>0</v>
      </c>
      <c r="Y491" s="48">
        <v>0</v>
      </c>
      <c r="Z491" s="48">
        <v>0</v>
      </c>
      <c r="AA491" s="50">
        <f t="shared" si="52"/>
        <v>0</v>
      </c>
      <c r="AB491" s="36" t="str">
        <f t="shared" si="47"/>
        <v>MEDIO</v>
      </c>
      <c r="AC491" s="37">
        <f>IFERROR(IF(M491=0,0,IF(ABS(O491)/M491=0,0,IF(ABS(O491)/M491&lt;=0.01,10,IF(ABS(O491)/M491&lt;=0.03,25,IF(ABS(O491)/M491&lt;=0.05,40,50)))))+IF(ABS(U491)=0,0,IF(ABS(U491)&lt;=200,10,IF(ABS(U491)&lt;=500,15,IF(ABS(U491)&lt;=2000,22,30))))+IF(COUNTIFS($B$5:B490,B491,$O$5:O490,"&lt;0")&gt;0,15,0)+IF(OR(Q491&lt;0,R491&lt;0),5,0),0)</f>
        <v>15</v>
      </c>
      <c r="AD491" s="35">
        <v>0</v>
      </c>
      <c r="AE491" s="41" t="s">
        <v>602</v>
      </c>
      <c r="AF491" s="38" t="str">
        <f t="shared" si="53"/>
        <v>No</v>
      </c>
      <c r="AG491" s="39" t="s">
        <v>221</v>
      </c>
      <c r="AH491" s="40">
        <v>0</v>
      </c>
      <c r="AI491" s="51" t="str">
        <f t="shared" si="48"/>
        <v/>
      </c>
      <c r="AJ491" s="38" t="str">
        <f t="shared" si="49"/>
        <v>Pendiente</v>
      </c>
    </row>
    <row r="492" spans="1:36" ht="42" customHeight="1" x14ac:dyDescent="0.25">
      <c r="A492" s="32">
        <v>488</v>
      </c>
      <c r="B492" s="33" t="s">
        <v>328</v>
      </c>
      <c r="C492" s="32" t="s">
        <v>153</v>
      </c>
      <c r="D492" s="32" t="s">
        <v>89</v>
      </c>
      <c r="E492" s="32" t="s">
        <v>45</v>
      </c>
      <c r="F492" s="32">
        <v>3044</v>
      </c>
      <c r="G492" s="33" t="s">
        <v>314</v>
      </c>
      <c r="H492" s="32" t="s">
        <v>47</v>
      </c>
      <c r="I492" s="32" t="s">
        <v>609</v>
      </c>
      <c r="J492" s="34">
        <v>46186</v>
      </c>
      <c r="K492" s="34">
        <v>46188</v>
      </c>
      <c r="L492" s="32" t="s">
        <v>48</v>
      </c>
      <c r="M492" s="48">
        <v>21615.526200000011</v>
      </c>
      <c r="N492" s="48">
        <v>177.65</v>
      </c>
      <c r="O492" s="48">
        <v>-771.43999999999994</v>
      </c>
      <c r="P492" s="48">
        <v>26.740000000000009</v>
      </c>
      <c r="Q492" s="48">
        <v>0</v>
      </c>
      <c r="R492" s="48">
        <v>0</v>
      </c>
      <c r="S492" s="48">
        <v>0</v>
      </c>
      <c r="T492" s="48">
        <f t="shared" si="51"/>
        <v>-567.04999999999995</v>
      </c>
      <c r="U492" s="48">
        <f t="shared" si="50"/>
        <v>-567.04999999999995</v>
      </c>
      <c r="V492" s="49">
        <f>+Tabla_Auditorias[[#This Row],[AJUSTE
EGRESO
COSTO]]+Tabla_Auditorias[[#This Row],[AJUSTE EGRESO
MAL ESTADO]]+Tabla_Auditorias[[#This Row],[AJUSTE
INGRESO
COSTO]]</f>
        <v>-67.308750627401764</v>
      </c>
      <c r="W492" s="48">
        <v>-443.29172761988298</v>
      </c>
      <c r="X492" s="48">
        <v>0</v>
      </c>
      <c r="Y492" s="48">
        <v>0</v>
      </c>
      <c r="Z492" s="48">
        <v>375.98297699248121</v>
      </c>
      <c r="AA492" s="50">
        <f t="shared" si="52"/>
        <v>-67.308750627401764</v>
      </c>
      <c r="AB492" s="36" t="str">
        <f t="shared" si="47"/>
        <v>CRÍTICO</v>
      </c>
      <c r="AC492" s="37">
        <f>IFERROR(IF(M492=0,0,IF(ABS(O492)/M492=0,0,IF(ABS(O492)/M492&lt;=0.01,10,IF(ABS(O492)/M492&lt;=0.03,25,IF(ABS(O492)/M492&lt;=0.05,40,50)))))+IF(ABS(U492)=0,0,IF(ABS(U492)&lt;=200,10,IF(ABS(U492)&lt;=500,15,IF(ABS(U492)&lt;=2000,22,30))))+IF(COUNTIFS($B$5:B491,B492,$O$5:O491,"&lt;0")&gt;0,15,0)+IF(OR(Q492&lt;0,R492&lt;0),5,0),0)</f>
        <v>77</v>
      </c>
      <c r="AD492" s="35">
        <v>0</v>
      </c>
      <c r="AE492" s="41" t="s">
        <v>602</v>
      </c>
      <c r="AF492" s="38" t="str">
        <f t="shared" si="53"/>
        <v>Si</v>
      </c>
      <c r="AG492" s="39" t="s">
        <v>610</v>
      </c>
      <c r="AH492" s="40">
        <v>0</v>
      </c>
      <c r="AI492" s="51">
        <f t="shared" si="48"/>
        <v>0</v>
      </c>
      <c r="AJ492" s="38" t="str">
        <f t="shared" si="49"/>
        <v>Pendiente</v>
      </c>
    </row>
    <row r="493" spans="1:36" ht="52.5" customHeight="1" x14ac:dyDescent="0.25">
      <c r="A493" s="32">
        <v>489</v>
      </c>
      <c r="B493" s="33" t="s">
        <v>611</v>
      </c>
      <c r="C493" s="32" t="s">
        <v>43</v>
      </c>
      <c r="D493" s="32" t="s">
        <v>44</v>
      </c>
      <c r="E493" s="32" t="s">
        <v>58</v>
      </c>
      <c r="F493" s="32">
        <v>1501</v>
      </c>
      <c r="G493" s="33" t="s">
        <v>59</v>
      </c>
      <c r="H493" s="32" t="s">
        <v>47</v>
      </c>
      <c r="I493" s="32" t="s">
        <v>612</v>
      </c>
      <c r="J493" s="34">
        <v>46169</v>
      </c>
      <c r="K493" s="34">
        <v>46171</v>
      </c>
      <c r="L493" s="32" t="s">
        <v>48</v>
      </c>
      <c r="M493" s="48">
        <v>100459.58990000001</v>
      </c>
      <c r="N493" s="48">
        <v>977.87180000000001</v>
      </c>
      <c r="O493" s="48">
        <v>-151.92420000000001</v>
      </c>
      <c r="P493" s="48">
        <v>1.18</v>
      </c>
      <c r="Q493" s="48">
        <v>-1479.4764</v>
      </c>
      <c r="R493" s="48">
        <v>0</v>
      </c>
      <c r="S493" s="48">
        <v>0</v>
      </c>
      <c r="T493" s="48">
        <f t="shared" si="51"/>
        <v>-652.3488000000001</v>
      </c>
      <c r="U493" s="48">
        <f t="shared" si="50"/>
        <v>-652.3488000000001</v>
      </c>
      <c r="V493" s="49">
        <f>+Tabla_Auditorias[[#This Row],[AJUSTE
EGRESO
COSTO]]+Tabla_Auditorias[[#This Row],[AJUSTE EGRESO
MAL ESTADO]]+Tabla_Auditorias[[#This Row],[AJUSTE
INGRESO
COSTO]]</f>
        <v>-398.88581947368408</v>
      </c>
      <c r="W493" s="48">
        <v>-100.54363947368419</v>
      </c>
      <c r="X493" s="48">
        <v>-777.2849799999999</v>
      </c>
      <c r="Y493" s="48">
        <v>0</v>
      </c>
      <c r="Z493" s="48">
        <v>478.94279999999998</v>
      </c>
      <c r="AA493" s="50">
        <f t="shared" si="52"/>
        <v>-398.88581947368408</v>
      </c>
      <c r="AB493" s="36" t="str">
        <f t="shared" si="47"/>
        <v>ALTO</v>
      </c>
      <c r="AC493" s="37">
        <f>IFERROR(IF(M493=0,0,IF(ABS(O493)/M493=0,0,IF(ABS(O493)/M493&lt;=0.01,10,IF(ABS(O493)/M493&lt;=0.03,25,IF(ABS(O493)/M493&lt;=0.05,40,50)))))+IF(ABS(U493)=0,0,IF(ABS(U493)&lt;=200,10,IF(ABS(U493)&lt;=500,15,IF(ABS(U493)&lt;=2000,22,30))))+IF(COUNTIFS($B$5:B492,B493,$O$5:O492,"&lt;0")&gt;0,15,0)+IF(OR(Q493&lt;0,R493&lt;0),5,0),0)</f>
        <v>37</v>
      </c>
      <c r="AD493" s="35">
        <v>0</v>
      </c>
      <c r="AE493" s="41" t="s">
        <v>408</v>
      </c>
      <c r="AF493" s="38" t="str">
        <f t="shared" si="53"/>
        <v>Si</v>
      </c>
      <c r="AG493" s="39" t="s">
        <v>613</v>
      </c>
      <c r="AH493" s="40">
        <v>0</v>
      </c>
      <c r="AI493" s="51">
        <f t="shared" si="48"/>
        <v>0</v>
      </c>
      <c r="AJ493" s="38" t="str">
        <f t="shared" si="49"/>
        <v>Pendiente</v>
      </c>
    </row>
    <row r="494" spans="1:36" ht="42" customHeight="1" x14ac:dyDescent="0.25">
      <c r="A494" s="32">
        <v>490</v>
      </c>
      <c r="B494" s="33" t="s">
        <v>83</v>
      </c>
      <c r="C494" s="32" t="s">
        <v>51</v>
      </c>
      <c r="D494" s="32" t="s">
        <v>57</v>
      </c>
      <c r="E494" s="32" t="s">
        <v>58</v>
      </c>
      <c r="F494" s="32">
        <v>1704</v>
      </c>
      <c r="G494" s="33" t="s">
        <v>59</v>
      </c>
      <c r="H494" s="32" t="s">
        <v>47</v>
      </c>
      <c r="I494" s="32" t="s">
        <v>614</v>
      </c>
      <c r="J494" s="34">
        <v>46188</v>
      </c>
      <c r="K494" s="34">
        <v>46189</v>
      </c>
      <c r="L494" s="32" t="s">
        <v>48</v>
      </c>
      <c r="M494" s="48">
        <v>112971.0711</v>
      </c>
      <c r="N494" s="48">
        <v>19.39</v>
      </c>
      <c r="O494" s="48">
        <v>-145.99</v>
      </c>
      <c r="P494" s="48">
        <v>-17.28</v>
      </c>
      <c r="Q494" s="48">
        <v>0</v>
      </c>
      <c r="R494" s="48">
        <v>0</v>
      </c>
      <c r="S494" s="48">
        <v>0</v>
      </c>
      <c r="T494" s="48">
        <f t="shared" si="51"/>
        <v>-143.88</v>
      </c>
      <c r="U494" s="48">
        <f t="shared" si="50"/>
        <v>-143.88</v>
      </c>
      <c r="V494" s="49">
        <f>+Tabla_Auditorias[[#This Row],[AJUSTE
EGRESO
COSTO]]+Tabla_Auditorias[[#This Row],[AJUSTE EGRESO
MAL ESTADO]]+Tabla_Auditorias[[#This Row],[AJUSTE
INGRESO
COSTO]]</f>
        <v>-90.557598333333289</v>
      </c>
      <c r="W494" s="48">
        <v>-235.0098983333333</v>
      </c>
      <c r="X494" s="48">
        <v>0</v>
      </c>
      <c r="Y494" s="48">
        <v>0</v>
      </c>
      <c r="Z494" s="48">
        <v>144.45230000000001</v>
      </c>
      <c r="AA494" s="50">
        <f t="shared" si="52"/>
        <v>-90.557598333333289</v>
      </c>
      <c r="AB494" s="36" t="str">
        <f t="shared" si="47"/>
        <v>MEDIO</v>
      </c>
      <c r="AC494" s="37">
        <f>IFERROR(IF(M494=0,0,IF(ABS(O494)/M494=0,0,IF(ABS(O494)/M494&lt;=0.01,10,IF(ABS(O494)/M494&lt;=0.03,25,IF(ABS(O494)/M494&lt;=0.05,40,50)))))+IF(ABS(U494)=0,0,IF(ABS(U494)&lt;=200,10,IF(ABS(U494)&lt;=500,15,IF(ABS(U494)&lt;=2000,22,30))))+IF(COUNTIFS($B$5:B493,B494,$O$5:O493,"&lt;0")&gt;0,15,0)+IF(OR(Q494&lt;0,R494&lt;0),5,0),0)</f>
        <v>35</v>
      </c>
      <c r="AD494" s="35">
        <v>0</v>
      </c>
      <c r="AE494" s="41" t="s">
        <v>408</v>
      </c>
      <c r="AF494" s="38" t="str">
        <f t="shared" si="53"/>
        <v>Si</v>
      </c>
      <c r="AG494" s="39" t="s">
        <v>615</v>
      </c>
      <c r="AH494" s="40">
        <v>0</v>
      </c>
      <c r="AI494" s="51">
        <f t="shared" si="48"/>
        <v>0</v>
      </c>
      <c r="AJ494" s="38" t="str">
        <f t="shared" si="49"/>
        <v>Pendiente</v>
      </c>
    </row>
    <row r="495" spans="1:36" ht="25.5" customHeight="1" x14ac:dyDescent="0.25">
      <c r="A495" s="32">
        <v>491</v>
      </c>
      <c r="B495" s="33" t="s">
        <v>69</v>
      </c>
      <c r="C495" s="32" t="s">
        <v>51</v>
      </c>
      <c r="D495" s="32" t="s">
        <v>57</v>
      </c>
      <c r="E495" s="32" t="s">
        <v>53</v>
      </c>
      <c r="F495" s="32">
        <v>1705</v>
      </c>
      <c r="G495" s="33" t="s">
        <v>54</v>
      </c>
      <c r="H495" s="32" t="s">
        <v>47</v>
      </c>
      <c r="I495" s="32" t="s">
        <v>616</v>
      </c>
      <c r="J495" s="34">
        <v>46188</v>
      </c>
      <c r="K495" s="34">
        <v>46188</v>
      </c>
      <c r="L495" s="32" t="s">
        <v>48</v>
      </c>
      <c r="M495" s="48">
        <v>163764.07249999981</v>
      </c>
      <c r="N495" s="48">
        <v>0</v>
      </c>
      <c r="O495" s="48">
        <v>0</v>
      </c>
      <c r="P495" s="48">
        <v>-45.110000000000007</v>
      </c>
      <c r="Q495" s="48">
        <v>0</v>
      </c>
      <c r="R495" s="48">
        <v>0</v>
      </c>
      <c r="S495" s="48">
        <v>0</v>
      </c>
      <c r="T495" s="48">
        <f t="shared" si="51"/>
        <v>-45.110000000000007</v>
      </c>
      <c r="U495" s="48">
        <f t="shared" si="50"/>
        <v>-45.110000000000007</v>
      </c>
      <c r="V495" s="49">
        <f>+Tabla_Auditorias[[#This Row],[AJUSTE
EGRESO
COSTO]]+Tabla_Auditorias[[#This Row],[AJUSTE EGRESO
MAL ESTADO]]+Tabla_Auditorias[[#This Row],[AJUSTE
INGRESO
COSTO]]</f>
        <v>-41.096424999999954</v>
      </c>
      <c r="W495" s="48">
        <v>-614.20642499999997</v>
      </c>
      <c r="X495" s="48">
        <v>0</v>
      </c>
      <c r="Y495" s="48">
        <v>0</v>
      </c>
      <c r="Z495" s="48">
        <v>573.11</v>
      </c>
      <c r="AA495" s="50">
        <f t="shared" si="52"/>
        <v>-41.096424999999954</v>
      </c>
      <c r="AB495" s="36" t="str">
        <f t="shared" si="47"/>
        <v>MEDIO</v>
      </c>
      <c r="AC495" s="37">
        <f>IFERROR(IF(M495=0,0,IF(ABS(O495)/M495=0,0,IF(ABS(O495)/M495&lt;=0.01,10,IF(ABS(O495)/M495&lt;=0.03,25,IF(ABS(O495)/M495&lt;=0.05,40,50)))))+IF(ABS(U495)=0,0,IF(ABS(U495)&lt;=200,10,IF(ABS(U495)&lt;=500,15,IF(ABS(U495)&lt;=2000,22,30))))+IF(COUNTIFS($B$5:B494,B495,$O$5:O494,"&lt;0")&gt;0,15,0)+IF(OR(Q495&lt;0,R495&lt;0),5,0),0)</f>
        <v>25</v>
      </c>
      <c r="AD495" s="35">
        <v>0</v>
      </c>
      <c r="AE495" s="41" t="s">
        <v>602</v>
      </c>
      <c r="AF495" s="38" t="str">
        <f t="shared" si="53"/>
        <v>Si</v>
      </c>
      <c r="AG495" s="39" t="s">
        <v>3311</v>
      </c>
      <c r="AH495" s="40">
        <v>0</v>
      </c>
      <c r="AI495" s="51">
        <f t="shared" si="48"/>
        <v>0</v>
      </c>
      <c r="AJ495" s="38" t="str">
        <f t="shared" si="49"/>
        <v>Pendiente</v>
      </c>
    </row>
    <row r="496" spans="1:36" ht="52.5" customHeight="1" x14ac:dyDescent="0.25">
      <c r="A496" s="32">
        <v>492</v>
      </c>
      <c r="B496" s="33" t="s">
        <v>489</v>
      </c>
      <c r="C496" s="32" t="s">
        <v>43</v>
      </c>
      <c r="D496" s="32" t="s">
        <v>44</v>
      </c>
      <c r="E496" s="32" t="s">
        <v>58</v>
      </c>
      <c r="F496" s="32">
        <v>1514</v>
      </c>
      <c r="G496" s="33" t="s">
        <v>59</v>
      </c>
      <c r="H496" s="32" t="s">
        <v>47</v>
      </c>
      <c r="I496" s="32" t="s">
        <v>617</v>
      </c>
      <c r="J496" s="34">
        <v>46190</v>
      </c>
      <c r="K496" s="34">
        <v>46191</v>
      </c>
      <c r="L496" s="32" t="s">
        <v>48</v>
      </c>
      <c r="M496" s="48">
        <v>87825.403599999903</v>
      </c>
      <c r="N496" s="48">
        <v>60.97</v>
      </c>
      <c r="O496" s="48">
        <v>-105.63</v>
      </c>
      <c r="P496" s="48">
        <v>-49.780000000000101</v>
      </c>
      <c r="Q496" s="48">
        <v>-23.64</v>
      </c>
      <c r="R496" s="48">
        <v>0</v>
      </c>
      <c r="S496" s="48">
        <v>0</v>
      </c>
      <c r="T496" s="48">
        <f t="shared" si="51"/>
        <v>-118.0800000000001</v>
      </c>
      <c r="U496" s="48">
        <f t="shared" si="50"/>
        <v>-118.0800000000001</v>
      </c>
      <c r="V496" s="49">
        <f>+Tabla_Auditorias[[#This Row],[AJUSTE
EGRESO
COSTO]]+Tabla_Auditorias[[#This Row],[AJUSTE EGRESO
MAL ESTADO]]+Tabla_Auditorias[[#This Row],[AJUSTE
INGRESO
COSTO]]</f>
        <v>-72.382749999999959</v>
      </c>
      <c r="W496" s="48">
        <v>-293.02999999999997</v>
      </c>
      <c r="X496" s="48">
        <v>-14.4</v>
      </c>
      <c r="Y496" s="48">
        <v>0</v>
      </c>
      <c r="Z496" s="48">
        <v>235.04724999999999</v>
      </c>
      <c r="AA496" s="50">
        <f t="shared" si="52"/>
        <v>-72.382749999999959</v>
      </c>
      <c r="AB496" s="36" t="str">
        <f t="shared" si="47"/>
        <v>ALTO</v>
      </c>
      <c r="AC496" s="37">
        <f>IFERROR(IF(M496=0,0,IF(ABS(O496)/M496=0,0,IF(ABS(O496)/M496&lt;=0.01,10,IF(ABS(O496)/M496&lt;=0.03,25,IF(ABS(O496)/M496&lt;=0.05,40,50)))))+IF(ABS(U496)=0,0,IF(ABS(U496)&lt;=200,10,IF(ABS(U496)&lt;=500,15,IF(ABS(U496)&lt;=2000,22,30))))+IF(COUNTIFS($B$5:B495,B496,$O$5:O495,"&lt;0")&gt;0,15,0)+IF(OR(Q496&lt;0,R496&lt;0),5,0),0)</f>
        <v>40</v>
      </c>
      <c r="AD496" s="35">
        <v>0</v>
      </c>
      <c r="AE496" s="41" t="s">
        <v>602</v>
      </c>
      <c r="AF496" s="38" t="str">
        <f t="shared" si="53"/>
        <v>Si</v>
      </c>
      <c r="AG496" s="39" t="s">
        <v>618</v>
      </c>
      <c r="AH496" s="40">
        <v>0</v>
      </c>
      <c r="AI496" s="51">
        <f t="shared" si="48"/>
        <v>0</v>
      </c>
      <c r="AJ496" s="38" t="str">
        <f t="shared" si="49"/>
        <v>Pendiente</v>
      </c>
    </row>
    <row r="497" spans="1:36" ht="31.5" customHeight="1" x14ac:dyDescent="0.25">
      <c r="A497" s="32">
        <v>493</v>
      </c>
      <c r="B497" s="33" t="s">
        <v>87</v>
      </c>
      <c r="C497" s="32" t="s">
        <v>153</v>
      </c>
      <c r="D497" s="32" t="s">
        <v>89</v>
      </c>
      <c r="E497" s="32" t="s">
        <v>58</v>
      </c>
      <c r="F497" s="32">
        <v>3040</v>
      </c>
      <c r="G497" s="33" t="s">
        <v>59</v>
      </c>
      <c r="H497" s="32" t="s">
        <v>47</v>
      </c>
      <c r="I497" s="32" t="s">
        <v>619</v>
      </c>
      <c r="J497" s="34">
        <v>46192</v>
      </c>
      <c r="K497" s="34">
        <v>46193</v>
      </c>
      <c r="L497" s="32" t="s">
        <v>48</v>
      </c>
      <c r="M497" s="48">
        <v>22401.734899999999</v>
      </c>
      <c r="N497" s="48">
        <v>16.440000000000001</v>
      </c>
      <c r="O497" s="48">
        <v>-31.2</v>
      </c>
      <c r="P497" s="48">
        <v>-2.29000000000002</v>
      </c>
      <c r="Q497" s="48">
        <v>0</v>
      </c>
      <c r="R497" s="48">
        <v>0</v>
      </c>
      <c r="S497" s="48">
        <v>0</v>
      </c>
      <c r="T497" s="48">
        <f t="shared" si="51"/>
        <v>-17.050000000000018</v>
      </c>
      <c r="U497" s="48">
        <f t="shared" si="50"/>
        <v>-17.050000000000018</v>
      </c>
      <c r="V497" s="49">
        <f>+Tabla_Auditorias[[#This Row],[AJUSTE
EGRESO
COSTO]]+Tabla_Auditorias[[#This Row],[AJUSTE EGRESO
MAL ESTADO]]+Tabla_Auditorias[[#This Row],[AJUSTE
INGRESO
COSTO]]</f>
        <v>-6.6320500000000209</v>
      </c>
      <c r="W497" s="48">
        <v>-163.49475000000001</v>
      </c>
      <c r="X497" s="48">
        <v>0</v>
      </c>
      <c r="Y497" s="48">
        <v>0</v>
      </c>
      <c r="Z497" s="48">
        <v>156.86269999999999</v>
      </c>
      <c r="AA497" s="50">
        <f t="shared" si="52"/>
        <v>-6.6320500000000209</v>
      </c>
      <c r="AB497" s="36" t="str">
        <f t="shared" si="47"/>
        <v>MEDIO</v>
      </c>
      <c r="AC497" s="37">
        <f>IFERROR(IF(M497=0,0,IF(ABS(O497)/M497=0,0,IF(ABS(O497)/M497&lt;=0.01,10,IF(ABS(O497)/M497&lt;=0.03,25,IF(ABS(O497)/M497&lt;=0.05,40,50)))))+IF(ABS(U497)=0,0,IF(ABS(U497)&lt;=200,10,IF(ABS(U497)&lt;=500,15,IF(ABS(U497)&lt;=2000,22,30))))+IF(COUNTIFS($B$5:B496,B497,$O$5:O496,"&lt;0")&gt;0,15,0)+IF(OR(Q497&lt;0,R497&lt;0),5,0),0)</f>
        <v>35</v>
      </c>
      <c r="AD497" s="35">
        <v>0</v>
      </c>
      <c r="AE497" s="41" t="s">
        <v>602</v>
      </c>
      <c r="AF497" s="38" t="str">
        <f t="shared" si="53"/>
        <v>Si</v>
      </c>
      <c r="AG497" s="39" t="s">
        <v>620</v>
      </c>
      <c r="AH497" s="40">
        <v>0</v>
      </c>
      <c r="AI497" s="51">
        <f t="shared" si="48"/>
        <v>0</v>
      </c>
      <c r="AJ497" s="38" t="str">
        <f t="shared" si="49"/>
        <v>Pendiente</v>
      </c>
    </row>
    <row r="498" spans="1:36" ht="25.5" customHeight="1" x14ac:dyDescent="0.25">
      <c r="A498" s="32">
        <v>494</v>
      </c>
      <c r="B498" s="33" t="s">
        <v>63</v>
      </c>
      <c r="C498" s="32" t="s">
        <v>51</v>
      </c>
      <c r="D498" s="32" t="s">
        <v>64</v>
      </c>
      <c r="E498" s="32" t="s">
        <v>53</v>
      </c>
      <c r="F498" s="32">
        <v>1729</v>
      </c>
      <c r="G498" s="33" t="s">
        <v>54</v>
      </c>
      <c r="H498" s="32" t="s">
        <v>47</v>
      </c>
      <c r="I498" s="32" t="s">
        <v>621</v>
      </c>
      <c r="J498" s="34">
        <v>46196</v>
      </c>
      <c r="K498" s="34">
        <v>46196</v>
      </c>
      <c r="L498" s="32" t="s">
        <v>48</v>
      </c>
      <c r="M498" s="48">
        <v>228204.26720000009</v>
      </c>
      <c r="N498" s="48">
        <v>0</v>
      </c>
      <c r="O498" s="48">
        <v>0</v>
      </c>
      <c r="P498" s="48">
        <v>0</v>
      </c>
      <c r="Q498" s="48">
        <v>0</v>
      </c>
      <c r="R498" s="48">
        <v>0</v>
      </c>
      <c r="S498" s="48">
        <v>0</v>
      </c>
      <c r="T498" s="48">
        <f t="shared" si="51"/>
        <v>0</v>
      </c>
      <c r="U498" s="48">
        <f t="shared" si="50"/>
        <v>0</v>
      </c>
      <c r="V498" s="49">
        <f>+Tabla_Auditorias[[#This Row],[AJUSTE
EGRESO
COSTO]]+Tabla_Auditorias[[#This Row],[AJUSTE EGRESO
MAL ESTADO]]+Tabla_Auditorias[[#This Row],[AJUSTE
INGRESO
COSTO]]</f>
        <v>0</v>
      </c>
      <c r="W498" s="48">
        <v>0</v>
      </c>
      <c r="X498" s="48">
        <v>0</v>
      </c>
      <c r="Y498" s="48">
        <v>0</v>
      </c>
      <c r="Z498" s="48">
        <v>0</v>
      </c>
      <c r="AA498" s="50">
        <f t="shared" si="52"/>
        <v>0</v>
      </c>
      <c r="AB498" s="36" t="str">
        <f t="shared" si="47"/>
        <v>MEDIO</v>
      </c>
      <c r="AC498" s="37">
        <f>IFERROR(IF(M498=0,0,IF(ABS(O498)/M498=0,0,IF(ABS(O498)/M498&lt;=0.01,10,IF(ABS(O498)/M498&lt;=0.03,25,IF(ABS(O498)/M498&lt;=0.05,40,50)))))+IF(ABS(U498)=0,0,IF(ABS(U498)&lt;=200,10,IF(ABS(U498)&lt;=500,15,IF(ABS(U498)&lt;=2000,22,30))))+IF(COUNTIFS($B$5:B497,B498,$O$5:O497,"&lt;0")&gt;0,15,0)+IF(OR(Q498&lt;0,R498&lt;0),5,0),0)</f>
        <v>15</v>
      </c>
      <c r="AD498" s="35">
        <v>0</v>
      </c>
      <c r="AE498" s="41" t="s">
        <v>602</v>
      </c>
      <c r="AF498" s="38" t="str">
        <f t="shared" si="53"/>
        <v>No</v>
      </c>
      <c r="AG498" s="39" t="s">
        <v>221</v>
      </c>
      <c r="AH498" s="40">
        <v>0</v>
      </c>
      <c r="AI498" s="51" t="str">
        <f t="shared" si="48"/>
        <v/>
      </c>
      <c r="AJ498" s="38" t="str">
        <f t="shared" si="49"/>
        <v>Pendiente</v>
      </c>
    </row>
    <row r="499" spans="1:36" ht="25.5" customHeight="1" x14ac:dyDescent="0.25">
      <c r="A499" s="32">
        <v>495</v>
      </c>
      <c r="B499" s="33" t="s">
        <v>107</v>
      </c>
      <c r="C499" s="32" t="s">
        <v>51</v>
      </c>
      <c r="D499" s="32" t="s">
        <v>57</v>
      </c>
      <c r="E499" s="32" t="s">
        <v>53</v>
      </c>
      <c r="F499" s="32">
        <v>1708</v>
      </c>
      <c r="G499" s="33" t="s">
        <v>54</v>
      </c>
      <c r="H499" s="32" t="s">
        <v>47</v>
      </c>
      <c r="I499" s="32" t="s">
        <v>622</v>
      </c>
      <c r="J499" s="34">
        <v>46198</v>
      </c>
      <c r="K499" s="34">
        <v>46198</v>
      </c>
      <c r="L499" s="32" t="s">
        <v>48</v>
      </c>
      <c r="M499" s="48">
        <v>79826.774900000019</v>
      </c>
      <c r="N499" s="48">
        <v>0</v>
      </c>
      <c r="O499" s="48">
        <v>0</v>
      </c>
      <c r="P499" s="48">
        <v>0</v>
      </c>
      <c r="Q499" s="48">
        <v>0</v>
      </c>
      <c r="R499" s="48">
        <v>0</v>
      </c>
      <c r="S499" s="48">
        <v>0</v>
      </c>
      <c r="T499" s="48">
        <f t="shared" si="51"/>
        <v>0</v>
      </c>
      <c r="U499" s="48">
        <f t="shared" si="50"/>
        <v>0</v>
      </c>
      <c r="V499" s="49">
        <f>+Tabla_Auditorias[[#This Row],[AJUSTE
EGRESO
COSTO]]+Tabla_Auditorias[[#This Row],[AJUSTE EGRESO
MAL ESTADO]]+Tabla_Auditorias[[#This Row],[AJUSTE
INGRESO
COSTO]]</f>
        <v>0</v>
      </c>
      <c r="W499" s="48">
        <v>0</v>
      </c>
      <c r="X499" s="48">
        <v>0</v>
      </c>
      <c r="Y499" s="48">
        <v>0</v>
      </c>
      <c r="Z499" s="48">
        <v>0</v>
      </c>
      <c r="AA499" s="50">
        <f t="shared" si="52"/>
        <v>0</v>
      </c>
      <c r="AB499" s="36" t="str">
        <f t="shared" si="47"/>
        <v>MEDIO</v>
      </c>
      <c r="AC499" s="37">
        <f>IFERROR(IF(M499=0,0,IF(ABS(O499)/M499=0,0,IF(ABS(O499)/M499&lt;=0.01,10,IF(ABS(O499)/M499&lt;=0.03,25,IF(ABS(O499)/M499&lt;=0.05,40,50)))))+IF(ABS(U499)=0,0,IF(ABS(U499)&lt;=200,10,IF(ABS(U499)&lt;=500,15,IF(ABS(U499)&lt;=2000,22,30))))+IF(COUNTIFS($B$5:B498,B499,$O$5:O498,"&lt;0")&gt;0,15,0)+IF(OR(Q499&lt;0,R499&lt;0),5,0),0)</f>
        <v>15</v>
      </c>
      <c r="AD499" s="35">
        <v>0</v>
      </c>
      <c r="AE499" s="41" t="s">
        <v>602</v>
      </c>
      <c r="AF499" s="38" t="str">
        <f t="shared" si="53"/>
        <v>No</v>
      </c>
      <c r="AG499" s="39" t="s">
        <v>3317</v>
      </c>
      <c r="AH499" s="40">
        <v>0</v>
      </c>
      <c r="AI499" s="51" t="str">
        <f t="shared" si="48"/>
        <v/>
      </c>
      <c r="AJ499" s="38" t="str">
        <f t="shared" si="49"/>
        <v>Pendiente</v>
      </c>
    </row>
    <row r="500" spans="1:36" ht="25.5" customHeight="1" x14ac:dyDescent="0.25">
      <c r="A500" s="32">
        <v>496</v>
      </c>
      <c r="B500" s="33" t="s">
        <v>369</v>
      </c>
      <c r="C500" s="32" t="s">
        <v>51</v>
      </c>
      <c r="D500" s="32" t="s">
        <v>362</v>
      </c>
      <c r="E500" s="32" t="s">
        <v>53</v>
      </c>
      <c r="F500" s="32">
        <v>1719</v>
      </c>
      <c r="G500" s="33" t="s">
        <v>54</v>
      </c>
      <c r="H500" s="32" t="s">
        <v>47</v>
      </c>
      <c r="I500" s="32" t="s">
        <v>623</v>
      </c>
      <c r="J500" s="34">
        <v>46183</v>
      </c>
      <c r="K500" s="34">
        <v>46183</v>
      </c>
      <c r="L500" s="32" t="s">
        <v>48</v>
      </c>
      <c r="M500" s="48">
        <v>111572.14</v>
      </c>
      <c r="N500" s="48">
        <v>0</v>
      </c>
      <c r="O500" s="48">
        <v>-100.34</v>
      </c>
      <c r="P500" s="48">
        <v>0</v>
      </c>
      <c r="Q500" s="48">
        <v>0</v>
      </c>
      <c r="R500" s="48">
        <v>0</v>
      </c>
      <c r="S500" s="48">
        <v>0</v>
      </c>
      <c r="T500" s="48">
        <f t="shared" si="51"/>
        <v>-100.34</v>
      </c>
      <c r="U500" s="48">
        <f t="shared" si="50"/>
        <v>-100.34</v>
      </c>
      <c r="V500" s="49">
        <f>+Tabla_Auditorias[[#This Row],[AJUSTE
EGRESO
COSTO]]+Tabla_Auditorias[[#This Row],[AJUSTE EGRESO
MAL ESTADO]]+Tabla_Auditorias[[#This Row],[AJUSTE
INGRESO
COSTO]]</f>
        <v>-87.25</v>
      </c>
      <c r="W500" s="48">
        <v>-87.25</v>
      </c>
      <c r="X500" s="48">
        <v>0</v>
      </c>
      <c r="Y500" s="48">
        <v>0</v>
      </c>
      <c r="Z500" s="48">
        <v>0</v>
      </c>
      <c r="AA500" s="50">
        <f t="shared" si="52"/>
        <v>-87.25</v>
      </c>
      <c r="AB500" s="36" t="str">
        <f t="shared" si="47"/>
        <v>MEDIO</v>
      </c>
      <c r="AC500" s="37">
        <f>IFERROR(IF(M500=0,0,IF(ABS(O500)/M500=0,0,IF(ABS(O500)/M500&lt;=0.01,10,IF(ABS(O500)/M500&lt;=0.03,25,IF(ABS(O500)/M500&lt;=0.05,40,50)))))+IF(ABS(U500)=0,0,IF(ABS(U500)&lt;=200,10,IF(ABS(U500)&lt;=500,15,IF(ABS(U500)&lt;=2000,22,30))))+IF(COUNTIFS($B$5:B499,B500,$O$5:O499,"&lt;0")&gt;0,15,0)+IF(OR(Q500&lt;0,R500&lt;0),5,0),0)</f>
        <v>35</v>
      </c>
      <c r="AD500" s="35">
        <v>0</v>
      </c>
      <c r="AE500" s="41" t="s">
        <v>408</v>
      </c>
      <c r="AF500" s="38" t="str">
        <f t="shared" si="53"/>
        <v>Si</v>
      </c>
      <c r="AG500" s="39" t="s">
        <v>624</v>
      </c>
      <c r="AH500" s="40">
        <v>0</v>
      </c>
      <c r="AI500" s="51">
        <f t="shared" si="48"/>
        <v>0</v>
      </c>
      <c r="AJ500" s="38" t="str">
        <f t="shared" si="49"/>
        <v>Pendiente</v>
      </c>
    </row>
    <row r="501" spans="1:36" ht="25.5" customHeight="1" x14ac:dyDescent="0.25">
      <c r="A501" s="32">
        <v>497</v>
      </c>
      <c r="B501" s="33" t="s">
        <v>625</v>
      </c>
      <c r="C501" s="32" t="s">
        <v>51</v>
      </c>
      <c r="D501" s="32" t="s">
        <v>57</v>
      </c>
      <c r="E501" s="32" t="s">
        <v>45</v>
      </c>
      <c r="F501" s="32">
        <v>1749</v>
      </c>
      <c r="G501" s="33" t="s">
        <v>314</v>
      </c>
      <c r="H501" s="32" t="s">
        <v>47</v>
      </c>
      <c r="I501" s="32" t="s">
        <v>626</v>
      </c>
      <c r="J501" s="34">
        <v>46198</v>
      </c>
      <c r="K501" s="34">
        <v>46198</v>
      </c>
      <c r="L501" s="32" t="s">
        <v>48</v>
      </c>
      <c r="M501" s="48">
        <v>166055.39120000001</v>
      </c>
      <c r="N501" s="48">
        <v>0</v>
      </c>
      <c r="O501" s="48">
        <v>-12.48</v>
      </c>
      <c r="P501" s="48">
        <v>38.83</v>
      </c>
      <c r="Q501" s="48">
        <v>0</v>
      </c>
      <c r="R501" s="48">
        <v>0</v>
      </c>
      <c r="S501" s="48">
        <v>0</v>
      </c>
      <c r="T501" s="48">
        <f t="shared" si="51"/>
        <v>26.349999999999998</v>
      </c>
      <c r="U501" s="48">
        <f t="shared" si="50"/>
        <v>26.349999999999998</v>
      </c>
      <c r="V501" s="49">
        <f>+Tabla_Auditorias[[#This Row],[AJUSTE
EGRESO
COSTO]]+Tabla_Auditorias[[#This Row],[AJUSTE EGRESO
MAL ESTADO]]+Tabla_Auditorias[[#This Row],[AJUSTE
INGRESO
COSTO]]</f>
        <v>283.10319555555566</v>
      </c>
      <c r="W501" s="48">
        <v>-423.74680444444448</v>
      </c>
      <c r="X501" s="48">
        <v>0</v>
      </c>
      <c r="Y501" s="48">
        <v>0</v>
      </c>
      <c r="Z501" s="48">
        <v>706.85000000000014</v>
      </c>
      <c r="AA501" s="50">
        <f t="shared" si="52"/>
        <v>283.10319555555566</v>
      </c>
      <c r="AB501" s="36" t="str">
        <f t="shared" si="47"/>
        <v>MEDIO</v>
      </c>
      <c r="AC501" s="37">
        <f>IFERROR(IF(M501=0,0,IF(ABS(O501)/M501=0,0,IF(ABS(O501)/M501&lt;=0.01,10,IF(ABS(O501)/M501&lt;=0.03,25,IF(ABS(O501)/M501&lt;=0.05,40,50)))))+IF(ABS(U501)=0,0,IF(ABS(U501)&lt;=200,10,IF(ABS(U501)&lt;=500,15,IF(ABS(U501)&lt;=2000,22,30))))+IF(COUNTIFS($B$5:B500,B501,$O$5:O500,"&lt;0")&gt;0,15,0)+IF(OR(Q501&lt;0,R501&lt;0),5,0),0)</f>
        <v>20</v>
      </c>
      <c r="AD501" s="35">
        <v>0</v>
      </c>
      <c r="AE501" s="41" t="s">
        <v>602</v>
      </c>
      <c r="AF501" s="38" t="str">
        <f t="shared" si="53"/>
        <v>Si</v>
      </c>
      <c r="AG501" s="39" t="s">
        <v>627</v>
      </c>
      <c r="AH501" s="40">
        <v>0</v>
      </c>
      <c r="AI501" s="51" t="str">
        <f t="shared" si="48"/>
        <v/>
      </c>
      <c r="AJ501" s="38" t="str">
        <f t="shared" si="49"/>
        <v>No Aplica</v>
      </c>
    </row>
    <row r="502" spans="1:36" ht="25.5" customHeight="1" x14ac:dyDescent="0.25">
      <c r="A502" s="32">
        <v>498</v>
      </c>
      <c r="B502" s="33" t="s">
        <v>125</v>
      </c>
      <c r="C502" s="32" t="s">
        <v>43</v>
      </c>
      <c r="D502" s="32" t="s">
        <v>44</v>
      </c>
      <c r="E502" s="32" t="s">
        <v>53</v>
      </c>
      <c r="F502" s="32">
        <v>1516</v>
      </c>
      <c r="G502" s="33" t="s">
        <v>54</v>
      </c>
      <c r="H502" s="32" t="s">
        <v>47</v>
      </c>
      <c r="I502" s="32" t="s">
        <v>628</v>
      </c>
      <c r="J502" s="34">
        <v>46202</v>
      </c>
      <c r="K502" s="34">
        <v>46202</v>
      </c>
      <c r="L502" s="32" t="s">
        <v>629</v>
      </c>
      <c r="M502" s="48">
        <v>79425.82149999986</v>
      </c>
      <c r="N502" s="48">
        <v>0</v>
      </c>
      <c r="O502" s="48">
        <v>-44.643599999999999</v>
      </c>
      <c r="P502" s="48">
        <v>0</v>
      </c>
      <c r="Q502" s="48">
        <v>0</v>
      </c>
      <c r="R502" s="48">
        <v>0</v>
      </c>
      <c r="S502" s="48">
        <v>0</v>
      </c>
      <c r="T502" s="48">
        <f t="shared" si="51"/>
        <v>-44.643599999999999</v>
      </c>
      <c r="U502" s="48">
        <f t="shared" si="50"/>
        <v>-44.643599999999999</v>
      </c>
      <c r="V502" s="49">
        <f>+Tabla_Auditorias[[#This Row],[AJUSTE
EGRESO
COSTO]]+Tabla_Auditorias[[#This Row],[AJUSTE EGRESO
MAL ESTADO]]+Tabla_Auditorias[[#This Row],[AJUSTE
INGRESO
COSTO]]</f>
        <v>-30.006299999999996</v>
      </c>
      <c r="W502" s="48">
        <v>-118.69674999999999</v>
      </c>
      <c r="X502" s="48">
        <v>0</v>
      </c>
      <c r="Y502" s="48">
        <v>0</v>
      </c>
      <c r="Z502" s="48">
        <v>88.690449999999998</v>
      </c>
      <c r="AA502" s="50">
        <f t="shared" si="52"/>
        <v>-30.006299999999996</v>
      </c>
      <c r="AB502" s="36" t="str">
        <f t="shared" si="47"/>
        <v>MEDIO</v>
      </c>
      <c r="AC502" s="37">
        <f>IFERROR(IF(M502=0,0,IF(ABS(O502)/M502=0,0,IF(ABS(O502)/M502&lt;=0.01,10,IF(ABS(O502)/M502&lt;=0.03,25,IF(ABS(O502)/M502&lt;=0.05,40,50)))))+IF(ABS(U502)=0,0,IF(ABS(U502)&lt;=200,10,IF(ABS(U502)&lt;=500,15,IF(ABS(U502)&lt;=2000,22,30))))+IF(COUNTIFS($B$5:B501,B502,$O$5:O501,"&lt;0")&gt;0,15,0)+IF(OR(Q502&lt;0,R502&lt;0),5,0),0)</f>
        <v>35</v>
      </c>
      <c r="AD502" s="35">
        <v>0</v>
      </c>
      <c r="AE502" s="41" t="s">
        <v>602</v>
      </c>
      <c r="AF502" s="38" t="str">
        <f t="shared" si="53"/>
        <v>Si</v>
      </c>
      <c r="AG502" s="39" t="s">
        <v>630</v>
      </c>
      <c r="AH502" s="40">
        <v>0</v>
      </c>
      <c r="AI502" s="51">
        <f t="shared" si="48"/>
        <v>0</v>
      </c>
      <c r="AJ502" s="38" t="str">
        <f t="shared" si="49"/>
        <v>Pendiente</v>
      </c>
    </row>
    <row r="503" spans="1:36" ht="25.5" customHeight="1" x14ac:dyDescent="0.25">
      <c r="A503" s="32">
        <v>499</v>
      </c>
      <c r="B503" s="33" t="s">
        <v>376</v>
      </c>
      <c r="C503" s="32" t="s">
        <v>51</v>
      </c>
      <c r="D503" s="32" t="s">
        <v>377</v>
      </c>
      <c r="E503" s="32" t="s">
        <v>45</v>
      </c>
      <c r="F503" s="32">
        <v>1760</v>
      </c>
      <c r="G503" s="33" t="s">
        <v>314</v>
      </c>
      <c r="H503" s="32" t="s">
        <v>47</v>
      </c>
      <c r="I503" s="32" t="s">
        <v>631</v>
      </c>
      <c r="J503" s="34">
        <v>46202</v>
      </c>
      <c r="K503" s="34">
        <v>46202</v>
      </c>
      <c r="L503" s="32" t="s">
        <v>48</v>
      </c>
      <c r="M503" s="48">
        <v>273154.05450000003</v>
      </c>
      <c r="N503" s="48">
        <v>0</v>
      </c>
      <c r="O503" s="48">
        <v>0</v>
      </c>
      <c r="P503" s="48">
        <v>0</v>
      </c>
      <c r="Q503" s="48">
        <v>0</v>
      </c>
      <c r="R503" s="48">
        <v>0</v>
      </c>
      <c r="S503" s="48">
        <v>0</v>
      </c>
      <c r="T503" s="48">
        <f t="shared" si="51"/>
        <v>0</v>
      </c>
      <c r="U503" s="48">
        <f t="shared" si="50"/>
        <v>0</v>
      </c>
      <c r="V503" s="49">
        <f>+Tabla_Auditorias[[#This Row],[AJUSTE
EGRESO
COSTO]]+Tabla_Auditorias[[#This Row],[AJUSTE EGRESO
MAL ESTADO]]+Tabla_Auditorias[[#This Row],[AJUSTE
INGRESO
COSTO]]</f>
        <v>0</v>
      </c>
      <c r="W503" s="48">
        <v>0</v>
      </c>
      <c r="X503" s="48">
        <v>0</v>
      </c>
      <c r="Y503" s="48">
        <v>0</v>
      </c>
      <c r="Z503" s="48">
        <v>0</v>
      </c>
      <c r="AA503" s="50">
        <f t="shared" si="52"/>
        <v>0</v>
      </c>
      <c r="AB503" s="36" t="str">
        <f t="shared" si="47"/>
        <v>MEDIO</v>
      </c>
      <c r="AC503" s="37">
        <f>IFERROR(IF(M503=0,0,IF(ABS(O503)/M503=0,0,IF(ABS(O503)/M503&lt;=0.01,10,IF(ABS(O503)/M503&lt;=0.03,25,IF(ABS(O503)/M503&lt;=0.05,40,50)))))+IF(ABS(U503)=0,0,IF(ABS(U503)&lt;=200,10,IF(ABS(U503)&lt;=500,15,IF(ABS(U503)&lt;=2000,22,30))))+IF(COUNTIFS($B$5:B502,B503,$O$5:O502,"&lt;0")&gt;0,15,0)+IF(OR(Q503&lt;0,R503&lt;0),5,0),0)</f>
        <v>15</v>
      </c>
      <c r="AD503" s="35">
        <v>0</v>
      </c>
      <c r="AE503" s="41" t="s">
        <v>602</v>
      </c>
      <c r="AF503" s="38" t="str">
        <f t="shared" si="53"/>
        <v>No</v>
      </c>
      <c r="AG503" s="39" t="s">
        <v>221</v>
      </c>
      <c r="AH503" s="40">
        <v>0</v>
      </c>
      <c r="AI503" s="51" t="str">
        <f t="shared" si="48"/>
        <v/>
      </c>
      <c r="AJ503" s="38" t="str">
        <f t="shared" si="49"/>
        <v>Pendiente</v>
      </c>
    </row>
    <row r="504" spans="1:36" ht="25.5" customHeight="1" x14ac:dyDescent="0.25">
      <c r="A504" s="32">
        <v>500</v>
      </c>
      <c r="B504" s="33" t="s">
        <v>3312</v>
      </c>
      <c r="C504" s="32" t="s">
        <v>51</v>
      </c>
      <c r="D504" s="32" t="s">
        <v>57</v>
      </c>
      <c r="E504" s="32" t="s">
        <v>45</v>
      </c>
      <c r="F504" s="32">
        <v>3306</v>
      </c>
      <c r="G504" s="33" t="s">
        <v>314</v>
      </c>
      <c r="H504" s="32" t="s">
        <v>3313</v>
      </c>
      <c r="I504" s="32" t="s">
        <v>3314</v>
      </c>
      <c r="J504" s="34">
        <v>46167</v>
      </c>
      <c r="K504" s="34">
        <v>46167</v>
      </c>
      <c r="L504" s="32" t="s">
        <v>48</v>
      </c>
      <c r="M504" s="48">
        <v>524958.06000000006</v>
      </c>
      <c r="N504" s="48">
        <v>0</v>
      </c>
      <c r="O504" s="48">
        <v>0</v>
      </c>
      <c r="P504" s="48">
        <v>0</v>
      </c>
      <c r="Q504" s="48">
        <v>0</v>
      </c>
      <c r="R504" s="48">
        <v>0</v>
      </c>
      <c r="S504" s="48">
        <v>0</v>
      </c>
      <c r="T504" s="48">
        <v>0</v>
      </c>
      <c r="U504" s="48">
        <v>0</v>
      </c>
      <c r="V504" s="49">
        <f>+Tabla_Auditorias[[#This Row],[AJUSTE
EGRESO
COSTO]]+Tabla_Auditorias[[#This Row],[AJUSTE EGRESO
MAL ESTADO]]+Tabla_Auditorias[[#This Row],[AJUSTE
INGRESO
COSTO]]</f>
        <v>0</v>
      </c>
      <c r="W504" s="48">
        <v>0</v>
      </c>
      <c r="X504" s="48">
        <v>0</v>
      </c>
      <c r="Y504" s="48">
        <v>0</v>
      </c>
      <c r="Z504" s="48">
        <v>0</v>
      </c>
      <c r="AA504" s="116">
        <v>0</v>
      </c>
      <c r="AB504" s="117" t="str">
        <f>IFERROR(IF(AC504&lt;=10,"BAJO",IF(AC504&lt;=35,"MEDIO",IF(AC504&lt;=65,"ALTO","CRÍTICO"))),"BAJO")</f>
        <v>BAJO</v>
      </c>
      <c r="AC504" s="37">
        <f>IFERROR(IF(M504=0,0,IF(ABS(O504)/M504=0,0,IF(ABS(O504)/M504&lt;=0.01,10,IF(ABS(O504)/M504&lt;=0.03,25,IF(ABS(O504)/M504&lt;=0.05,40,50)))))+IF(ABS(U504)=0,0,IF(ABS(U504)&lt;=200,10,IF(ABS(U504)&lt;=500,15,IF(ABS(U504)&lt;=2000,22,30))))+IF(COUNTIFS($B$5:B503,B504,$O$5:O503,"&lt;0")&gt;0,15,0)+IF(OR(Q504&lt;0,R504&lt;0),5,0),0)</f>
        <v>0</v>
      </c>
      <c r="AD504" s="35">
        <v>0</v>
      </c>
      <c r="AE504" s="107" t="s">
        <v>529</v>
      </c>
      <c r="AF504" s="38" t="str">
        <f t="shared" ref="AF504" si="54">IF(AA504&lt;&gt;0,"Si","No")</f>
        <v>No</v>
      </c>
      <c r="AG504" s="39" t="s">
        <v>3315</v>
      </c>
      <c r="AH504" s="40">
        <v>0</v>
      </c>
      <c r="AI504" s="51" t="str">
        <f t="shared" ref="AI504" si="55">IFERROR(IF(V504&lt;0,ABS(AH504/V504),""),"")</f>
        <v/>
      </c>
      <c r="AJ504" s="38" t="str">
        <f t="shared" ref="AJ504" si="56">IF(V504&gt;0,"No Aplica",IF(AND(V504&lt;0,AH504=0),"Pendiente",IF(AND(AH504&gt;0,AH504&gt;=ABS(V504)),"Cobrado Total",IF(AND(AH504&gt;0,AH504&lt;ABS(V504)),"Cobrado Parcial","Pendiente"))))</f>
        <v>Pendiente</v>
      </c>
    </row>
    <row r="505" spans="1:36" x14ac:dyDescent="0.25">
      <c r="A505" s="32">
        <v>501</v>
      </c>
      <c r="B505" s="33" t="s">
        <v>373</v>
      </c>
      <c r="C505" s="32" t="s">
        <v>51</v>
      </c>
      <c r="D505" s="32" t="s">
        <v>362</v>
      </c>
      <c r="E505" s="32" t="s">
        <v>58</v>
      </c>
      <c r="F505" s="32">
        <v>1736</v>
      </c>
      <c r="G505" s="33" t="s">
        <v>59</v>
      </c>
      <c r="H505" s="32" t="s">
        <v>47</v>
      </c>
      <c r="I505" s="32" t="s">
        <v>632</v>
      </c>
      <c r="J505" s="34">
        <v>46202</v>
      </c>
      <c r="K505" s="34">
        <v>46203</v>
      </c>
      <c r="L505" s="32" t="s">
        <v>48</v>
      </c>
      <c r="M505" s="48">
        <v>27447.1939263729</v>
      </c>
      <c r="N505" s="48">
        <v>0</v>
      </c>
      <c r="O505" s="48">
        <v>0</v>
      </c>
      <c r="P505" s="48">
        <v>0</v>
      </c>
      <c r="Q505" s="48">
        <v>0</v>
      </c>
      <c r="R505" s="48">
        <v>0</v>
      </c>
      <c r="S505" s="48">
        <v>0</v>
      </c>
      <c r="T505" s="48">
        <f t="shared" si="51"/>
        <v>0</v>
      </c>
      <c r="U505" s="48">
        <f t="shared" si="50"/>
        <v>0</v>
      </c>
      <c r="V505" s="49">
        <f>+Tabla_Auditorias[[#This Row],[AJUSTE
EGRESO
COSTO]]+Tabla_Auditorias[[#This Row],[AJUSTE EGRESO
MAL ESTADO]]+Tabla_Auditorias[[#This Row],[AJUSTE
INGRESO
COSTO]]</f>
        <v>19.142977427947798</v>
      </c>
      <c r="W505" s="48">
        <v>-11.7175697627674</v>
      </c>
      <c r="X505" s="48">
        <v>0</v>
      </c>
      <c r="Y505" s="48">
        <v>0</v>
      </c>
      <c r="Z505" s="48">
        <v>30.860547190715199</v>
      </c>
      <c r="AA505" s="50">
        <f t="shared" si="52"/>
        <v>19.142977427947798</v>
      </c>
      <c r="AB505" s="36" t="str">
        <f t="shared" si="47"/>
        <v>MEDIO</v>
      </c>
      <c r="AC505" s="37">
        <f>IFERROR(IF(M505=0,0,IF(ABS(O505)/M505=0,0,IF(ABS(O505)/M505&lt;=0.01,10,IF(ABS(O505)/M505&lt;=0.03,25,IF(ABS(O505)/M505&lt;=0.05,40,50)))))+IF(ABS(U505)=0,0,IF(ABS(U505)&lt;=200,10,IF(ABS(U505)&lt;=500,15,IF(ABS(U505)&lt;=2000,22,30))))+IF(COUNTIFS($B$5:B503,B505,$O$5:O503,"&lt;0")&gt;0,15,0)+IF(OR(Q505&lt;0,R505&lt;0),5,0),0)</f>
        <v>15</v>
      </c>
      <c r="AD505" s="35">
        <v>0</v>
      </c>
      <c r="AE505" s="41" t="s">
        <v>408</v>
      </c>
      <c r="AF505" s="38" t="str">
        <f t="shared" si="53"/>
        <v>Si</v>
      </c>
      <c r="AG505" s="39" t="s">
        <v>221</v>
      </c>
      <c r="AH505" s="40">
        <v>0</v>
      </c>
      <c r="AI505" s="51" t="str">
        <f t="shared" si="48"/>
        <v/>
      </c>
      <c r="AJ505" s="38" t="str">
        <f t="shared" si="49"/>
        <v>No Aplica</v>
      </c>
    </row>
    <row r="506" spans="1:36" ht="25.5" x14ac:dyDescent="0.25">
      <c r="A506" s="32">
        <v>502</v>
      </c>
      <c r="B506" s="33" t="s">
        <v>551</v>
      </c>
      <c r="C506" s="32" t="s">
        <v>51</v>
      </c>
      <c r="D506" s="32" t="s">
        <v>377</v>
      </c>
      <c r="E506" s="32" t="s">
        <v>53</v>
      </c>
      <c r="F506" s="32">
        <v>1755</v>
      </c>
      <c r="G506" s="33" t="s">
        <v>372</v>
      </c>
      <c r="H506" s="32" t="s">
        <v>47</v>
      </c>
      <c r="I506" s="32" t="s">
        <v>3318</v>
      </c>
      <c r="J506" s="34">
        <v>46189</v>
      </c>
      <c r="K506" s="34">
        <v>46189</v>
      </c>
      <c r="L506" s="32" t="s">
        <v>48</v>
      </c>
      <c r="M506" s="48">
        <v>162743.78</v>
      </c>
      <c r="N506" s="48">
        <v>0</v>
      </c>
      <c r="O506" s="48">
        <v>0</v>
      </c>
      <c r="P506" s="48">
        <v>0</v>
      </c>
      <c r="Q506" s="48">
        <v>0</v>
      </c>
      <c r="R506" s="48">
        <v>0</v>
      </c>
      <c r="S506" s="48">
        <v>0</v>
      </c>
      <c r="T506" s="48">
        <v>0</v>
      </c>
      <c r="U506" s="48">
        <v>0</v>
      </c>
      <c r="V506" s="49">
        <f>+Tabla_Auditorias[[#This Row],[AJUSTE
EGRESO
COSTO]]+Tabla_Auditorias[[#This Row],[AJUSTE EGRESO
MAL ESTADO]]+Tabla_Auditorias[[#This Row],[AJUSTE
INGRESO
COSTO]]</f>
        <v>0</v>
      </c>
      <c r="W506" s="48">
        <v>0</v>
      </c>
      <c r="X506" s="48">
        <v>0</v>
      </c>
      <c r="Y506" s="48">
        <v>0</v>
      </c>
      <c r="Z506" s="48">
        <v>0</v>
      </c>
      <c r="AA506" s="50">
        <f t="shared" si="52"/>
        <v>0</v>
      </c>
      <c r="AB506" s="36" t="str">
        <f>IFERROR(IF(AC506&lt;=10,"BAJO",IF(AC506&lt;=35,"MEDIO",IF(AC506&lt;=65,"ALTO","CRÍTICO"))),"BAJO")</f>
        <v>BAJO</v>
      </c>
      <c r="AC506" s="37">
        <f>IFERROR(IF(M506=0,0,IF(ABS(O506)/M506=0,0,IF(ABS(O506)/M506&lt;=0.01,10,IF(ABS(O506)/M506&lt;=0.03,25,IF(ABS(O506)/M506&lt;=0.05,40,50)))))+IF(ABS(U506)=0,0,IF(ABS(U506)&lt;=200,10,IF(ABS(U506)&lt;=500,15,IF(ABS(U506)&lt;=2000,22,30))))+IF(COUNTIFS($B$5:B504,B506,$O$5:O504,"&lt;0")&gt;0,15,0)+IF(OR(Q506&lt;0,R506&lt;0),5,0),0)</f>
        <v>0</v>
      </c>
      <c r="AD506" s="35">
        <v>0</v>
      </c>
      <c r="AE506" s="41" t="s">
        <v>602</v>
      </c>
      <c r="AF506" s="38" t="str">
        <f>IF(Tabla_Auditorias[[#This Row],[TOTAL
COSTO
NETO]]&lt;&gt;0,"Si","No")</f>
        <v>No</v>
      </c>
      <c r="AG506" s="39" t="s">
        <v>221</v>
      </c>
      <c r="AH506" s="40">
        <v>0</v>
      </c>
      <c r="AI506" s="51" t="str">
        <f>IFERROR(IF(V506&lt;0,ABS(AH506/V506),""),"")</f>
        <v/>
      </c>
      <c r="AJ506" s="38" t="str">
        <f>IF(V506&gt;0,"No Aplica",IF(AND(V506&lt;0,AH506=0),"Pendiente",IF(AND(AH506&gt;0,AH506&gt;=ABS(V506)),"Cobrado Total",IF(AND(AH506&gt;0,AH506&lt;ABS(V506)),"Cobrado Parcial","Pendiente"))))</f>
        <v>Pendiente</v>
      </c>
    </row>
    <row r="507" spans="1:36" ht="25.5" x14ac:dyDescent="0.25">
      <c r="A507" s="32">
        <v>503</v>
      </c>
      <c r="B507" s="33" t="s">
        <v>410</v>
      </c>
      <c r="C507" s="32" t="s">
        <v>51</v>
      </c>
      <c r="D507" s="32" t="s">
        <v>377</v>
      </c>
      <c r="E507" s="32" t="s">
        <v>53</v>
      </c>
      <c r="F507" s="32">
        <v>1754</v>
      </c>
      <c r="G507" s="33" t="s">
        <v>3319</v>
      </c>
      <c r="H507" s="32" t="s">
        <v>47</v>
      </c>
      <c r="I507" s="32" t="s">
        <v>3320</v>
      </c>
      <c r="J507" s="34">
        <v>46203</v>
      </c>
      <c r="K507" s="34">
        <v>46203</v>
      </c>
      <c r="L507" s="32" t="s">
        <v>48</v>
      </c>
      <c r="M507" s="48">
        <v>260891.06</v>
      </c>
      <c r="N507" s="48">
        <v>0</v>
      </c>
      <c r="O507" s="48">
        <v>0</v>
      </c>
      <c r="P507" s="48">
        <v>0</v>
      </c>
      <c r="Q507" s="48">
        <v>0</v>
      </c>
      <c r="R507" s="48">
        <v>0</v>
      </c>
      <c r="S507" s="48">
        <v>0</v>
      </c>
      <c r="T507" s="48">
        <v>0</v>
      </c>
      <c r="U507" s="48">
        <v>0</v>
      </c>
      <c r="V507" s="49">
        <f>+Tabla_Auditorias[[#This Row],[AJUSTE
EGRESO
COSTO]]+Tabla_Auditorias[[#This Row],[AJUSTE EGRESO
MAL ESTADO]]+Tabla_Auditorias[[#This Row],[AJUSTE
INGRESO
COSTO]]</f>
        <v>0</v>
      </c>
      <c r="W507" s="48">
        <v>0</v>
      </c>
      <c r="X507" s="48">
        <v>0</v>
      </c>
      <c r="Y507" s="48">
        <v>0</v>
      </c>
      <c r="Z507" s="48">
        <v>0</v>
      </c>
      <c r="AA507" s="50">
        <f t="shared" si="52"/>
        <v>0</v>
      </c>
      <c r="AB507" s="36" t="str">
        <f>IFERROR(IF(AC507&lt;=10,"BAJO",IF(AC507&lt;=35,"MEDIO",IF(AC507&lt;=65,"ALTO","CRÍTICO"))),"BAJO")</f>
        <v>BAJO</v>
      </c>
      <c r="AC507" s="37">
        <f>IFERROR(IF(M507=0,0,IF(ABS(O507)/M507=0,0,IF(ABS(O507)/M507&lt;=0.01,10,IF(ABS(O507)/M507&lt;=0.03,25,IF(ABS(O507)/M507&lt;=0.05,40,50)))))+IF(ABS(U507)=0,0,IF(ABS(U507)&lt;=200,10,IF(ABS(U507)&lt;=500,15,IF(ABS(U507)&lt;=2000,22,30))))+IF(COUNTIFS($B$5:B505,B507,$O$5:O505,"&lt;0")&gt;0,15,0)+IF(OR(Q507&lt;0,R507&lt;0),5,0),0)</f>
        <v>0</v>
      </c>
      <c r="AD507" s="35">
        <v>0</v>
      </c>
      <c r="AE507" s="41" t="s">
        <v>602</v>
      </c>
      <c r="AF507" s="38" t="str">
        <f>IF(Tabla_Auditorias[[#This Row],[TOTAL
COSTO
NETO]]&lt;&gt;0,"Si","No")</f>
        <v>No</v>
      </c>
      <c r="AG507" s="39" t="s">
        <v>221</v>
      </c>
      <c r="AH507" s="40">
        <v>0</v>
      </c>
      <c r="AI507" s="51" t="str">
        <f>IFERROR(IF(V507&lt;0,ABS(AH507/V507),""),"")</f>
        <v/>
      </c>
      <c r="AJ507" s="38" t="str">
        <f>IF(V507&gt;0,"No Aplica",IF(AND(V507&lt;0,AH507=0),"Pendiente",IF(AND(AH507&gt;0,AH507&gt;=ABS(V507)),"Cobrado Total",IF(AND(AH507&gt;0,AH507&lt;ABS(V507)),"Cobrado Parcial","Pendiente"))))</f>
        <v>Pendiente</v>
      </c>
    </row>
    <row r="508" spans="1:36" ht="25.5" x14ac:dyDescent="0.25">
      <c r="A508" s="32">
        <v>504</v>
      </c>
      <c r="B508" s="33" t="s">
        <v>381</v>
      </c>
      <c r="C508" s="32" t="s">
        <v>51</v>
      </c>
      <c r="D508" s="32" t="s">
        <v>377</v>
      </c>
      <c r="E508" s="32" t="s">
        <v>58</v>
      </c>
      <c r="F508" s="32">
        <v>1762</v>
      </c>
      <c r="G508" s="33" t="s">
        <v>374</v>
      </c>
      <c r="H508" s="32" t="s">
        <v>47</v>
      </c>
      <c r="I508" s="32" t="s">
        <v>3321</v>
      </c>
      <c r="J508" s="34">
        <v>46202</v>
      </c>
      <c r="K508" s="34">
        <v>46202</v>
      </c>
      <c r="L508" s="32" t="s">
        <v>48</v>
      </c>
      <c r="M508" s="48">
        <v>254013.05</v>
      </c>
      <c r="N508" s="48">
        <v>0</v>
      </c>
      <c r="O508" s="48">
        <v>0</v>
      </c>
      <c r="P508" s="48">
        <v>0</v>
      </c>
      <c r="Q508" s="48">
        <v>0</v>
      </c>
      <c r="R508" s="48">
        <v>0</v>
      </c>
      <c r="S508" s="48">
        <v>0</v>
      </c>
      <c r="T508" s="48">
        <v>0</v>
      </c>
      <c r="U508" s="48">
        <v>0</v>
      </c>
      <c r="V508" s="49">
        <f>+Tabla_Auditorias[[#This Row],[AJUSTE
EGRESO
COSTO]]+Tabla_Auditorias[[#This Row],[AJUSTE EGRESO
MAL ESTADO]]+Tabla_Auditorias[[#This Row],[AJUSTE
INGRESO
COSTO]]</f>
        <v>0</v>
      </c>
      <c r="W508" s="48">
        <v>0</v>
      </c>
      <c r="X508" s="48">
        <v>0</v>
      </c>
      <c r="Y508" s="48">
        <v>0</v>
      </c>
      <c r="Z508" s="48">
        <v>0</v>
      </c>
      <c r="AA508" s="50">
        <f t="shared" si="52"/>
        <v>0</v>
      </c>
      <c r="AB508" s="36" t="str">
        <f>IFERROR(IF(AC508&lt;=10,"BAJO",IF(AC508&lt;=35,"MEDIO",IF(AC508&lt;=65,"ALTO","CRÍTICO"))),"BAJO")</f>
        <v>MEDIO</v>
      </c>
      <c r="AC508" s="37">
        <f>IFERROR(IF(M508=0,0,IF(ABS(O508)/M508=0,0,IF(ABS(O508)/M508&lt;=0.01,10,IF(ABS(O508)/M508&lt;=0.03,25,IF(ABS(O508)/M508&lt;=0.05,40,50)))))+IF(ABS(U508)=0,0,IF(ABS(U508)&lt;=200,10,IF(ABS(U508)&lt;=500,15,IF(ABS(U508)&lt;=2000,22,30))))+IF(COUNTIFS($B$5:B506,B508,$O$5:O506,"&lt;0")&gt;0,15,0)+IF(OR(Q508&lt;0,R508&lt;0),5,0),0)</f>
        <v>15</v>
      </c>
      <c r="AD508" s="35">
        <v>0</v>
      </c>
      <c r="AE508" s="41" t="s">
        <v>602</v>
      </c>
      <c r="AF508" s="38" t="str">
        <f>IF(Tabla_Auditorias[[#This Row],[TOTAL
COSTO
NETO]]&lt;&gt;0,"Si","No")</f>
        <v>No</v>
      </c>
      <c r="AG508" s="39" t="s">
        <v>3322</v>
      </c>
      <c r="AH508" s="40">
        <v>0</v>
      </c>
      <c r="AI508" s="51" t="str">
        <f>IFERROR(IF(V508&lt;0,ABS(AH508/V508),""),"")</f>
        <v/>
      </c>
      <c r="AJ508" s="38" t="str">
        <f>IF(V508&gt;0,"No Aplica",IF(AND(V508&lt;0,AH508=0),"Pendiente",IF(AND(AH508&gt;0,AH508&gt;=ABS(V508)),"Cobrado Total",IF(AND(AH508&gt;0,AH508&lt;ABS(V508)),"Cobrado Parcial","Pendiente"))))</f>
        <v>Pendiente</v>
      </c>
    </row>
    <row r="509" spans="1:36" ht="25.5" x14ac:dyDescent="0.25">
      <c r="A509" s="32">
        <v>505</v>
      </c>
      <c r="B509" s="33" t="s">
        <v>444</v>
      </c>
      <c r="C509" s="32" t="s">
        <v>51</v>
      </c>
      <c r="D509" s="32" t="s">
        <v>377</v>
      </c>
      <c r="E509" s="32" t="s">
        <v>58</v>
      </c>
      <c r="F509" s="32">
        <v>1751</v>
      </c>
      <c r="G509" s="33" t="s">
        <v>366</v>
      </c>
      <c r="H509" s="32" t="s">
        <v>47</v>
      </c>
      <c r="I509" s="32" t="s">
        <v>587</v>
      </c>
      <c r="J509" s="34">
        <v>46200</v>
      </c>
      <c r="K509" s="34">
        <v>46200</v>
      </c>
      <c r="L509" s="32" t="s">
        <v>48</v>
      </c>
      <c r="M509" s="48">
        <v>1073757.57</v>
      </c>
      <c r="N509" s="48">
        <v>0</v>
      </c>
      <c r="O509" s="48">
        <v>0</v>
      </c>
      <c r="P509" s="48">
        <v>0</v>
      </c>
      <c r="Q509" s="48">
        <v>0</v>
      </c>
      <c r="R509" s="48">
        <v>0</v>
      </c>
      <c r="S509" s="48">
        <v>0</v>
      </c>
      <c r="T509" s="48">
        <v>0</v>
      </c>
      <c r="U509" s="48">
        <v>0</v>
      </c>
      <c r="V509" s="49">
        <f>+Tabla_Auditorias[[#This Row],[AJUSTE
EGRESO
COSTO]]+Tabla_Auditorias[[#This Row],[AJUSTE EGRESO
MAL ESTADO]]+Tabla_Auditorias[[#This Row],[AJUSTE
INGRESO
COSTO]]</f>
        <v>0</v>
      </c>
      <c r="W509" s="48">
        <v>0</v>
      </c>
      <c r="X509" s="48">
        <v>0</v>
      </c>
      <c r="Y509" s="48">
        <v>0</v>
      </c>
      <c r="Z509" s="48">
        <v>0</v>
      </c>
      <c r="AA509" s="50">
        <f t="shared" si="52"/>
        <v>0</v>
      </c>
      <c r="AB509" s="36" t="str">
        <f>IFERROR(IF(AC509&lt;=10,"BAJO",IF(AC509&lt;=35,"MEDIO",IF(AC509&lt;=65,"ALTO","CRÍTICO"))),"BAJO")</f>
        <v>BAJO</v>
      </c>
      <c r="AC509" s="37">
        <f>IFERROR(IF(M509=0,0,IF(ABS(O509)/M509=0,0,IF(ABS(O509)/M509&lt;=0.01,10,IF(ABS(O509)/M509&lt;=0.03,25,IF(ABS(O509)/M509&lt;=0.05,40,50)))))+IF(ABS(U509)=0,0,IF(ABS(U509)&lt;=200,10,IF(ABS(U509)&lt;=500,15,IF(ABS(U509)&lt;=2000,22,30))))+IF(COUNTIFS($B$5:B507,B509,$O$5:O507,"&lt;0")&gt;0,15,0)+IF(OR(Q509&lt;0,R509&lt;0),5,0),0)</f>
        <v>0</v>
      </c>
      <c r="AD509" s="35">
        <v>0</v>
      </c>
      <c r="AE509" s="41" t="s">
        <v>602</v>
      </c>
      <c r="AF509" s="38" t="str">
        <f>IF(Tabla_Auditorias[[#This Row],[TOTAL
COSTO
NETO]]&lt;&gt;0,"Si","No")</f>
        <v>No</v>
      </c>
      <c r="AG509" s="39" t="s">
        <v>3323</v>
      </c>
      <c r="AH509" s="40">
        <v>0</v>
      </c>
      <c r="AI509" s="51" t="str">
        <f>IFERROR(IF(V509&lt;0,ABS(AH509/V509),""),"")</f>
        <v/>
      </c>
      <c r="AJ509" s="38" t="str">
        <f>IF(V509&gt;0,"No Aplica",IF(AND(V509&lt;0,AH509=0),"Pendiente",IF(AND(AH509&gt;0,AH509&gt;=ABS(V509)),"Cobrado Total",IF(AND(AH509&gt;0,AH509&lt;ABS(V509)),"Cobrado Parcial","Pendiente"))))</f>
        <v>Pendiente</v>
      </c>
    </row>
    <row r="510" spans="1:36" ht="25.5" x14ac:dyDescent="0.25">
      <c r="A510" s="137">
        <v>506</v>
      </c>
      <c r="B510" s="138" t="s">
        <v>497</v>
      </c>
      <c r="C510" s="137" t="s">
        <v>51</v>
      </c>
      <c r="D510" s="137" t="s">
        <v>377</v>
      </c>
      <c r="E510" s="137" t="s">
        <v>53</v>
      </c>
      <c r="F510" s="137">
        <v>1757</v>
      </c>
      <c r="G510" s="138" t="s">
        <v>3324</v>
      </c>
      <c r="H510" s="137" t="s">
        <v>47</v>
      </c>
      <c r="I510" s="137" t="s">
        <v>594</v>
      </c>
      <c r="J510" s="139">
        <v>46203</v>
      </c>
      <c r="K510" s="139">
        <v>46203</v>
      </c>
      <c r="L510" s="137" t="s">
        <v>48</v>
      </c>
      <c r="M510" s="140">
        <v>140508.45000000001</v>
      </c>
      <c r="N510" s="140">
        <v>0</v>
      </c>
      <c r="O510" s="140">
        <v>0</v>
      </c>
      <c r="P510" s="140">
        <v>0</v>
      </c>
      <c r="Q510" s="140">
        <v>0</v>
      </c>
      <c r="R510" s="140">
        <v>0</v>
      </c>
      <c r="S510" s="140">
        <v>0</v>
      </c>
      <c r="T510" s="140">
        <f t="shared" ref="T510:T511" si="57">N510+O510+P510+Q510+R510+S510</f>
        <v>0</v>
      </c>
      <c r="U510" s="140">
        <f t="shared" ref="U510:U511" si="58">N510+O510+P510+Q510+S510</f>
        <v>0</v>
      </c>
      <c r="V510" s="131">
        <f>+Tabla_Auditorias[[#This Row],[AJUSTE
EGRESO
COSTO]]+Tabla_Auditorias[[#This Row],[AJUSTE EGRESO
MAL ESTADO]]+Tabla_Auditorias[[#This Row],[AJUSTE
INGRESO
COSTO]]</f>
        <v>0</v>
      </c>
      <c r="W510" s="140">
        <v>0</v>
      </c>
      <c r="X510" s="140">
        <v>0</v>
      </c>
      <c r="Y510" s="140">
        <v>0</v>
      </c>
      <c r="Z510" s="140">
        <v>0</v>
      </c>
      <c r="AA510" s="141">
        <f t="shared" ref="AA510:AA511" si="59">W510+X510+Y510+Z510</f>
        <v>0</v>
      </c>
      <c r="AB510" s="142" t="str">
        <f t="shared" ref="AB510:AB511" si="60">IFERROR(IF(AC510&lt;=10,"BAJO",IF(AC510&lt;=35,"MEDIO",IF(AC510&lt;=65,"ALTO","CRÍTICO"))),"BAJO")</f>
        <v>BAJO</v>
      </c>
      <c r="AC510" s="147">
        <f>IFERROR(IF(M510=0,0,IF(ABS(O510)/M510=0,0,IF(ABS(O510)/M510&lt;=0.01,10,IF(ABS(O510)/M510&lt;=0.03,25,IF(ABS(O510)/M510&lt;=0.05,40,50)))))+IF(ABS(U510)=0,0,IF(ABS(U510)&lt;=200,10,IF(ABS(U510)&lt;=500,15,IF(ABS(U510)&lt;=2000,22,30))))+IF(COUNTIFS($B$5:B512,B510,$O$5:O512,"&lt;0")&gt;0,15,0)+IF(OR(Q510&lt;0,R510&lt;0),5,0),0)</f>
        <v>0</v>
      </c>
      <c r="AD510" s="143">
        <v>0</v>
      </c>
      <c r="AE510" s="41" t="s">
        <v>602</v>
      </c>
      <c r="AF510" s="133" t="str">
        <f t="shared" ref="AF510:AF511" si="61">IF(AA510&lt;&gt;0,"Si","No")</f>
        <v>No</v>
      </c>
      <c r="AG510" s="144" t="s">
        <v>221</v>
      </c>
      <c r="AH510" s="135">
        <v>0</v>
      </c>
      <c r="AI510" s="145" t="str">
        <f t="shared" ref="AI510:AI511" si="62">IFERROR(IF(V510&lt;0,ABS(AH510/V510),""),"")</f>
        <v/>
      </c>
      <c r="AJ510" s="146" t="str">
        <f t="shared" ref="AJ510:AJ511" si="63">IF(V510&gt;0,"No Aplica",IF(AND(V510&lt;0,AH510=0),"Pendiente",IF(AND(AH510&gt;0,AH510&gt;=ABS(V510)),"Cobrado Total",IF(AND(AH510&gt;0,AH510&lt;ABS(V510)),"Cobrado Parcial","Pendiente"))))</f>
        <v>Pendiente</v>
      </c>
    </row>
    <row r="511" spans="1:36" ht="25.5" x14ac:dyDescent="0.25">
      <c r="A511" s="137">
        <v>507</v>
      </c>
      <c r="B511" s="138" t="s">
        <v>371</v>
      </c>
      <c r="C511" s="137" t="s">
        <v>51</v>
      </c>
      <c r="D511" s="137" t="s">
        <v>362</v>
      </c>
      <c r="E511" s="137" t="s">
        <v>53</v>
      </c>
      <c r="F511" s="137">
        <v>1720</v>
      </c>
      <c r="G511" s="138" t="s">
        <v>372</v>
      </c>
      <c r="H511" s="137" t="s">
        <v>47</v>
      </c>
      <c r="I511" s="137" t="s">
        <v>533</v>
      </c>
      <c r="J511" s="139">
        <v>46192</v>
      </c>
      <c r="K511" s="139">
        <v>46195</v>
      </c>
      <c r="L511" s="137" t="s">
        <v>48</v>
      </c>
      <c r="M511" s="140">
        <v>13044.54</v>
      </c>
      <c r="N511" s="140">
        <v>171.85</v>
      </c>
      <c r="O511" s="140">
        <v>-61.98</v>
      </c>
      <c r="P511" s="140">
        <v>0</v>
      </c>
      <c r="Q511" s="140">
        <v>0</v>
      </c>
      <c r="R511" s="140">
        <v>0</v>
      </c>
      <c r="S511" s="140">
        <v>0</v>
      </c>
      <c r="T511" s="140">
        <f t="shared" si="57"/>
        <v>109.87</v>
      </c>
      <c r="U511" s="140">
        <f t="shared" si="58"/>
        <v>109.87</v>
      </c>
      <c r="V511" s="131">
        <f>+Tabla_Auditorias[[#This Row],[AJUSTE
EGRESO
COSTO]]+Tabla_Auditorias[[#This Row],[AJUSTE EGRESO
MAL ESTADO]]+Tabla_Auditorias[[#This Row],[AJUSTE
INGRESO
COSTO]]</f>
        <v>109.87</v>
      </c>
      <c r="W511" s="140">
        <v>-61.98</v>
      </c>
      <c r="X511" s="140">
        <v>0</v>
      </c>
      <c r="Y511" s="140">
        <v>0</v>
      </c>
      <c r="Z511" s="140">
        <v>171.85</v>
      </c>
      <c r="AA511" s="141">
        <f t="shared" si="59"/>
        <v>109.87</v>
      </c>
      <c r="AB511" s="142" t="str">
        <f t="shared" si="60"/>
        <v>MEDIO</v>
      </c>
      <c r="AC511" s="147">
        <f>IFERROR(IF(M511=0,0,IF(ABS(O511)/M511=0,0,IF(ABS(O511)/M511&lt;=0.01,10,IF(ABS(O511)/M511&lt;=0.03,25,IF(ABS(O511)/M511&lt;=0.05,40,50)))))+IF(ABS(U511)=0,0,IF(ABS(U511)&lt;=200,10,IF(ABS(U511)&lt;=500,15,IF(ABS(U511)&lt;=2000,22,30))))+IF(COUNTIFS($B$5:B512,B511,$O$5:O512,"&lt;0")&gt;0,15,0)+IF(OR(Q511&lt;0,R511&lt;0),5,0),0)</f>
        <v>35</v>
      </c>
      <c r="AD511" s="143">
        <v>0</v>
      </c>
      <c r="AE511" s="41" t="s">
        <v>602</v>
      </c>
      <c r="AF511" s="133" t="str">
        <f t="shared" si="61"/>
        <v>Si</v>
      </c>
      <c r="AG511" s="144" t="s">
        <v>3325</v>
      </c>
      <c r="AH511" s="135">
        <v>0</v>
      </c>
      <c r="AI511" s="145" t="str">
        <f t="shared" si="62"/>
        <v/>
      </c>
      <c r="AJ511" s="146" t="str">
        <f t="shared" si="63"/>
        <v>No Aplica</v>
      </c>
    </row>
    <row r="512" spans="1:36" x14ac:dyDescent="0.25">
      <c r="A512" s="129"/>
      <c r="B512" s="129"/>
      <c r="C512" s="129"/>
      <c r="D512" s="129"/>
      <c r="E512" s="129"/>
      <c r="F512" s="129"/>
      <c r="G512" s="129"/>
      <c r="H512" s="129"/>
      <c r="I512" s="129"/>
      <c r="J512" s="129"/>
      <c r="K512" s="129"/>
      <c r="L512" s="129"/>
      <c r="M512" s="130"/>
      <c r="N512" s="130"/>
      <c r="O512" s="130"/>
      <c r="P512" s="130"/>
      <c r="Q512" s="130"/>
      <c r="R512" s="130"/>
      <c r="S512" s="130"/>
      <c r="T512" s="130"/>
      <c r="U512" s="130"/>
      <c r="V512" s="131">
        <f>+Tabla_Auditorias[[#This Row],[AJUSTE
EGRESO
COSTO]]+Tabla_Auditorias[[#This Row],[AJUSTE EGRESO
MAL ESTADO]]+Tabla_Auditorias[[#This Row],[AJUSTE
INGRESO
COSTO]]</f>
        <v>0</v>
      </c>
      <c r="W512" s="130"/>
      <c r="X512" s="130"/>
      <c r="Y512" s="130"/>
      <c r="Z512" s="130"/>
      <c r="AA512" s="130"/>
      <c r="AB512" s="129" t="str">
        <f>IFERROR(IF(AC512&lt;=10,"BAJO",IF(AC512&lt;=35,"MEDIO",IF(AC512&lt;=65,"ALTO","CRÍTICO"))),"BAJO")</f>
        <v>BAJO</v>
      </c>
      <c r="AC512" s="129"/>
      <c r="AD512" s="129"/>
      <c r="AE512" s="132"/>
      <c r="AF512" s="133" t="str">
        <f>IF(Tabla_Auditorias[[#This Row],[TOTAL
COSTO
NETO]]&lt;&gt;0,"Si","No")</f>
        <v>No</v>
      </c>
      <c r="AG512" s="134"/>
      <c r="AH512" s="135"/>
      <c r="AI512" s="129" t="str">
        <f>IFERROR(IF(V512&lt;0,ABS(AH512/V512),""),"")</f>
        <v/>
      </c>
      <c r="AJ512" s="136" t="str">
        <f>IF(V512&gt;0,"No Aplica",IF(AND(V512&lt;0,AH512=0),"Pendiente",IF(AND(AH512&gt;0,AH512&gt;=ABS(V512)),"Cobrado Total",IF(AND(AH512&gt;0,AH512&lt;ABS(V512)),"Cobrado Parcial","Pendiente"))))</f>
        <v>Pendiente</v>
      </c>
    </row>
  </sheetData>
  <mergeCells count="6">
    <mergeCell ref="A1:AG1"/>
    <mergeCell ref="M3:U3"/>
    <mergeCell ref="A2:AG2"/>
    <mergeCell ref="V3:AA3"/>
    <mergeCell ref="AB3:AG3"/>
    <mergeCell ref="A3:L3"/>
  </mergeCells>
  <conditionalFormatting sqref="AB5:AB2303">
    <cfRule type="expression" dxfId="58" priority="134">
      <formula>ISNUMBER(SEARCH("ALTO",AB5))</formula>
    </cfRule>
    <cfRule type="expression" dxfId="57" priority="135">
      <formula>ISNUMBER(SEARCH("MEDIO",AB5))</formula>
    </cfRule>
    <cfRule type="expression" dxfId="56" priority="136">
      <formula>ISNUMBER(SEARCH("BAJO",AB5))</formula>
    </cfRule>
  </conditionalFormatting>
  <conditionalFormatting sqref="AD5:AE381 AD382:AD389 AD390:AE390 AD391 AD392:AE392 AD393:AD403 AD404:AE404 AD405:AD442 AD443:AE446 AD447 AD453:AD455 AD456:AE466 AD467 AD468:AE468 AD469:AD470 AD471:AE471 AD472:AD474 AD489:AD490 AD491:AE492 AD504:AE505 AD475:AE488 AD493:AD503 AD448:AE452">
    <cfRule type="expression" dxfId="55" priority="117">
      <formula>ISNUMBER(SEARCH("IA",AD5))</formula>
    </cfRule>
    <cfRule type="expression" dxfId="54" priority="118">
      <formula>ISNUMBER(SEARCH("Procesado",AD5))</formula>
    </cfRule>
    <cfRule type="expression" dxfId="53" priority="119">
      <formula>ISNUMBER(SEARCH("Error",AD5))</formula>
    </cfRule>
    <cfRule type="expression" dxfId="52" priority="120">
      <formula>ISNUMBER(SEARCH("proceso",AD5))</formula>
    </cfRule>
  </conditionalFormatting>
  <conditionalFormatting sqref="AE382:AE389 AE391 AE393:AE403 AE405:AE442 AE447 AE453:AE455 AE467 AE489:AE490">
    <cfRule type="expression" dxfId="51" priority="65">
      <formula>ISNUMBER(SEARCH("IA",AE382))</formula>
    </cfRule>
    <cfRule type="expression" dxfId="50" priority="66">
      <formula>ISNUMBER(SEARCH("Procesado",AE382))</formula>
    </cfRule>
    <cfRule type="expression" dxfId="49" priority="67">
      <formula>ISNUMBER(SEARCH("Error",AE382))</formula>
    </cfRule>
    <cfRule type="expression" dxfId="48" priority="68">
      <formula>ISNUMBER(SEARCH("proceso",AE382))</formula>
    </cfRule>
  </conditionalFormatting>
  <conditionalFormatting sqref="AE469:AE470">
    <cfRule type="expression" dxfId="47" priority="37">
      <formula>ISNUMBER(SEARCH("IA",AE469))</formula>
    </cfRule>
    <cfRule type="expression" dxfId="46" priority="38">
      <formula>ISNUMBER(SEARCH("Procesado",AE469))</formula>
    </cfRule>
    <cfRule type="expression" dxfId="45" priority="39">
      <formula>ISNUMBER(SEARCH("Error",AE469))</formula>
    </cfRule>
    <cfRule type="expression" dxfId="44" priority="40">
      <formula>ISNUMBER(SEARCH("proceso",AE469))</formula>
    </cfRule>
  </conditionalFormatting>
  <conditionalFormatting sqref="AE472:AE474">
    <cfRule type="expression" dxfId="43" priority="33">
      <formula>ISNUMBER(SEARCH("IA",AE472))</formula>
    </cfRule>
    <cfRule type="expression" dxfId="42" priority="34">
      <formula>ISNUMBER(SEARCH("Procesado",AE472))</formula>
    </cfRule>
    <cfRule type="expression" dxfId="41" priority="35">
      <formula>ISNUMBER(SEARCH("Error",AE472))</formula>
    </cfRule>
    <cfRule type="expression" dxfId="40" priority="36">
      <formula>ISNUMBER(SEARCH("proceso",AE472))</formula>
    </cfRule>
  </conditionalFormatting>
  <conditionalFormatting sqref="AE493:AE502">
    <cfRule type="expression" dxfId="39" priority="41">
      <formula>ISNUMBER(SEARCH("IA",AE493))</formula>
    </cfRule>
    <cfRule type="expression" dxfId="38" priority="42">
      <formula>ISNUMBER(SEARCH("Procesado",AE493))</formula>
    </cfRule>
    <cfRule type="expression" dxfId="37" priority="43">
      <formula>ISNUMBER(SEARCH("Error",AE493))</formula>
    </cfRule>
    <cfRule type="expression" dxfId="36" priority="44">
      <formula>ISNUMBER(SEARCH("proceso",AE493))</formula>
    </cfRule>
  </conditionalFormatting>
  <conditionalFormatting sqref="AE512:AF2303">
    <cfRule type="expression" dxfId="35" priority="113">
      <formula>ISNUMBER(SEARCH("IA",AE512))</formula>
    </cfRule>
    <cfRule type="expression" dxfId="34" priority="114">
      <formula>ISNUMBER(SEARCH("Procesado",AE512))</formula>
    </cfRule>
    <cfRule type="expression" dxfId="33" priority="115">
      <formula>ISNUMBER(SEARCH("Error",AE512))</formula>
    </cfRule>
    <cfRule type="expression" dxfId="32" priority="116">
      <formula>ISNUMBER(SEARCH("proceso",AE512))</formula>
    </cfRule>
  </conditionalFormatting>
  <conditionalFormatting sqref="AD506:AE506">
    <cfRule type="expression" dxfId="23" priority="21">
      <formula>ISNUMBER(SEARCH("IA",AD506))</formula>
    </cfRule>
    <cfRule type="expression" dxfId="22" priority="22">
      <formula>ISNUMBER(SEARCH("Procesado",AD506))</formula>
    </cfRule>
    <cfRule type="expression" dxfId="21" priority="23">
      <formula>ISNUMBER(SEARCH("Error",AD506))</formula>
    </cfRule>
    <cfRule type="expression" dxfId="20" priority="24">
      <formula>ISNUMBER(SEARCH("proceso",AD506))</formula>
    </cfRule>
  </conditionalFormatting>
  <conditionalFormatting sqref="AD507:AD509">
    <cfRule type="expression" dxfId="19" priority="17">
      <formula>ISNUMBER(SEARCH("IA",AD507))</formula>
    </cfRule>
    <cfRule type="expression" dxfId="18" priority="18">
      <formula>ISNUMBER(SEARCH("Procesado",AD507))</formula>
    </cfRule>
    <cfRule type="expression" dxfId="17" priority="19">
      <formula>ISNUMBER(SEARCH("Error",AD507))</formula>
    </cfRule>
    <cfRule type="expression" dxfId="16" priority="20">
      <formula>ISNUMBER(SEARCH("proceso",AD507))</formula>
    </cfRule>
  </conditionalFormatting>
  <conditionalFormatting sqref="AE507:AE511">
    <cfRule type="expression" dxfId="15" priority="13">
      <formula>ISNUMBER(SEARCH("IA",AE507))</formula>
    </cfRule>
    <cfRule type="expression" dxfId="14" priority="14">
      <formula>ISNUMBER(SEARCH("Procesado",AE507))</formula>
    </cfRule>
    <cfRule type="expression" dxfId="13" priority="15">
      <formula>ISNUMBER(SEARCH("Error",AE507))</formula>
    </cfRule>
    <cfRule type="expression" dxfId="12" priority="16">
      <formula>ISNUMBER(SEARCH("proceso",AE507))</formula>
    </cfRule>
  </conditionalFormatting>
  <conditionalFormatting sqref="AD510">
    <cfRule type="expression" dxfId="11" priority="9">
      <formula>ISNUMBER(SEARCH("IA",AD510))</formula>
    </cfRule>
    <cfRule type="expression" dxfId="10" priority="10">
      <formula>ISNUMBER(SEARCH("Procesado",AD510))</formula>
    </cfRule>
    <cfRule type="expression" dxfId="9" priority="11">
      <formula>ISNUMBER(SEARCH("Error",AD510))</formula>
    </cfRule>
    <cfRule type="expression" dxfId="8" priority="12">
      <formula>ISNUMBER(SEARCH("proceso",AD510))</formula>
    </cfRule>
  </conditionalFormatting>
  <conditionalFormatting sqref="AE503">
    <cfRule type="expression" dxfId="7" priority="5">
      <formula>ISNUMBER(SEARCH("IA",AE503))</formula>
    </cfRule>
    <cfRule type="expression" dxfId="6" priority="6">
      <formula>ISNUMBER(SEARCH("Procesado",AE503))</formula>
    </cfRule>
    <cfRule type="expression" dxfId="5" priority="7">
      <formula>ISNUMBER(SEARCH("Error",AE503))</formula>
    </cfRule>
    <cfRule type="expression" dxfId="4" priority="8">
      <formula>ISNUMBER(SEARCH("proceso",AE503))</formula>
    </cfRule>
  </conditionalFormatting>
  <conditionalFormatting sqref="AD511">
    <cfRule type="expression" dxfId="3" priority="1">
      <formula>ISNUMBER(SEARCH("IA",AD511))</formula>
    </cfRule>
    <cfRule type="expression" dxfId="2" priority="2">
      <formula>ISNUMBER(SEARCH("Procesado",AD511))</formula>
    </cfRule>
    <cfRule type="expression" dxfId="1" priority="3">
      <formula>ISNUMBER(SEARCH("Error",AD511))</formula>
    </cfRule>
    <cfRule type="expression" dxfId="0" priority="4">
      <formula>ISNUMBER(SEARCH("proceso",AD511))</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2">
        <x14:dataValidation type="list" allowBlank="1" xr:uid="{00000000-0002-0000-0000-000000000000}">
          <x14:formula1>
            <xm:f>_Listas!$A$1:$A$10</xm:f>
          </x14:formula1>
          <xm:sqref>AE505:AE511 AE503</xm:sqref>
        </x14:dataValidation>
        <x14:dataValidation type="list" xr:uid="{00000000-0002-0000-0000-000001000000}">
          <x14:formula1>
            <xm:f>_Listas!$B$1:$B$4</xm:f>
          </x14:formula1>
          <xm:sqref>AJ505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1"/>
  <sheetViews>
    <sheetView showGridLines="0" zoomScaleNormal="100" workbookViewId="0">
      <pane ySplit="3" topLeftCell="A99" activePane="bottomLeft" state="frozen"/>
      <selection pane="bottomLeft" activeCell="G86" sqref="G86"/>
    </sheetView>
  </sheetViews>
  <sheetFormatPr baseColWidth="10" defaultColWidth="9.140625" defaultRowHeight="15" x14ac:dyDescent="0.25"/>
  <cols>
    <col min="1" max="1" width="79.42578125" customWidth="1"/>
    <col min="2" max="2" width="20.28515625" style="52" customWidth="1"/>
    <col min="3" max="3" width="21.28515625" style="52" customWidth="1"/>
    <col min="4" max="4" width="12.85546875" style="52" customWidth="1"/>
    <col min="5" max="5" width="13" style="52" customWidth="1"/>
    <col min="6" max="7" width="14.7109375" style="52" customWidth="1"/>
  </cols>
  <sheetData>
    <row r="1" spans="1:8" ht="27.75" customHeight="1" x14ac:dyDescent="0.25">
      <c r="A1" s="118" t="s">
        <v>633</v>
      </c>
      <c r="B1" s="128"/>
      <c r="C1" s="128"/>
      <c r="D1" s="128"/>
      <c r="E1" s="128"/>
      <c r="F1" s="128"/>
      <c r="G1" s="128"/>
    </row>
    <row r="2" spans="1:8" ht="13.5" customHeight="1" x14ac:dyDescent="0.25">
      <c r="A2" s="4" t="s">
        <v>634</v>
      </c>
      <c r="B2" s="127" t="s">
        <v>635</v>
      </c>
      <c r="C2" s="123"/>
      <c r="D2" s="127" t="s">
        <v>636</v>
      </c>
      <c r="E2" s="123"/>
    </row>
    <row r="3" spans="1:8" ht="36" customHeight="1" x14ac:dyDescent="0.25">
      <c r="A3" s="42" t="s">
        <v>637</v>
      </c>
      <c r="B3" s="53" t="s">
        <v>638</v>
      </c>
      <c r="C3" s="53" t="s">
        <v>639</v>
      </c>
      <c r="D3" s="53" t="s">
        <v>640</v>
      </c>
      <c r="E3" s="53" t="s">
        <v>641</v>
      </c>
      <c r="F3" s="53" t="s">
        <v>642</v>
      </c>
      <c r="G3" s="53" t="s">
        <v>643</v>
      </c>
    </row>
    <row r="4" spans="1:8" ht="24" customHeight="1" x14ac:dyDescent="0.25">
      <c r="A4" s="43" t="s">
        <v>470</v>
      </c>
      <c r="B4" s="54">
        <v>-286.89</v>
      </c>
      <c r="C4" s="54">
        <v>-173.36</v>
      </c>
      <c r="D4" s="54">
        <v>-173.36</v>
      </c>
      <c r="E4" s="54">
        <v>-286.89</v>
      </c>
      <c r="F4" s="54">
        <f>+Tabla_Pendientes[[#This Row],[TOTAL COSTO NETO]]-Tabla_Pendientes[[#This Row],[COSTO T.]]</f>
        <v>0</v>
      </c>
      <c r="G4" s="54">
        <f>+Tabla_Pendientes[[#This Row],[RESULT. A COBRAR]]-Tabla_Pendientes[[#This Row],[PRECIO T.]]</f>
        <v>0</v>
      </c>
      <c r="H4" s="5"/>
    </row>
    <row r="5" spans="1:8" ht="24" customHeight="1" x14ac:dyDescent="0.25">
      <c r="A5" s="43" t="s">
        <v>480</v>
      </c>
      <c r="B5" s="54">
        <v>-53.59</v>
      </c>
      <c r="C5" s="54">
        <v>-4.2799999999999701</v>
      </c>
      <c r="D5" s="54">
        <v>-4.29</v>
      </c>
      <c r="E5" s="54">
        <v>-53.59</v>
      </c>
      <c r="F5" s="54">
        <f>+Tabla_Pendientes[[#This Row],[TOTAL COSTO NETO]]-Tabla_Pendientes[[#This Row],[COSTO T.]]</f>
        <v>1.0000000000029985E-2</v>
      </c>
      <c r="G5" s="54">
        <f>+Tabla_Pendientes[[#This Row],[RESULT. A COBRAR]]-Tabla_Pendientes[[#This Row],[PRECIO T.]]</f>
        <v>0</v>
      </c>
      <c r="H5" s="5"/>
    </row>
    <row r="6" spans="1:8" ht="24" customHeight="1" x14ac:dyDescent="0.25">
      <c r="A6" s="43" t="s">
        <v>644</v>
      </c>
      <c r="B6" s="54">
        <v>-195.23</v>
      </c>
      <c r="C6" s="54">
        <v>-179.23651666666601</v>
      </c>
      <c r="D6" s="54">
        <v>-179.236516666667</v>
      </c>
      <c r="E6" s="54">
        <v>-195.23</v>
      </c>
      <c r="F6" s="54">
        <v>5.6843418860808002E-14</v>
      </c>
      <c r="G6" s="54">
        <v>5.6843418860808002E-14</v>
      </c>
      <c r="H6" s="5"/>
    </row>
    <row r="7" spans="1:8" ht="24" customHeight="1" x14ac:dyDescent="0.25">
      <c r="A7" s="43" t="s">
        <v>462</v>
      </c>
      <c r="B7" s="54">
        <v>0</v>
      </c>
      <c r="C7" s="54">
        <v>0</v>
      </c>
      <c r="D7" s="54">
        <v>0</v>
      </c>
      <c r="E7" s="54">
        <v>0</v>
      </c>
      <c r="F7" s="54">
        <v>0</v>
      </c>
      <c r="G7" s="54">
        <v>0</v>
      </c>
      <c r="H7" s="5"/>
    </row>
    <row r="8" spans="1:8" ht="24" customHeight="1" x14ac:dyDescent="0.25">
      <c r="A8" s="43" t="s">
        <v>429</v>
      </c>
      <c r="B8" s="54">
        <v>0</v>
      </c>
      <c r="C8" s="54">
        <v>0</v>
      </c>
      <c r="D8" s="54">
        <v>0</v>
      </c>
      <c r="E8" s="54">
        <v>0</v>
      </c>
      <c r="F8" s="54">
        <v>0</v>
      </c>
      <c r="G8" s="54">
        <v>0</v>
      </c>
      <c r="H8" s="5"/>
    </row>
    <row r="9" spans="1:8" ht="24" customHeight="1" x14ac:dyDescent="0.25">
      <c r="A9" s="43" t="s">
        <v>421</v>
      </c>
      <c r="B9" s="54">
        <v>0</v>
      </c>
      <c r="C9" s="54">
        <v>0</v>
      </c>
      <c r="D9" s="54">
        <v>0</v>
      </c>
      <c r="E9" s="54">
        <v>0</v>
      </c>
      <c r="F9" s="54">
        <v>0</v>
      </c>
      <c r="G9" s="54">
        <v>0</v>
      </c>
      <c r="H9" s="5"/>
    </row>
    <row r="10" spans="1:8" ht="24" customHeight="1" x14ac:dyDescent="0.25">
      <c r="A10" s="43" t="s">
        <v>473</v>
      </c>
      <c r="B10" s="54">
        <v>0</v>
      </c>
      <c r="C10" s="54">
        <v>0</v>
      </c>
      <c r="D10" s="54">
        <v>0</v>
      </c>
      <c r="E10" s="54">
        <v>0</v>
      </c>
      <c r="F10" s="54">
        <v>0</v>
      </c>
      <c r="G10" s="54">
        <v>0</v>
      </c>
      <c r="H10" s="5"/>
    </row>
    <row r="11" spans="1:8" ht="24" customHeight="1" x14ac:dyDescent="0.25">
      <c r="A11" s="43" t="s">
        <v>645</v>
      </c>
      <c r="B11" s="54">
        <v>0</v>
      </c>
      <c r="C11" s="54">
        <v>0</v>
      </c>
      <c r="D11" s="54">
        <v>0</v>
      </c>
      <c r="E11" s="54">
        <v>0</v>
      </c>
      <c r="F11" s="54">
        <v>0</v>
      </c>
      <c r="G11" s="54">
        <v>0</v>
      </c>
    </row>
    <row r="12" spans="1:8" ht="24" customHeight="1" x14ac:dyDescent="0.25">
      <c r="A12" s="43" t="s">
        <v>434</v>
      </c>
      <c r="B12" s="54">
        <v>0</v>
      </c>
      <c r="C12" s="54">
        <v>0</v>
      </c>
      <c r="D12" s="54">
        <v>0</v>
      </c>
      <c r="E12" s="54">
        <v>0</v>
      </c>
      <c r="F12" s="54">
        <v>0</v>
      </c>
      <c r="G12" s="54">
        <v>0</v>
      </c>
    </row>
    <row r="13" spans="1:8" ht="15" customHeight="1" x14ac:dyDescent="0.25">
      <c r="A13" s="43" t="s">
        <v>515</v>
      </c>
      <c r="B13" s="54">
        <v>-10.457000000000001</v>
      </c>
      <c r="C13" s="54">
        <v>-9.2814374999999991</v>
      </c>
      <c r="D13" s="54">
        <v>-9.2814374999999902</v>
      </c>
      <c r="E13" s="54">
        <v>-10.457000000000001</v>
      </c>
      <c r="F13" s="54">
        <v>-7.1054273576010003E-15</v>
      </c>
      <c r="G13" s="54">
        <v>-7.1054273576010003E-15</v>
      </c>
    </row>
    <row r="14" spans="1:8" ht="15" customHeight="1" x14ac:dyDescent="0.25">
      <c r="A14" s="43" t="s">
        <v>518</v>
      </c>
      <c r="B14" s="54">
        <v>-177.00229999999999</v>
      </c>
      <c r="C14" s="54">
        <v>-77.532366666666803</v>
      </c>
      <c r="D14" s="54">
        <v>-77.532366666666803</v>
      </c>
      <c r="E14" s="54">
        <v>-177.00229999999999</v>
      </c>
      <c r="F14" s="54">
        <v>1.7053025658242399E-13</v>
      </c>
      <c r="G14" s="54">
        <v>1.7053025658242399E-13</v>
      </c>
    </row>
    <row r="15" spans="1:8" ht="15" customHeight="1" x14ac:dyDescent="0.25">
      <c r="A15" s="43" t="s">
        <v>646</v>
      </c>
      <c r="B15" s="54">
        <v>-286.89</v>
      </c>
      <c r="C15" s="54">
        <v>-173.36157605263199</v>
      </c>
      <c r="D15" s="54">
        <v>-173.36157605263199</v>
      </c>
      <c r="E15" s="54">
        <v>-286.89</v>
      </c>
      <c r="F15" s="54">
        <v>0</v>
      </c>
      <c r="G15" s="54">
        <v>0</v>
      </c>
    </row>
    <row r="16" spans="1:8" ht="15" customHeight="1" x14ac:dyDescent="0.25">
      <c r="A16" s="43" t="s">
        <v>468</v>
      </c>
      <c r="B16" s="54">
        <v>-595.99</v>
      </c>
      <c r="C16" s="54">
        <v>-276.33021388888898</v>
      </c>
      <c r="D16" s="54">
        <v>-276.33021388888898</v>
      </c>
      <c r="E16" s="54">
        <v>-595.99</v>
      </c>
      <c r="F16" s="54">
        <v>0</v>
      </c>
      <c r="G16" s="54">
        <v>0</v>
      </c>
    </row>
    <row r="17" spans="1:7" ht="15" customHeight="1" x14ac:dyDescent="0.25">
      <c r="A17" s="43" t="s">
        <v>647</v>
      </c>
      <c r="B17" s="54">
        <v>-1833.0109600000001</v>
      </c>
      <c r="C17" s="54">
        <v>-1064.2202</v>
      </c>
      <c r="D17" s="54">
        <v>-1064.2202</v>
      </c>
      <c r="E17" s="54">
        <v>-1833.0109600000001</v>
      </c>
      <c r="F17" s="54">
        <f>+Tabla_Pendientes[[#This Row],[RESULT. A COBRAR]]-Tabla_Pendientes[[#This Row],[PRECIO T.]]</f>
        <v>0</v>
      </c>
      <c r="G17" s="54">
        <f>+Tabla_Pendientes[[#This Row],[TOTAL COSTO NETO]]-Tabla_Pendientes[[#This Row],[COSTO T.]]</f>
        <v>0</v>
      </c>
    </row>
    <row r="18" spans="1:7" ht="15" customHeight="1" x14ac:dyDescent="0.25">
      <c r="A18" s="43" t="s">
        <v>496</v>
      </c>
      <c r="B18" s="54">
        <v>45.22</v>
      </c>
      <c r="C18" s="54">
        <v>140.123758333333</v>
      </c>
      <c r="D18" s="54">
        <v>140.123758333333</v>
      </c>
      <c r="E18" s="54">
        <v>45.22</v>
      </c>
      <c r="F18" s="54">
        <v>-2.8421709430404001E-14</v>
      </c>
      <c r="G18" s="54">
        <v>-2.8421709430404001E-14</v>
      </c>
    </row>
    <row r="19" spans="1:7" ht="15" customHeight="1" x14ac:dyDescent="0.25">
      <c r="A19" s="43" t="s">
        <v>445</v>
      </c>
      <c r="B19" s="54">
        <v>0</v>
      </c>
      <c r="C19" s="54">
        <v>0</v>
      </c>
      <c r="D19" s="54">
        <v>0</v>
      </c>
      <c r="E19" s="54">
        <v>0</v>
      </c>
      <c r="F19" s="54">
        <v>0</v>
      </c>
      <c r="G19" s="54">
        <v>0</v>
      </c>
    </row>
    <row r="20" spans="1:7" ht="15" customHeight="1" x14ac:dyDescent="0.25">
      <c r="A20" s="43" t="s">
        <v>441</v>
      </c>
      <c r="B20" s="54">
        <v>0</v>
      </c>
      <c r="C20" s="54">
        <v>13.1411</v>
      </c>
      <c r="D20" s="54">
        <v>13.1411</v>
      </c>
      <c r="E20" s="54">
        <v>0</v>
      </c>
      <c r="F20" s="54">
        <v>0</v>
      </c>
      <c r="G20" s="54">
        <v>0</v>
      </c>
    </row>
    <row r="21" spans="1:7" ht="15" customHeight="1" x14ac:dyDescent="0.25">
      <c r="A21" s="43" t="s">
        <v>508</v>
      </c>
      <c r="B21" s="54">
        <v>0</v>
      </c>
      <c r="C21" s="54">
        <v>0</v>
      </c>
      <c r="D21" s="54">
        <v>0</v>
      </c>
      <c r="E21" s="54">
        <v>0</v>
      </c>
      <c r="F21" s="54">
        <v>0</v>
      </c>
      <c r="G21" s="54">
        <v>0</v>
      </c>
    </row>
    <row r="22" spans="1:7" ht="15" customHeight="1" x14ac:dyDescent="0.25">
      <c r="A22" s="43" t="s">
        <v>511</v>
      </c>
      <c r="B22" s="54">
        <v>0</v>
      </c>
      <c r="C22" s="54">
        <v>0</v>
      </c>
      <c r="D22" s="54">
        <v>0</v>
      </c>
      <c r="E22" s="54">
        <v>0</v>
      </c>
      <c r="F22" s="54">
        <v>0</v>
      </c>
      <c r="G22" s="54">
        <v>0</v>
      </c>
    </row>
    <row r="23" spans="1:7" ht="15" customHeight="1" x14ac:dyDescent="0.25">
      <c r="A23" s="43" t="s">
        <v>507</v>
      </c>
      <c r="B23" s="54">
        <v>0</v>
      </c>
      <c r="C23" s="54">
        <v>-35.209600000000002</v>
      </c>
      <c r="D23" s="54">
        <v>-35.209600000000002</v>
      </c>
      <c r="E23" s="54">
        <v>0</v>
      </c>
      <c r="F23" s="54">
        <v>0</v>
      </c>
      <c r="G23" s="54">
        <v>0</v>
      </c>
    </row>
    <row r="24" spans="1:7" ht="15" customHeight="1" x14ac:dyDescent="0.25">
      <c r="A24" s="43" t="s">
        <v>442</v>
      </c>
      <c r="B24" s="54">
        <v>0</v>
      </c>
      <c r="C24" s="54">
        <v>0</v>
      </c>
      <c r="D24" s="54">
        <v>0</v>
      </c>
      <c r="E24" s="54">
        <v>0</v>
      </c>
      <c r="F24" s="54">
        <v>0</v>
      </c>
      <c r="G24" s="54">
        <v>0</v>
      </c>
    </row>
    <row r="25" spans="1:7" ht="15" customHeight="1" x14ac:dyDescent="0.25">
      <c r="A25" s="43" t="s">
        <v>418</v>
      </c>
      <c r="B25" s="54">
        <v>0</v>
      </c>
      <c r="C25" s="54">
        <v>0</v>
      </c>
      <c r="D25" s="54">
        <v>0</v>
      </c>
      <c r="E25" s="54">
        <v>0</v>
      </c>
      <c r="F25" s="54">
        <v>0</v>
      </c>
      <c r="G25" s="54">
        <v>0</v>
      </c>
    </row>
    <row r="26" spans="1:7" ht="15" customHeight="1" x14ac:dyDescent="0.25">
      <c r="A26" s="43" t="s">
        <v>452</v>
      </c>
      <c r="B26" s="54">
        <v>0</v>
      </c>
      <c r="C26" s="54">
        <v>0</v>
      </c>
      <c r="D26" s="54">
        <v>0</v>
      </c>
      <c r="E26" s="54">
        <v>0</v>
      </c>
      <c r="F26" s="54">
        <v>0</v>
      </c>
      <c r="G26" s="54">
        <v>0</v>
      </c>
    </row>
    <row r="27" spans="1:7" ht="15" customHeight="1" x14ac:dyDescent="0.25">
      <c r="A27" s="43" t="s">
        <v>505</v>
      </c>
      <c r="B27" s="54">
        <v>0</v>
      </c>
      <c r="C27" s="54">
        <v>0</v>
      </c>
      <c r="D27" s="54">
        <v>0</v>
      </c>
      <c r="E27" s="54">
        <v>0</v>
      </c>
      <c r="F27" s="54">
        <v>0</v>
      </c>
      <c r="G27" s="54">
        <v>0</v>
      </c>
    </row>
    <row r="28" spans="1:7" ht="15" customHeight="1" x14ac:dyDescent="0.25">
      <c r="A28" s="43" t="s">
        <v>459</v>
      </c>
      <c r="B28" s="54">
        <v>-33.990000000000201</v>
      </c>
      <c r="C28" s="54">
        <v>-33.798616056644697</v>
      </c>
      <c r="D28" s="54">
        <v>-33.798616056644398</v>
      </c>
      <c r="E28" s="54">
        <v>-33.99</v>
      </c>
      <c r="F28" s="54">
        <v>-1.6342482922482299E-13</v>
      </c>
      <c r="G28" s="54">
        <v>-1.6342482922482299E-13</v>
      </c>
    </row>
    <row r="29" spans="1:7" ht="15" customHeight="1" x14ac:dyDescent="0.25">
      <c r="A29" s="43" t="s">
        <v>500</v>
      </c>
      <c r="B29" s="54">
        <v>-134.19999999999999</v>
      </c>
      <c r="C29" s="54">
        <v>-76.086160860028897</v>
      </c>
      <c r="D29" s="54">
        <v>-76.086160860028897</v>
      </c>
      <c r="E29" s="54">
        <v>-134.19999999999999</v>
      </c>
      <c r="F29" s="54">
        <v>5.6843418860808002E-14</v>
      </c>
      <c r="G29" s="54">
        <v>5.6843418860808002E-14</v>
      </c>
    </row>
    <row r="30" spans="1:7" ht="15" customHeight="1" x14ac:dyDescent="0.25">
      <c r="A30" s="43" t="s">
        <v>438</v>
      </c>
      <c r="B30" s="54">
        <v>-751.94169999999997</v>
      </c>
      <c r="C30" s="54">
        <v>-484.2131</v>
      </c>
      <c r="D30" s="54">
        <v>-484.2131</v>
      </c>
      <c r="E30" s="54">
        <v>-751.94169999999997</v>
      </c>
      <c r="F30" s="54">
        <v>0</v>
      </c>
      <c r="G30" s="54">
        <v>0</v>
      </c>
    </row>
    <row r="31" spans="1:7" ht="15" customHeight="1" x14ac:dyDescent="0.25">
      <c r="A31" s="43" t="s">
        <v>482</v>
      </c>
      <c r="B31" s="54">
        <v>0</v>
      </c>
      <c r="C31" s="54">
        <v>0</v>
      </c>
      <c r="D31" s="54">
        <v>0</v>
      </c>
      <c r="E31" s="54">
        <v>0</v>
      </c>
      <c r="F31" s="54">
        <v>0</v>
      </c>
      <c r="G31" s="54">
        <v>0</v>
      </c>
    </row>
    <row r="32" spans="1:7" ht="15" customHeight="1" x14ac:dyDescent="0.25">
      <c r="A32" s="43" t="s">
        <v>484</v>
      </c>
      <c r="B32" s="54">
        <v>5.04</v>
      </c>
      <c r="C32" s="54">
        <v>-2.778</v>
      </c>
      <c r="D32" s="54">
        <v>-2.778</v>
      </c>
      <c r="E32" s="54">
        <v>5.04</v>
      </c>
      <c r="F32" s="54">
        <v>0</v>
      </c>
      <c r="G32" s="54">
        <v>0</v>
      </c>
    </row>
    <row r="33" spans="1:7" ht="15" customHeight="1" x14ac:dyDescent="0.25">
      <c r="A33" s="43" t="s">
        <v>450</v>
      </c>
      <c r="B33" s="54">
        <v>-50.72</v>
      </c>
      <c r="C33" s="54">
        <v>-25.387053968253898</v>
      </c>
      <c r="D33" s="54">
        <v>-25.387053968254001</v>
      </c>
      <c r="E33" s="54">
        <v>-50.72</v>
      </c>
      <c r="F33" s="54">
        <v>-1.4210854715202001E-14</v>
      </c>
      <c r="G33" s="54">
        <v>-1.4210854715202001E-14</v>
      </c>
    </row>
    <row r="34" spans="1:7" ht="15" customHeight="1" x14ac:dyDescent="0.25">
      <c r="A34" s="43" t="s">
        <v>512</v>
      </c>
      <c r="B34" s="54">
        <v>-95.75</v>
      </c>
      <c r="C34" s="54">
        <v>-59.341211666666901</v>
      </c>
      <c r="D34" s="54">
        <v>-59.341211666666901</v>
      </c>
      <c r="E34" s="54">
        <v>-95.750000000000099</v>
      </c>
      <c r="F34" s="54">
        <v>1.4210854715202001E-14</v>
      </c>
      <c r="G34" s="54">
        <v>1.4210854715202001E-14</v>
      </c>
    </row>
    <row r="35" spans="1:7" ht="15" customHeight="1" x14ac:dyDescent="0.25">
      <c r="A35" s="43" t="s">
        <v>478</v>
      </c>
      <c r="B35" s="54">
        <v>0</v>
      </c>
      <c r="C35" s="54">
        <v>-790.69</v>
      </c>
      <c r="D35" s="54">
        <v>-790.69</v>
      </c>
      <c r="E35" s="54">
        <v>0</v>
      </c>
      <c r="F35" s="54">
        <v>0</v>
      </c>
      <c r="G35" s="54">
        <v>0</v>
      </c>
    </row>
    <row r="36" spans="1:7" ht="15" customHeight="1" x14ac:dyDescent="0.25">
      <c r="A36" s="43" t="s">
        <v>466</v>
      </c>
      <c r="B36" s="54">
        <v>-109.85</v>
      </c>
      <c r="C36" s="54">
        <v>-517.94833047618999</v>
      </c>
      <c r="D36" s="54">
        <v>-517.94833047618999</v>
      </c>
      <c r="E36" s="54">
        <v>-750.59</v>
      </c>
      <c r="F36" s="54">
        <v>640.74</v>
      </c>
      <c r="G36" s="54">
        <v>640.74</v>
      </c>
    </row>
    <row r="37" spans="1:7" ht="15" customHeight="1" x14ac:dyDescent="0.25">
      <c r="A37" s="43" t="s">
        <v>487</v>
      </c>
      <c r="B37" s="54">
        <v>0</v>
      </c>
      <c r="C37" s="54">
        <v>-451.3</v>
      </c>
      <c r="D37" s="54">
        <v>-451.3</v>
      </c>
      <c r="E37" s="54">
        <v>-640.74</v>
      </c>
      <c r="F37" s="54">
        <v>640.74</v>
      </c>
      <c r="G37" s="54">
        <v>640.74</v>
      </c>
    </row>
    <row r="38" spans="1:7" ht="15" customHeight="1" x14ac:dyDescent="0.25">
      <c r="A38" s="43" t="s">
        <v>464</v>
      </c>
      <c r="B38" s="54">
        <v>0</v>
      </c>
      <c r="C38" s="54">
        <v>-1052.42</v>
      </c>
      <c r="D38" s="54">
        <v>-1052.42</v>
      </c>
      <c r="E38" s="54">
        <v>-1049.43</v>
      </c>
      <c r="F38" s="54">
        <v>1049.43</v>
      </c>
      <c r="G38" s="54">
        <v>1049.43</v>
      </c>
    </row>
    <row r="39" spans="1:7" ht="15" customHeight="1" x14ac:dyDescent="0.25">
      <c r="A39" s="43" t="s">
        <v>436</v>
      </c>
      <c r="B39" s="54">
        <v>-213.8</v>
      </c>
      <c r="C39" s="54">
        <v>9.5624500000000392</v>
      </c>
      <c r="D39" s="54">
        <v>9.5624500000000801</v>
      </c>
      <c r="E39" s="54">
        <v>-213.8</v>
      </c>
      <c r="F39" s="54">
        <v>0</v>
      </c>
      <c r="G39" s="54">
        <v>0</v>
      </c>
    </row>
    <row r="40" spans="1:7" ht="15" customHeight="1" x14ac:dyDescent="0.25">
      <c r="A40" s="43" t="s">
        <v>506</v>
      </c>
      <c r="B40" s="54">
        <v>0</v>
      </c>
      <c r="C40" s="54">
        <v>0</v>
      </c>
      <c r="D40" s="54">
        <v>0</v>
      </c>
      <c r="E40" s="54">
        <v>0</v>
      </c>
      <c r="F40" s="54">
        <v>0</v>
      </c>
      <c r="G40" s="54">
        <v>0</v>
      </c>
    </row>
    <row r="41" spans="1:7" ht="15" customHeight="1" x14ac:dyDescent="0.25">
      <c r="A41" s="43" t="s">
        <v>416</v>
      </c>
      <c r="B41" s="54">
        <v>0</v>
      </c>
      <c r="C41" s="54">
        <v>-2064.2042483144601</v>
      </c>
      <c r="D41" s="54">
        <v>-2064.2042483144601</v>
      </c>
      <c r="E41" s="54">
        <v>0</v>
      </c>
      <c r="F41" s="54">
        <v>0</v>
      </c>
      <c r="G41" s="54">
        <v>0</v>
      </c>
    </row>
    <row r="42" spans="1:7" ht="15" customHeight="1" x14ac:dyDescent="0.25">
      <c r="A42" s="43" t="s">
        <v>486</v>
      </c>
      <c r="B42" s="54">
        <v>0</v>
      </c>
      <c r="C42" s="54">
        <v>-200.998241340389</v>
      </c>
      <c r="D42" s="54">
        <v>-200.998241340389</v>
      </c>
      <c r="E42" s="54">
        <v>0</v>
      </c>
      <c r="F42" s="54">
        <v>0</v>
      </c>
      <c r="G42" s="54">
        <v>0</v>
      </c>
    </row>
    <row r="43" spans="1:7" ht="15" customHeight="1" x14ac:dyDescent="0.25">
      <c r="A43" s="43" t="s">
        <v>519</v>
      </c>
      <c r="B43" s="54">
        <v>164.4425</v>
      </c>
      <c r="C43" s="54">
        <v>82.4666</v>
      </c>
      <c r="D43" s="54">
        <v>82.4666</v>
      </c>
      <c r="E43" s="54">
        <v>164.4425</v>
      </c>
      <c r="F43" s="54">
        <v>81.975899999999996</v>
      </c>
      <c r="G43" s="54">
        <v>0</v>
      </c>
    </row>
    <row r="44" spans="1:7" ht="15" customHeight="1" x14ac:dyDescent="0.25">
      <c r="A44" s="43" t="s">
        <v>521</v>
      </c>
      <c r="B44" s="54">
        <v>0</v>
      </c>
      <c r="C44" s="54">
        <v>0</v>
      </c>
      <c r="D44" s="54">
        <v>0</v>
      </c>
      <c r="E44" s="54">
        <v>0</v>
      </c>
      <c r="F44" s="54">
        <v>0</v>
      </c>
      <c r="G44" s="54">
        <v>0</v>
      </c>
    </row>
    <row r="45" spans="1:7" ht="15" customHeight="1" x14ac:dyDescent="0.25">
      <c r="A45" s="43" t="s">
        <v>522</v>
      </c>
      <c r="B45" s="54">
        <v>237.56000000000199</v>
      </c>
      <c r="C45" s="54">
        <v>16.841081296991899</v>
      </c>
      <c r="D45" s="54">
        <v>16.841081296991799</v>
      </c>
      <c r="E45" s="54">
        <v>237.560000000001</v>
      </c>
      <c r="F45" s="54">
        <v>220.71891870300999</v>
      </c>
      <c r="G45" s="54">
        <v>6.5369931689929197E-13</v>
      </c>
    </row>
    <row r="46" spans="1:7" x14ac:dyDescent="0.25">
      <c r="A46" s="44" t="s">
        <v>524</v>
      </c>
      <c r="B46" s="54">
        <v>9.9400000000001096</v>
      </c>
      <c r="C46" s="54">
        <v>-87.931466666666694</v>
      </c>
      <c r="D46" s="54">
        <v>-87.931466666666751</v>
      </c>
      <c r="E46" s="54">
        <v>9.9399999999999267</v>
      </c>
      <c r="F46" s="54">
        <v>5.6843418860808009E-14</v>
      </c>
      <c r="G46" s="54">
        <v>1.829647544582258E-13</v>
      </c>
    </row>
    <row r="47" spans="1:7" x14ac:dyDescent="0.25">
      <c r="A47" s="44" t="s">
        <v>528</v>
      </c>
      <c r="B47" s="54">
        <v>-7.7100000000000044</v>
      </c>
      <c r="C47" s="54">
        <v>4.0844699999999996</v>
      </c>
      <c r="D47" s="54">
        <v>4.0844699999999854</v>
      </c>
      <c r="E47" s="54">
        <v>-7.710000000000008</v>
      </c>
      <c r="F47" s="54">
        <v>1.4210854715202001E-14</v>
      </c>
      <c r="G47" s="54">
        <v>3.5527136788005009E-15</v>
      </c>
    </row>
    <row r="48" spans="1:7" x14ac:dyDescent="0.25">
      <c r="A48" s="44" t="s">
        <v>531</v>
      </c>
      <c r="B48" s="54">
        <v>-20.628049999999799</v>
      </c>
      <c r="C48" s="54">
        <v>-18.0553069047623</v>
      </c>
      <c r="D48" s="54">
        <v>-18.055306904762329</v>
      </c>
      <c r="E48" s="54">
        <v>-20.628050000000261</v>
      </c>
      <c r="F48" s="54">
        <v>2.8421709430404007E-14</v>
      </c>
      <c r="G48" s="54">
        <v>4.6540549192286562E-13</v>
      </c>
    </row>
    <row r="49" spans="1:7" x14ac:dyDescent="0.25">
      <c r="A49" s="44" t="s">
        <v>536</v>
      </c>
      <c r="B49" s="54">
        <v>0</v>
      </c>
      <c r="C49" s="54">
        <v>0</v>
      </c>
      <c r="D49" s="54">
        <v>0</v>
      </c>
      <c r="E49" s="54">
        <v>0</v>
      </c>
      <c r="F49" s="54">
        <v>0</v>
      </c>
      <c r="G49" s="54">
        <v>0</v>
      </c>
    </row>
    <row r="50" spans="1:7" x14ac:dyDescent="0.25">
      <c r="A50" s="44" t="s">
        <v>526</v>
      </c>
      <c r="B50" s="54">
        <v>-469.72</v>
      </c>
      <c r="C50" s="54">
        <v>-272.09448047618997</v>
      </c>
      <c r="D50" s="54">
        <v>-272.09448047619043</v>
      </c>
      <c r="E50" s="54">
        <v>-469.71999999999991</v>
      </c>
      <c r="F50" s="54">
        <v>4.5474735088646412E-13</v>
      </c>
      <c r="G50" s="54">
        <v>-1.13686837721616E-13</v>
      </c>
    </row>
    <row r="51" spans="1:7" x14ac:dyDescent="0.25">
      <c r="A51" s="44" t="s">
        <v>498</v>
      </c>
      <c r="B51" s="54">
        <v>0</v>
      </c>
      <c r="C51" s="54">
        <v>0</v>
      </c>
      <c r="D51" s="54">
        <v>0</v>
      </c>
      <c r="E51" s="54">
        <v>0</v>
      </c>
      <c r="F51" s="54">
        <v>0</v>
      </c>
      <c r="G51" s="54">
        <v>0</v>
      </c>
    </row>
    <row r="52" spans="1:7" x14ac:dyDescent="0.25">
      <c r="A52" s="44" t="s">
        <v>407</v>
      </c>
      <c r="B52" s="54">
        <v>0</v>
      </c>
      <c r="C52" s="54">
        <v>0</v>
      </c>
      <c r="D52" s="54">
        <v>0</v>
      </c>
      <c r="E52" s="54">
        <v>0</v>
      </c>
      <c r="F52" s="54">
        <v>0</v>
      </c>
      <c r="G52" s="54">
        <v>0</v>
      </c>
    </row>
    <row r="53" spans="1:7" x14ac:dyDescent="0.25">
      <c r="A53" s="44" t="s">
        <v>423</v>
      </c>
      <c r="B53" s="54">
        <v>-99.710000000000008</v>
      </c>
      <c r="C53" s="54">
        <v>-47.903043333333322</v>
      </c>
      <c r="D53" s="54">
        <v>-99.710000000000008</v>
      </c>
      <c r="E53" s="54">
        <v>-47.903043333333322</v>
      </c>
      <c r="F53" s="54">
        <v>1.4210854715202001E-14</v>
      </c>
      <c r="G53" s="54">
        <v>3.5527136788005009E-15</v>
      </c>
    </row>
    <row r="54" spans="1:7" x14ac:dyDescent="0.25">
      <c r="A54" s="44" t="s">
        <v>514</v>
      </c>
      <c r="B54" s="54">
        <v>0</v>
      </c>
      <c r="C54" s="54">
        <v>0</v>
      </c>
      <c r="D54" s="54">
        <v>0</v>
      </c>
      <c r="E54" s="54">
        <v>0</v>
      </c>
      <c r="F54" s="54">
        <v>0</v>
      </c>
      <c r="G54" s="54">
        <v>0</v>
      </c>
    </row>
    <row r="55" spans="1:7" x14ac:dyDescent="0.25">
      <c r="A55" s="44" t="s">
        <v>475</v>
      </c>
      <c r="B55" s="54">
        <v>0</v>
      </c>
      <c r="C55" s="54">
        <v>0</v>
      </c>
      <c r="D55" s="54">
        <v>0</v>
      </c>
      <c r="E55" s="54">
        <v>0</v>
      </c>
      <c r="F55" s="54">
        <v>0</v>
      </c>
      <c r="G55" s="54">
        <v>0</v>
      </c>
    </row>
    <row r="56" spans="1:7" x14ac:dyDescent="0.25">
      <c r="A56" s="45" t="s">
        <v>537</v>
      </c>
      <c r="B56" s="54">
        <v>0</v>
      </c>
      <c r="C56" s="54">
        <v>0</v>
      </c>
      <c r="D56" s="54">
        <v>0</v>
      </c>
      <c r="E56" s="54">
        <v>0</v>
      </c>
      <c r="F56" s="54">
        <v>0</v>
      </c>
      <c r="G56" s="54">
        <v>0</v>
      </c>
    </row>
    <row r="57" spans="1:7" x14ac:dyDescent="0.25">
      <c r="A57" s="45" t="s">
        <v>523</v>
      </c>
      <c r="B57" s="54">
        <v>0</v>
      </c>
      <c r="C57" s="54">
        <v>-34.828316843911693</v>
      </c>
      <c r="D57" s="54">
        <v>-34.828316843911743</v>
      </c>
      <c r="E57" s="54">
        <v>0</v>
      </c>
      <c r="F57" s="54">
        <v>4.2632564145606011E-14</v>
      </c>
      <c r="G57" s="54">
        <v>0</v>
      </c>
    </row>
    <row r="58" spans="1:7" x14ac:dyDescent="0.25">
      <c r="A58" s="45" t="s">
        <v>545</v>
      </c>
      <c r="B58" s="54">
        <v>0</v>
      </c>
      <c r="C58" s="54">
        <v>0</v>
      </c>
      <c r="D58" s="54">
        <v>0</v>
      </c>
      <c r="E58" s="54">
        <v>0</v>
      </c>
      <c r="F58" s="54">
        <v>0</v>
      </c>
      <c r="G58" s="54">
        <v>0</v>
      </c>
    </row>
    <row r="59" spans="1:7" x14ac:dyDescent="0.25">
      <c r="A59" s="45" t="s">
        <v>542</v>
      </c>
      <c r="B59" s="54">
        <v>0</v>
      </c>
      <c r="C59" s="54">
        <v>0</v>
      </c>
      <c r="D59" s="54">
        <v>-17.64070000000001</v>
      </c>
      <c r="E59" s="54">
        <v>-501.93</v>
      </c>
      <c r="F59" s="54">
        <v>17.64070000000001</v>
      </c>
      <c r="G59" s="54">
        <v>501.93</v>
      </c>
    </row>
    <row r="60" spans="1:7" x14ac:dyDescent="0.25">
      <c r="A60" s="45" t="s">
        <v>549</v>
      </c>
      <c r="B60" s="54">
        <v>0</v>
      </c>
      <c r="C60" s="54">
        <v>0</v>
      </c>
      <c r="D60" s="54">
        <v>0</v>
      </c>
      <c r="E60" s="54">
        <v>0</v>
      </c>
      <c r="F60" s="54">
        <v>0</v>
      </c>
      <c r="G60" s="54">
        <v>0</v>
      </c>
    </row>
    <row r="61" spans="1:7" x14ac:dyDescent="0.25">
      <c r="A61" s="45" t="s">
        <v>550</v>
      </c>
      <c r="B61" s="54">
        <v>0</v>
      </c>
      <c r="C61" s="54">
        <v>0</v>
      </c>
      <c r="D61" s="54">
        <v>0</v>
      </c>
      <c r="E61" s="54">
        <v>0</v>
      </c>
      <c r="F61" s="54">
        <v>0</v>
      </c>
      <c r="G61" s="54">
        <v>0</v>
      </c>
    </row>
    <row r="62" spans="1:7" x14ac:dyDescent="0.25">
      <c r="A62" s="45" t="s">
        <v>546</v>
      </c>
      <c r="B62" s="54">
        <v>-722.77</v>
      </c>
      <c r="C62" s="54">
        <v>-790.68619999999999</v>
      </c>
      <c r="D62" s="54">
        <v>-790.68619999999999</v>
      </c>
      <c r="E62" s="54">
        <v>-722.77</v>
      </c>
      <c r="F62" s="54">
        <v>0</v>
      </c>
      <c r="G62" s="54">
        <v>0</v>
      </c>
    </row>
    <row r="63" spans="1:7" x14ac:dyDescent="0.25">
      <c r="A63" s="45" t="s">
        <v>554</v>
      </c>
      <c r="B63" s="54">
        <v>0</v>
      </c>
      <c r="C63" s="54">
        <v>0</v>
      </c>
      <c r="D63" s="54">
        <v>0</v>
      </c>
      <c r="E63" s="54">
        <v>0</v>
      </c>
      <c r="F63" s="54">
        <v>0</v>
      </c>
      <c r="G63" s="54">
        <v>0</v>
      </c>
    </row>
    <row r="64" spans="1:7" x14ac:dyDescent="0.25">
      <c r="A64" s="45" t="s">
        <v>555</v>
      </c>
      <c r="B64" s="54">
        <v>0</v>
      </c>
      <c r="C64" s="54">
        <v>0</v>
      </c>
      <c r="D64" s="54">
        <v>0</v>
      </c>
      <c r="E64" s="54">
        <v>0</v>
      </c>
      <c r="F64" s="54">
        <v>0</v>
      </c>
      <c r="G64" s="54">
        <v>0</v>
      </c>
    </row>
    <row r="65" spans="1:7" x14ac:dyDescent="0.25">
      <c r="A65" s="45" t="s">
        <v>559</v>
      </c>
      <c r="B65" s="54">
        <v>0</v>
      </c>
      <c r="C65" s="54">
        <v>0</v>
      </c>
      <c r="D65" s="54">
        <v>0</v>
      </c>
      <c r="E65" s="54">
        <v>0</v>
      </c>
      <c r="F65" s="54">
        <v>0</v>
      </c>
      <c r="G65" s="54">
        <v>0</v>
      </c>
    </row>
    <row r="66" spans="1:7" x14ac:dyDescent="0.25">
      <c r="A66" s="45" t="s">
        <v>544</v>
      </c>
      <c r="B66" s="54">
        <v>0</v>
      </c>
      <c r="C66" s="54">
        <v>0</v>
      </c>
      <c r="D66" s="54"/>
      <c r="E66" s="54"/>
      <c r="F66" s="54"/>
      <c r="G66" s="54"/>
    </row>
    <row r="67" spans="1:7" x14ac:dyDescent="0.25">
      <c r="A67" s="45" t="s">
        <v>552</v>
      </c>
      <c r="B67" s="54">
        <v>0</v>
      </c>
      <c r="C67" s="54">
        <v>0</v>
      </c>
      <c r="D67" s="54"/>
      <c r="E67" s="54"/>
      <c r="F67" s="54"/>
      <c r="G67" s="54"/>
    </row>
    <row r="68" spans="1:7" x14ac:dyDescent="0.25">
      <c r="A68" s="45" t="s">
        <v>553</v>
      </c>
      <c r="B68" s="54">
        <v>0</v>
      </c>
      <c r="C68" s="54">
        <v>0</v>
      </c>
      <c r="D68" s="54"/>
      <c r="E68" s="54"/>
      <c r="F68" s="54"/>
      <c r="G68" s="54"/>
    </row>
    <row r="69" spans="1:7" x14ac:dyDescent="0.25">
      <c r="A69" s="45" t="s">
        <v>556</v>
      </c>
      <c r="B69" s="54">
        <v>-600.16300000000001</v>
      </c>
      <c r="C69" s="54">
        <v>-427.28651111111111</v>
      </c>
      <c r="D69" s="54">
        <v>-427.28651111111111</v>
      </c>
      <c r="E69" s="54">
        <v>-600.1629999999999</v>
      </c>
      <c r="F69" s="54">
        <v>5.6843418860808009E-14</v>
      </c>
      <c r="G69" s="54">
        <v>-1.13686837721616E-13</v>
      </c>
    </row>
    <row r="70" spans="1:7" x14ac:dyDescent="0.25">
      <c r="A70" s="45" t="s">
        <v>504</v>
      </c>
      <c r="B70" s="54">
        <v>0</v>
      </c>
      <c r="C70" s="54">
        <v>0</v>
      </c>
      <c r="D70" s="54"/>
      <c r="E70" s="54"/>
      <c r="F70" s="54"/>
      <c r="G70" s="54"/>
    </row>
    <row r="71" spans="1:7" x14ac:dyDescent="0.25">
      <c r="A71" s="46" t="s">
        <v>558</v>
      </c>
      <c r="B71" s="55">
        <v>-457.00169999999991</v>
      </c>
      <c r="C71" s="55">
        <v>-253.6519821705426</v>
      </c>
      <c r="D71" s="55">
        <v>-253.65198217054271</v>
      </c>
      <c r="E71" s="55">
        <v>-457.00169999999991</v>
      </c>
      <c r="F71" s="55">
        <v>2.8421709430404007E-14</v>
      </c>
      <c r="G71" s="55">
        <v>0</v>
      </c>
    </row>
    <row r="72" spans="1:7" x14ac:dyDescent="0.25">
      <c r="A72" s="56" t="s">
        <v>560</v>
      </c>
      <c r="B72" s="57">
        <v>0</v>
      </c>
      <c r="C72" s="57">
        <v>-8.4563205521667513</v>
      </c>
      <c r="D72" s="57">
        <v>-8.4563205521667726</v>
      </c>
      <c r="E72" s="57">
        <v>0</v>
      </c>
      <c r="F72" s="57">
        <v>2.1316282072803009E-14</v>
      </c>
      <c r="G72" s="57">
        <v>0</v>
      </c>
    </row>
    <row r="73" spans="1:7" x14ac:dyDescent="0.25">
      <c r="A73" s="58" t="s">
        <v>561</v>
      </c>
      <c r="B73" s="59">
        <v>-1049.433</v>
      </c>
      <c r="C73" s="59">
        <v>-1052.4168999999999</v>
      </c>
      <c r="D73" s="59">
        <v>-1052.4168999999999</v>
      </c>
      <c r="E73" s="59">
        <v>-1049.433</v>
      </c>
      <c r="F73" s="59">
        <v>0</v>
      </c>
      <c r="G73" s="59">
        <v>0</v>
      </c>
    </row>
    <row r="74" spans="1:7" x14ac:dyDescent="0.25">
      <c r="A74" s="60" t="s">
        <v>563</v>
      </c>
      <c r="B74" s="61">
        <v>-639.02</v>
      </c>
      <c r="C74" s="61">
        <v>-448.49799444444398</v>
      </c>
      <c r="D74" s="61">
        <v>-448.49799444444437</v>
      </c>
      <c r="E74" s="61">
        <v>-639.02</v>
      </c>
      <c r="F74" s="61">
        <v>4.5474735088646412E-13</v>
      </c>
      <c r="G74" s="61">
        <v>0</v>
      </c>
    </row>
    <row r="75" spans="1:7" x14ac:dyDescent="0.25">
      <c r="A75" s="62" t="s">
        <v>565</v>
      </c>
      <c r="B75" s="63">
        <v>0</v>
      </c>
      <c r="C75" s="63">
        <v>7.9055870192814002</v>
      </c>
      <c r="D75" s="63">
        <v>7.9055870192814037</v>
      </c>
      <c r="E75" s="63">
        <v>0</v>
      </c>
      <c r="F75" s="63">
        <v>-3.5527136788005009E-15</v>
      </c>
      <c r="G75" s="63">
        <v>0</v>
      </c>
    </row>
    <row r="76" spans="1:7" x14ac:dyDescent="0.25">
      <c r="A76" s="60" t="s">
        <v>567</v>
      </c>
      <c r="B76" s="61">
        <v>-33.630200000000002</v>
      </c>
      <c r="C76" s="61">
        <v>-6.6411696969697118</v>
      </c>
      <c r="D76" s="61">
        <v>-6.6411696969697047</v>
      </c>
      <c r="E76" s="61">
        <v>-33.630199999999967</v>
      </c>
      <c r="F76" s="61">
        <v>-7.1054273576010019E-15</v>
      </c>
      <c r="G76" s="61">
        <v>-2.8421709430404007E-14</v>
      </c>
    </row>
    <row r="77" spans="1:7" x14ac:dyDescent="0.25">
      <c r="A77" s="62" t="s">
        <v>570</v>
      </c>
      <c r="B77" s="63">
        <v>0</v>
      </c>
      <c r="C77" s="63">
        <v>0</v>
      </c>
      <c r="D77" s="63">
        <v>0</v>
      </c>
      <c r="E77" s="63">
        <v>0</v>
      </c>
      <c r="F77" s="63">
        <v>0</v>
      </c>
      <c r="G77" s="63">
        <v>0</v>
      </c>
    </row>
    <row r="78" spans="1:7" x14ac:dyDescent="0.25">
      <c r="A78" s="60" t="s">
        <v>573</v>
      </c>
      <c r="B78" s="61">
        <v>0</v>
      </c>
      <c r="C78" s="61">
        <v>0</v>
      </c>
      <c r="D78" s="61">
        <v>0</v>
      </c>
      <c r="E78" s="61">
        <v>0</v>
      </c>
      <c r="F78" s="61">
        <v>0</v>
      </c>
      <c r="G78" s="61">
        <v>0</v>
      </c>
    </row>
    <row r="79" spans="1:7" x14ac:dyDescent="0.25">
      <c r="A79" s="62" t="s">
        <v>574</v>
      </c>
      <c r="B79" s="63">
        <v>0</v>
      </c>
      <c r="C79" s="63">
        <v>0</v>
      </c>
      <c r="D79" s="63">
        <v>0</v>
      </c>
      <c r="E79" s="63">
        <v>0</v>
      </c>
      <c r="F79" s="63">
        <v>0</v>
      </c>
      <c r="G79" s="63">
        <v>0</v>
      </c>
    </row>
    <row r="80" spans="1:7" x14ac:dyDescent="0.25">
      <c r="A80" s="60" t="s">
        <v>575</v>
      </c>
      <c r="B80" s="61">
        <v>9.5499999999999901</v>
      </c>
      <c r="C80" s="61">
        <v>11.4240333333333</v>
      </c>
      <c r="D80" s="61">
        <v>11.42403333333333</v>
      </c>
      <c r="E80" s="61">
        <v>9.5499999999999901</v>
      </c>
      <c r="F80" s="61">
        <v>-3.0198066269804258E-14</v>
      </c>
      <c r="G80" s="61">
        <v>0</v>
      </c>
    </row>
    <row r="81" spans="1:7" x14ac:dyDescent="0.25">
      <c r="A81" s="62" t="s">
        <v>577</v>
      </c>
      <c r="B81" s="63">
        <v>45.85</v>
      </c>
      <c r="C81" s="63">
        <v>29.971220316316799</v>
      </c>
      <c r="D81" s="63">
        <v>29.97122031631682</v>
      </c>
      <c r="E81" s="63">
        <v>45.85</v>
      </c>
      <c r="F81" s="63">
        <v>-1.7763568394002501E-14</v>
      </c>
      <c r="G81" s="63">
        <v>0</v>
      </c>
    </row>
    <row r="82" spans="1:7" x14ac:dyDescent="0.25">
      <c r="A82" s="60" t="s">
        <v>579</v>
      </c>
      <c r="B82" s="61">
        <v>-0.2899999999999423</v>
      </c>
      <c r="C82" s="61">
        <v>-2.7007550000000289</v>
      </c>
      <c r="D82" s="61">
        <v>-2.7007550000000169</v>
      </c>
      <c r="E82" s="61">
        <v>-0.28999999999997073</v>
      </c>
      <c r="F82" s="61">
        <v>-1.243449787580175E-14</v>
      </c>
      <c r="G82" s="61">
        <v>2.8421709430404007E-14</v>
      </c>
    </row>
    <row r="83" spans="1:7" x14ac:dyDescent="0.25">
      <c r="A83" s="62" t="s">
        <v>582</v>
      </c>
      <c r="B83" s="63">
        <v>0</v>
      </c>
      <c r="C83" s="63">
        <v>0</v>
      </c>
      <c r="D83" s="63">
        <v>0</v>
      </c>
      <c r="E83" s="63">
        <v>0</v>
      </c>
      <c r="F83" s="63">
        <v>0</v>
      </c>
      <c r="G83" s="63">
        <v>0</v>
      </c>
    </row>
    <row r="84" spans="1:7" x14ac:dyDescent="0.25">
      <c r="A84" s="60" t="s">
        <v>571</v>
      </c>
      <c r="B84" s="61">
        <v>0</v>
      </c>
      <c r="C84" s="61">
        <v>-127.244320908041</v>
      </c>
      <c r="D84" s="61">
        <v>-127.2443209080412</v>
      </c>
      <c r="E84" s="61">
        <v>0</v>
      </c>
      <c r="F84" s="61">
        <v>2.1316282072803011E-13</v>
      </c>
      <c r="G84" s="61">
        <v>0</v>
      </c>
    </row>
    <row r="85" spans="1:7" x14ac:dyDescent="0.25">
      <c r="A85" s="64" t="s">
        <v>585</v>
      </c>
      <c r="B85" s="65">
        <v>0</v>
      </c>
      <c r="C85" s="65">
        <v>31.683399999999999</v>
      </c>
      <c r="D85" s="65">
        <v>31.683399999999999</v>
      </c>
      <c r="E85" s="65">
        <v>0</v>
      </c>
      <c r="F85" s="65">
        <v>0</v>
      </c>
      <c r="G85" s="65">
        <v>0</v>
      </c>
    </row>
    <row r="86" spans="1:7" x14ac:dyDescent="0.25">
      <c r="A86" s="66" t="s">
        <v>581</v>
      </c>
      <c r="B86" s="67">
        <v>0</v>
      </c>
      <c r="C86" s="67">
        <v>-170.80671987975651</v>
      </c>
      <c r="D86" s="67">
        <v>-170.80671987975651</v>
      </c>
      <c r="E86" s="67">
        <v>0</v>
      </c>
      <c r="F86" s="67">
        <v>5.6843418860808009E-14</v>
      </c>
      <c r="G86" s="67">
        <v>0</v>
      </c>
    </row>
    <row r="87" spans="1:7" x14ac:dyDescent="0.25">
      <c r="A87" s="64" t="s">
        <v>583</v>
      </c>
      <c r="B87" s="65">
        <v>-645.69000000000005</v>
      </c>
      <c r="C87" s="65">
        <v>-210.10019136285291</v>
      </c>
      <c r="D87" s="65">
        <v>-498.13047017861737</v>
      </c>
      <c r="E87" s="65"/>
      <c r="F87" s="65">
        <v>288.03027881576452</v>
      </c>
      <c r="G87" s="65"/>
    </row>
    <row r="88" spans="1:7" x14ac:dyDescent="0.25">
      <c r="A88" s="68" t="s">
        <v>593</v>
      </c>
      <c r="B88" s="69">
        <v>0</v>
      </c>
      <c r="C88" s="69">
        <v>0</v>
      </c>
      <c r="D88" s="69">
        <v>0</v>
      </c>
      <c r="E88" s="69">
        <v>0</v>
      </c>
      <c r="F88" s="69">
        <v>0</v>
      </c>
      <c r="G88" s="69">
        <v>0</v>
      </c>
    </row>
    <row r="89" spans="1:7" x14ac:dyDescent="0.25">
      <c r="A89" s="70" t="s">
        <v>594</v>
      </c>
      <c r="B89" s="71">
        <v>0</v>
      </c>
      <c r="C89" s="71">
        <v>0</v>
      </c>
      <c r="D89" s="71">
        <v>0</v>
      </c>
      <c r="E89" s="71">
        <v>0</v>
      </c>
      <c r="F89" s="71">
        <v>0</v>
      </c>
      <c r="G89" s="71">
        <v>0</v>
      </c>
    </row>
    <row r="90" spans="1:7" x14ac:dyDescent="0.25">
      <c r="A90" s="72" t="s">
        <v>595</v>
      </c>
      <c r="B90" s="73">
        <v>0</v>
      </c>
      <c r="C90" s="73">
        <v>0</v>
      </c>
      <c r="D90" s="73">
        <v>0</v>
      </c>
      <c r="E90" s="73">
        <v>0</v>
      </c>
      <c r="F90" s="73">
        <v>0</v>
      </c>
      <c r="G90" s="73">
        <v>0</v>
      </c>
    </row>
    <row r="91" spans="1:7" x14ac:dyDescent="0.25">
      <c r="A91" s="70" t="s">
        <v>596</v>
      </c>
      <c r="B91" s="71">
        <v>0</v>
      </c>
      <c r="C91" s="71">
        <v>0</v>
      </c>
      <c r="D91" s="71">
        <v>0</v>
      </c>
      <c r="E91" s="71">
        <v>0</v>
      </c>
      <c r="F91" s="71">
        <v>0</v>
      </c>
      <c r="G91" s="71">
        <v>0</v>
      </c>
    </row>
    <row r="92" spans="1:7" x14ac:dyDescent="0.25">
      <c r="A92" s="72" t="s">
        <v>597</v>
      </c>
      <c r="B92" s="73">
        <v>0</v>
      </c>
      <c r="C92" s="73">
        <v>0</v>
      </c>
      <c r="D92" s="73">
        <v>0</v>
      </c>
      <c r="E92" s="73">
        <v>0</v>
      </c>
      <c r="F92" s="73">
        <v>0</v>
      </c>
      <c r="G92" s="73">
        <v>0</v>
      </c>
    </row>
    <row r="93" spans="1:7" x14ac:dyDescent="0.25">
      <c r="A93" s="70" t="s">
        <v>598</v>
      </c>
      <c r="B93" s="71">
        <v>-1037.4763</v>
      </c>
      <c r="C93" s="71">
        <v>-634.45566666666673</v>
      </c>
      <c r="D93" s="71">
        <v>-634.45566666666673</v>
      </c>
      <c r="E93" s="71">
        <v>-1037.4763</v>
      </c>
      <c r="F93" s="71">
        <v>0</v>
      </c>
      <c r="G93" s="71">
        <v>2.2737367544323211E-13</v>
      </c>
    </row>
    <row r="94" spans="1:7" x14ac:dyDescent="0.25">
      <c r="A94" s="75" t="s">
        <v>600</v>
      </c>
      <c r="B94" s="76">
        <v>0</v>
      </c>
      <c r="C94" s="76">
        <v>0</v>
      </c>
      <c r="D94" s="76">
        <v>0</v>
      </c>
      <c r="E94" s="76">
        <v>0</v>
      </c>
      <c r="F94" s="76">
        <v>0</v>
      </c>
      <c r="G94" s="76">
        <v>0</v>
      </c>
    </row>
    <row r="95" spans="1:7" x14ac:dyDescent="0.25">
      <c r="A95" s="77" t="s">
        <v>601</v>
      </c>
      <c r="B95" s="78">
        <v>5.9177999999999296</v>
      </c>
      <c r="C95" s="78">
        <v>-34.5374300000001</v>
      </c>
      <c r="D95" s="78"/>
      <c r="E95" s="78"/>
      <c r="F95" s="78"/>
      <c r="G95" s="78"/>
    </row>
    <row r="96" spans="1:7" x14ac:dyDescent="0.25">
      <c r="A96" s="83" t="s">
        <v>605</v>
      </c>
      <c r="B96" s="84">
        <v>0</v>
      </c>
      <c r="C96" s="84">
        <v>0</v>
      </c>
      <c r="D96" s="84">
        <v>0</v>
      </c>
      <c r="E96" s="84">
        <v>0</v>
      </c>
      <c r="F96" s="84">
        <v>0</v>
      </c>
      <c r="G96" s="84">
        <v>0</v>
      </c>
    </row>
    <row r="97" spans="1:7" x14ac:dyDescent="0.25">
      <c r="A97" s="77" t="s">
        <v>606</v>
      </c>
      <c r="B97" s="78">
        <v>-258.51</v>
      </c>
      <c r="C97" s="78">
        <v>-164.929188888889</v>
      </c>
      <c r="D97" s="78">
        <v>-164.92918888888889</v>
      </c>
      <c r="E97" s="78">
        <v>-258.51</v>
      </c>
      <c r="F97" s="78">
        <v>-1.13686837721616E-13</v>
      </c>
      <c r="G97" s="78">
        <v>0</v>
      </c>
    </row>
    <row r="98" spans="1:7" x14ac:dyDescent="0.25">
      <c r="A98" s="83" t="s">
        <v>608</v>
      </c>
      <c r="B98" s="84">
        <v>0</v>
      </c>
      <c r="C98" s="84">
        <v>0</v>
      </c>
      <c r="D98" s="84">
        <v>0</v>
      </c>
      <c r="E98" s="84">
        <v>0</v>
      </c>
      <c r="F98" s="84">
        <v>0</v>
      </c>
      <c r="G98" s="84">
        <v>0</v>
      </c>
    </row>
    <row r="99" spans="1:7" x14ac:dyDescent="0.25">
      <c r="A99" s="77" t="s">
        <v>609</v>
      </c>
      <c r="B99" s="78">
        <v>-567.04999999999995</v>
      </c>
      <c r="C99" s="78">
        <v>-67.308750627401736</v>
      </c>
      <c r="D99" s="78">
        <v>-67.308750627401864</v>
      </c>
      <c r="E99" s="78">
        <v>-567.04999999999973</v>
      </c>
      <c r="F99" s="78">
        <v>1.2789769243681801E-13</v>
      </c>
      <c r="G99" s="78">
        <v>-2.2737367544323211E-13</v>
      </c>
    </row>
    <row r="100" spans="1:7" x14ac:dyDescent="0.25">
      <c r="A100" s="83" t="s">
        <v>612</v>
      </c>
      <c r="B100" s="84">
        <v>-652.34879999999998</v>
      </c>
      <c r="C100" s="84">
        <v>-398.88581947368402</v>
      </c>
      <c r="D100" s="84"/>
      <c r="E100" s="84"/>
      <c r="F100" s="84"/>
      <c r="G100" s="84"/>
    </row>
    <row r="101" spans="1:7" x14ac:dyDescent="0.25">
      <c r="A101" s="85" t="s">
        <v>614</v>
      </c>
      <c r="B101" s="86">
        <v>-143.88</v>
      </c>
      <c r="C101" s="86">
        <v>-90.557598333333303</v>
      </c>
      <c r="D101" s="86">
        <v>-90.557598333333345</v>
      </c>
      <c r="E101" s="86">
        <v>-143.88</v>
      </c>
      <c r="F101" s="86">
        <v>4.2632564145606011E-14</v>
      </c>
      <c r="G101" s="86">
        <v>2.8421709430404007E-14</v>
      </c>
    </row>
    <row r="102" spans="1:7" x14ac:dyDescent="0.25">
      <c r="A102" s="91" t="s">
        <v>616</v>
      </c>
      <c r="B102" s="92">
        <v>-45.110000000000007</v>
      </c>
      <c r="C102" s="92">
        <v>-41.096424999999947</v>
      </c>
      <c r="D102" s="92">
        <v>-41.096424999999947</v>
      </c>
      <c r="E102" s="92">
        <v>-45.110000000000007</v>
      </c>
      <c r="F102" s="92">
        <v>0</v>
      </c>
      <c r="G102" s="92">
        <v>0</v>
      </c>
    </row>
    <row r="103" spans="1:7" x14ac:dyDescent="0.25">
      <c r="A103" s="85" t="s">
        <v>617</v>
      </c>
      <c r="B103" s="86">
        <v>-118.08</v>
      </c>
      <c r="C103" s="86">
        <v>-71.550853333333393</v>
      </c>
      <c r="D103" s="86"/>
      <c r="E103" s="86"/>
      <c r="F103" s="86"/>
      <c r="G103" s="86"/>
    </row>
    <row r="104" spans="1:7" x14ac:dyDescent="0.25">
      <c r="A104" s="91" t="s">
        <v>619</v>
      </c>
      <c r="B104" s="92">
        <v>-17.05</v>
      </c>
      <c r="C104" s="92">
        <v>-6.63205000000002</v>
      </c>
      <c r="D104" s="92">
        <v>-6.6320500000000058</v>
      </c>
      <c r="E104" s="92">
        <v>-17.050000000000018</v>
      </c>
      <c r="F104" s="92">
        <v>-1.4210854715202001E-14</v>
      </c>
      <c r="G104" s="92">
        <v>2.1316282072803009E-14</v>
      </c>
    </row>
    <row r="105" spans="1:7" x14ac:dyDescent="0.25">
      <c r="A105" s="85" t="s">
        <v>621</v>
      </c>
      <c r="B105" s="86">
        <v>0</v>
      </c>
      <c r="C105" s="86">
        <v>0</v>
      </c>
      <c r="D105" s="86">
        <v>0</v>
      </c>
      <c r="E105" s="86">
        <v>0</v>
      </c>
      <c r="F105" s="86">
        <v>0</v>
      </c>
      <c r="G105" s="86">
        <v>0</v>
      </c>
    </row>
    <row r="106" spans="1:7" x14ac:dyDescent="0.25">
      <c r="A106" s="93" t="s">
        <v>622</v>
      </c>
      <c r="B106" s="94">
        <v>0</v>
      </c>
      <c r="C106" s="94">
        <v>0</v>
      </c>
      <c r="D106" s="94">
        <v>0</v>
      </c>
      <c r="E106" s="94">
        <v>0</v>
      </c>
      <c r="F106" s="94">
        <v>0</v>
      </c>
      <c r="G106" s="94">
        <v>0</v>
      </c>
    </row>
    <row r="107" spans="1:7" x14ac:dyDescent="0.25">
      <c r="A107" s="95" t="s">
        <v>623</v>
      </c>
      <c r="B107" s="96">
        <v>-100.34</v>
      </c>
      <c r="C107" s="96">
        <v>-87.25</v>
      </c>
      <c r="D107" s="96">
        <v>-87.25</v>
      </c>
      <c r="E107" s="96">
        <v>-100.34</v>
      </c>
      <c r="F107" s="96">
        <v>0</v>
      </c>
      <c r="G107" s="96">
        <v>0</v>
      </c>
    </row>
    <row r="108" spans="1:7" x14ac:dyDescent="0.25">
      <c r="A108" s="93" t="s">
        <v>626</v>
      </c>
      <c r="B108" s="94">
        <v>26.35</v>
      </c>
      <c r="C108" s="94">
        <v>283.10319555555571</v>
      </c>
      <c r="D108" s="94">
        <v>283.10319555555571</v>
      </c>
      <c r="E108" s="94">
        <v>26.35</v>
      </c>
      <c r="F108" s="94">
        <f>+Tabla_Pendientes[[#This Row],[TOTAL COSTO NETO]]-Tabla_Pendientes[[#This Row],[COSTO T.]]</f>
        <v>0</v>
      </c>
      <c r="G108" s="94">
        <f>+Tabla_Pendientes[[#This Row],[RESULT. A COBRAR]]-Tabla_Pendientes[[#This Row],[PRECIO T.]]</f>
        <v>0</v>
      </c>
    </row>
    <row r="109" spans="1:7" x14ac:dyDescent="0.25">
      <c r="A109" s="101" t="s">
        <v>628</v>
      </c>
      <c r="B109" s="102">
        <v>-44.643599999999999</v>
      </c>
      <c r="C109" s="102">
        <v>-30.00630000000001</v>
      </c>
      <c r="D109" s="102">
        <v>-30.0063</v>
      </c>
      <c r="E109" s="102">
        <v>-44.643600000000013</v>
      </c>
      <c r="F109" s="102">
        <v>-3.5527136788005009E-15</v>
      </c>
      <c r="G109" s="102">
        <v>7.1054273576010019E-15</v>
      </c>
    </row>
    <row r="110" spans="1:7" x14ac:dyDescent="0.25">
      <c r="A110" s="108" t="s">
        <v>631</v>
      </c>
      <c r="B110" s="109">
        <v>0</v>
      </c>
      <c r="C110" s="109">
        <v>0</v>
      </c>
      <c r="D110" s="109">
        <v>0</v>
      </c>
      <c r="E110" s="109">
        <v>0</v>
      </c>
      <c r="F110" s="109">
        <v>0</v>
      </c>
      <c r="G110" s="109">
        <v>0</v>
      </c>
    </row>
    <row r="111" spans="1:7" x14ac:dyDescent="0.25">
      <c r="A111" s="110" t="s">
        <v>632</v>
      </c>
      <c r="B111" s="111">
        <v>0</v>
      </c>
      <c r="C111" s="111">
        <v>19.142977427947802</v>
      </c>
      <c r="D111" s="111"/>
      <c r="E111" s="111"/>
      <c r="F111" s="111"/>
      <c r="G111" s="111"/>
    </row>
  </sheetData>
  <mergeCells count="3">
    <mergeCell ref="B2:C2"/>
    <mergeCell ref="A1:G1"/>
    <mergeCell ref="D2:E2"/>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94"/>
  <sheetViews>
    <sheetView showGridLines="0" zoomScaleNormal="100" workbookViewId="0">
      <pane ySplit="3" topLeftCell="A1763" activePane="bottomLeft" state="frozen"/>
      <selection pane="bottomLeft" activeCell="I1763" sqref="I1763:I1771"/>
    </sheetView>
  </sheetViews>
  <sheetFormatPr baseColWidth="10" defaultColWidth="9.140625" defaultRowHeight="15" x14ac:dyDescent="0.25"/>
  <cols>
    <col min="1" max="1" width="15.5703125" customWidth="1"/>
    <col min="2" max="2" width="13.5703125" customWidth="1"/>
    <col min="3" max="3" width="46" customWidth="1"/>
    <col min="4" max="4" width="11.7109375" customWidth="1"/>
    <col min="5" max="5" width="13.42578125" customWidth="1"/>
    <col min="6" max="7" width="12.7109375" customWidth="1"/>
    <col min="8" max="8" width="11" customWidth="1"/>
    <col min="9" max="9" width="10.85546875" customWidth="1"/>
    <col min="10" max="10" width="52.42578125" bestFit="1" customWidth="1"/>
    <col min="11" max="11" width="18.42578125" customWidth="1"/>
    <col min="12" max="12" width="17" customWidth="1"/>
  </cols>
  <sheetData>
    <row r="1" spans="1:12" ht="16.5" customHeight="1" x14ac:dyDescent="0.25">
      <c r="A1" s="118" t="s">
        <v>648</v>
      </c>
      <c r="B1" s="119"/>
      <c r="C1" s="119"/>
      <c r="D1" s="119"/>
      <c r="E1" s="119"/>
      <c r="F1" s="119"/>
      <c r="G1" s="119"/>
      <c r="H1" s="119"/>
      <c r="I1" s="119"/>
      <c r="J1" s="119"/>
      <c r="K1" s="119"/>
      <c r="L1" s="119"/>
    </row>
    <row r="2" spans="1:12" x14ac:dyDescent="0.25">
      <c r="A2" s="124" t="s">
        <v>649</v>
      </c>
      <c r="B2" s="119"/>
      <c r="C2" s="119"/>
      <c r="D2" s="119"/>
      <c r="E2" s="119"/>
      <c r="F2" s="119"/>
      <c r="G2" s="119"/>
      <c r="H2" s="119"/>
      <c r="I2" s="119"/>
      <c r="J2" s="119"/>
      <c r="K2" s="119"/>
      <c r="L2" s="119"/>
    </row>
    <row r="3" spans="1:12" ht="22.5" customHeight="1" x14ac:dyDescent="0.25">
      <c r="A3" s="1" t="s">
        <v>650</v>
      </c>
      <c r="B3" s="1" t="s">
        <v>651</v>
      </c>
      <c r="C3" s="1" t="s">
        <v>652</v>
      </c>
      <c r="D3" s="1" t="s">
        <v>653</v>
      </c>
      <c r="E3" s="1" t="s">
        <v>654</v>
      </c>
      <c r="F3" s="1" t="s">
        <v>655</v>
      </c>
      <c r="G3" s="1" t="s">
        <v>656</v>
      </c>
      <c r="H3" s="1" t="s">
        <v>657</v>
      </c>
      <c r="I3" s="1" t="s">
        <v>658</v>
      </c>
      <c r="J3" s="1" t="s">
        <v>14</v>
      </c>
      <c r="K3" s="1" t="s">
        <v>7</v>
      </c>
      <c r="L3" s="1" t="s">
        <v>15</v>
      </c>
    </row>
    <row r="4" spans="1:12" hidden="1" x14ac:dyDescent="0.25">
      <c r="A4" s="70" t="s">
        <v>659</v>
      </c>
      <c r="B4" s="70" t="s">
        <v>660</v>
      </c>
      <c r="C4" s="70" t="s">
        <v>661</v>
      </c>
      <c r="D4" s="70">
        <v>1512</v>
      </c>
      <c r="E4" s="70">
        <v>-3</v>
      </c>
      <c r="F4" s="71">
        <v>47.86</v>
      </c>
      <c r="G4" s="71">
        <v>112.72</v>
      </c>
      <c r="H4" s="71">
        <v>-143.58000000000001</v>
      </c>
      <c r="I4" s="71">
        <v>-338.16</v>
      </c>
      <c r="J4" s="70" t="s">
        <v>480</v>
      </c>
      <c r="K4" s="70" t="s">
        <v>662</v>
      </c>
      <c r="L4" s="74">
        <v>46086</v>
      </c>
    </row>
    <row r="5" spans="1:12" hidden="1" x14ac:dyDescent="0.25">
      <c r="A5" s="70" t="s">
        <v>659</v>
      </c>
      <c r="B5" s="70" t="s">
        <v>663</v>
      </c>
      <c r="C5" s="70" t="s">
        <v>664</v>
      </c>
      <c r="D5" s="70">
        <v>1512</v>
      </c>
      <c r="E5" s="70">
        <v>-2</v>
      </c>
      <c r="F5" s="71">
        <v>40.380000000000003</v>
      </c>
      <c r="G5" s="71">
        <v>87.79</v>
      </c>
      <c r="H5" s="71">
        <v>-80.75</v>
      </c>
      <c r="I5" s="71">
        <v>-175.58</v>
      </c>
      <c r="J5" s="70" t="s">
        <v>480</v>
      </c>
      <c r="K5" s="70" t="s">
        <v>662</v>
      </c>
      <c r="L5" s="74">
        <v>46086</v>
      </c>
    </row>
    <row r="6" spans="1:12" hidden="1" x14ac:dyDescent="0.25">
      <c r="A6" s="70" t="s">
        <v>659</v>
      </c>
      <c r="B6" s="70" t="s">
        <v>665</v>
      </c>
      <c r="C6" s="70" t="s">
        <v>666</v>
      </c>
      <c r="D6" s="70">
        <v>1512</v>
      </c>
      <c r="E6" s="70">
        <v>-1</v>
      </c>
      <c r="F6" s="71">
        <v>111.77</v>
      </c>
      <c r="G6" s="71">
        <v>163.68</v>
      </c>
      <c r="H6" s="71">
        <v>-111.77</v>
      </c>
      <c r="I6" s="71">
        <v>-163.68</v>
      </c>
      <c r="J6" s="70" t="s">
        <v>480</v>
      </c>
      <c r="K6" s="70" t="s">
        <v>662</v>
      </c>
      <c r="L6" s="74">
        <v>46086</v>
      </c>
    </row>
    <row r="7" spans="1:12" hidden="1" x14ac:dyDescent="0.25">
      <c r="A7" s="70" t="s">
        <v>659</v>
      </c>
      <c r="B7" s="70" t="s">
        <v>667</v>
      </c>
      <c r="C7" s="70" t="s">
        <v>668</v>
      </c>
      <c r="D7" s="70">
        <v>1512</v>
      </c>
      <c r="E7" s="70">
        <v>-1</v>
      </c>
      <c r="F7" s="71">
        <v>110.05</v>
      </c>
      <c r="G7" s="71">
        <v>151.32</v>
      </c>
      <c r="H7" s="71">
        <v>-110.05</v>
      </c>
      <c r="I7" s="71">
        <v>-151.32</v>
      </c>
      <c r="J7" s="70" t="s">
        <v>480</v>
      </c>
      <c r="K7" s="70" t="s">
        <v>662</v>
      </c>
      <c r="L7" s="74">
        <v>46086</v>
      </c>
    </row>
    <row r="8" spans="1:12" hidden="1" x14ac:dyDescent="0.25">
      <c r="A8" s="70" t="s">
        <v>659</v>
      </c>
      <c r="B8" s="70" t="s">
        <v>669</v>
      </c>
      <c r="C8" s="70" t="s">
        <v>670</v>
      </c>
      <c r="D8" s="70">
        <v>1512</v>
      </c>
      <c r="E8" s="70">
        <v>-1</v>
      </c>
      <c r="F8" s="71">
        <v>91.17</v>
      </c>
      <c r="G8" s="71">
        <v>133.5</v>
      </c>
      <c r="H8" s="71">
        <v>-91.17</v>
      </c>
      <c r="I8" s="71">
        <v>-133.5</v>
      </c>
      <c r="J8" s="70" t="s">
        <v>480</v>
      </c>
      <c r="K8" s="70" t="s">
        <v>662</v>
      </c>
      <c r="L8" s="74">
        <v>46086</v>
      </c>
    </row>
    <row r="9" spans="1:12" hidden="1" x14ac:dyDescent="0.25">
      <c r="A9" s="70" t="s">
        <v>659</v>
      </c>
      <c r="B9" s="70" t="s">
        <v>671</v>
      </c>
      <c r="C9" s="70" t="s">
        <v>672</v>
      </c>
      <c r="D9" s="70">
        <v>1512</v>
      </c>
      <c r="E9" s="70">
        <v>-1</v>
      </c>
      <c r="F9" s="71">
        <v>66.459999999999994</v>
      </c>
      <c r="G9" s="71">
        <v>91.38</v>
      </c>
      <c r="H9" s="71">
        <v>-66.459999999999994</v>
      </c>
      <c r="I9" s="71">
        <v>-91.38</v>
      </c>
      <c r="J9" s="70" t="s">
        <v>480</v>
      </c>
      <c r="K9" s="70" t="s">
        <v>662</v>
      </c>
      <c r="L9" s="74">
        <v>46086</v>
      </c>
    </row>
    <row r="10" spans="1:12" hidden="1" x14ac:dyDescent="0.25">
      <c r="A10" s="70" t="s">
        <v>659</v>
      </c>
      <c r="B10" s="70" t="s">
        <v>673</v>
      </c>
      <c r="C10" s="70" t="s">
        <v>674</v>
      </c>
      <c r="D10" s="70">
        <v>1512</v>
      </c>
      <c r="E10" s="70">
        <v>-3</v>
      </c>
      <c r="F10" s="71">
        <v>20.9</v>
      </c>
      <c r="G10" s="71">
        <v>27.82</v>
      </c>
      <c r="H10" s="71">
        <v>-62.69</v>
      </c>
      <c r="I10" s="71">
        <v>-83.46</v>
      </c>
      <c r="J10" s="70" t="s">
        <v>480</v>
      </c>
      <c r="K10" s="70" t="s">
        <v>662</v>
      </c>
      <c r="L10" s="74">
        <v>46086</v>
      </c>
    </row>
    <row r="11" spans="1:12" hidden="1" x14ac:dyDescent="0.25">
      <c r="A11" s="70" t="s">
        <v>659</v>
      </c>
      <c r="B11" s="70" t="s">
        <v>675</v>
      </c>
      <c r="C11" s="70" t="s">
        <v>676</v>
      </c>
      <c r="D11" s="70">
        <v>1512</v>
      </c>
      <c r="E11" s="70">
        <v>-1</v>
      </c>
      <c r="F11" s="71">
        <v>29.56</v>
      </c>
      <c r="G11" s="71">
        <v>73.48</v>
      </c>
      <c r="H11" s="71">
        <v>-29.56</v>
      </c>
      <c r="I11" s="71">
        <v>-73.48</v>
      </c>
      <c r="J11" s="70" t="s">
        <v>480</v>
      </c>
      <c r="K11" s="70" t="s">
        <v>662</v>
      </c>
      <c r="L11" s="74">
        <v>46086</v>
      </c>
    </row>
    <row r="12" spans="1:12" hidden="1" x14ac:dyDescent="0.25">
      <c r="A12" s="70" t="s">
        <v>659</v>
      </c>
      <c r="B12" s="70" t="s">
        <v>677</v>
      </c>
      <c r="C12" s="70" t="s">
        <v>678</v>
      </c>
      <c r="D12" s="70">
        <v>1512</v>
      </c>
      <c r="E12" s="70">
        <v>-1</v>
      </c>
      <c r="F12" s="71">
        <v>25.11</v>
      </c>
      <c r="G12" s="71">
        <v>66.930000000000007</v>
      </c>
      <c r="H12" s="71">
        <v>-25.11</v>
      </c>
      <c r="I12" s="71">
        <v>-66.930000000000007</v>
      </c>
      <c r="J12" s="70" t="s">
        <v>480</v>
      </c>
      <c r="K12" s="70" t="s">
        <v>662</v>
      </c>
      <c r="L12" s="74">
        <v>46086</v>
      </c>
    </row>
    <row r="13" spans="1:12" hidden="1" x14ac:dyDescent="0.25">
      <c r="A13" s="70" t="s">
        <v>659</v>
      </c>
      <c r="B13" s="70" t="s">
        <v>679</v>
      </c>
      <c r="C13" s="70" t="s">
        <v>680</v>
      </c>
      <c r="D13" s="70">
        <v>1512</v>
      </c>
      <c r="E13" s="70">
        <v>-1</v>
      </c>
      <c r="F13" s="71">
        <v>42.39</v>
      </c>
      <c r="G13" s="71">
        <v>64.03</v>
      </c>
      <c r="H13" s="71">
        <v>-42.39</v>
      </c>
      <c r="I13" s="71">
        <v>-64.03</v>
      </c>
      <c r="J13" s="70" t="s">
        <v>480</v>
      </c>
      <c r="K13" s="70" t="s">
        <v>662</v>
      </c>
      <c r="L13" s="74">
        <v>46086</v>
      </c>
    </row>
    <row r="14" spans="1:12" hidden="1" x14ac:dyDescent="0.25">
      <c r="A14" s="70" t="s">
        <v>659</v>
      </c>
      <c r="B14" s="70" t="s">
        <v>681</v>
      </c>
      <c r="C14" s="70" t="s">
        <v>682</v>
      </c>
      <c r="D14" s="70">
        <v>1512</v>
      </c>
      <c r="E14" s="70">
        <v>-3</v>
      </c>
      <c r="F14" s="71">
        <v>10.33</v>
      </c>
      <c r="G14" s="71">
        <v>21.06</v>
      </c>
      <c r="H14" s="71">
        <v>-30.98</v>
      </c>
      <c r="I14" s="71">
        <v>-63.18</v>
      </c>
      <c r="J14" s="70" t="s">
        <v>480</v>
      </c>
      <c r="K14" s="70" t="s">
        <v>662</v>
      </c>
      <c r="L14" s="74">
        <v>46086</v>
      </c>
    </row>
    <row r="15" spans="1:12" hidden="1" x14ac:dyDescent="0.25">
      <c r="A15" s="70" t="s">
        <v>659</v>
      </c>
      <c r="B15" s="70" t="s">
        <v>683</v>
      </c>
      <c r="C15" s="70" t="s">
        <v>684</v>
      </c>
      <c r="D15" s="70">
        <v>1512</v>
      </c>
      <c r="E15" s="70">
        <v>-1</v>
      </c>
      <c r="F15" s="71">
        <v>31.37</v>
      </c>
      <c r="G15" s="71">
        <v>60.48</v>
      </c>
      <c r="H15" s="71">
        <v>-31.37</v>
      </c>
      <c r="I15" s="71">
        <v>-60.48</v>
      </c>
      <c r="J15" s="70" t="s">
        <v>480</v>
      </c>
      <c r="K15" s="70" t="s">
        <v>662</v>
      </c>
      <c r="L15" s="74">
        <v>46086</v>
      </c>
    </row>
    <row r="16" spans="1:12" hidden="1" x14ac:dyDescent="0.25">
      <c r="A16" s="70" t="s">
        <v>659</v>
      </c>
      <c r="B16" s="70" t="s">
        <v>685</v>
      </c>
      <c r="C16" s="70" t="s">
        <v>686</v>
      </c>
      <c r="D16" s="70">
        <v>1512</v>
      </c>
      <c r="E16" s="70">
        <v>-6</v>
      </c>
      <c r="F16" s="71">
        <v>4.18</v>
      </c>
      <c r="G16" s="71">
        <v>9.89</v>
      </c>
      <c r="H16" s="71">
        <v>-25.09</v>
      </c>
      <c r="I16" s="71">
        <v>-59.34</v>
      </c>
      <c r="J16" s="70" t="s">
        <v>480</v>
      </c>
      <c r="K16" s="70" t="s">
        <v>662</v>
      </c>
      <c r="L16" s="74">
        <v>46086</v>
      </c>
    </row>
    <row r="17" spans="1:12" hidden="1" x14ac:dyDescent="0.25">
      <c r="A17" s="70" t="s">
        <v>659</v>
      </c>
      <c r="B17" s="70" t="s">
        <v>687</v>
      </c>
      <c r="C17" s="70" t="s">
        <v>688</v>
      </c>
      <c r="D17" s="70">
        <v>1512</v>
      </c>
      <c r="E17" s="70">
        <v>-1</v>
      </c>
      <c r="F17" s="71">
        <v>34.479999999999997</v>
      </c>
      <c r="G17" s="71">
        <v>50.47</v>
      </c>
      <c r="H17" s="71">
        <v>-34.479999999999997</v>
      </c>
      <c r="I17" s="71">
        <v>-50.47</v>
      </c>
      <c r="J17" s="70" t="s">
        <v>480</v>
      </c>
      <c r="K17" s="70" t="s">
        <v>662</v>
      </c>
      <c r="L17" s="74">
        <v>46086</v>
      </c>
    </row>
    <row r="18" spans="1:12" hidden="1" x14ac:dyDescent="0.25">
      <c r="A18" s="70" t="s">
        <v>659</v>
      </c>
      <c r="B18" s="70" t="s">
        <v>689</v>
      </c>
      <c r="C18" s="70" t="s">
        <v>690</v>
      </c>
      <c r="D18" s="70">
        <v>1512</v>
      </c>
      <c r="E18" s="70">
        <v>-1</v>
      </c>
      <c r="F18" s="71">
        <v>31.82</v>
      </c>
      <c r="G18" s="71">
        <v>46.42</v>
      </c>
      <c r="H18" s="71">
        <v>-31.82</v>
      </c>
      <c r="I18" s="71">
        <v>-46.42</v>
      </c>
      <c r="J18" s="70" t="s">
        <v>480</v>
      </c>
      <c r="K18" s="70" t="s">
        <v>662</v>
      </c>
      <c r="L18" s="74">
        <v>46086</v>
      </c>
    </row>
    <row r="19" spans="1:12" hidden="1" x14ac:dyDescent="0.25">
      <c r="A19" s="70" t="s">
        <v>659</v>
      </c>
      <c r="B19" s="70" t="s">
        <v>691</v>
      </c>
      <c r="C19" s="70" t="s">
        <v>692</v>
      </c>
      <c r="D19" s="70">
        <v>1512</v>
      </c>
      <c r="E19" s="70">
        <v>-1</v>
      </c>
      <c r="F19" s="71">
        <v>15.27</v>
      </c>
      <c r="G19" s="71">
        <v>30.5</v>
      </c>
      <c r="H19" s="71">
        <v>-15.27</v>
      </c>
      <c r="I19" s="71">
        <v>-30.5</v>
      </c>
      <c r="J19" s="70" t="s">
        <v>480</v>
      </c>
      <c r="K19" s="70" t="s">
        <v>662</v>
      </c>
      <c r="L19" s="74">
        <v>46086</v>
      </c>
    </row>
    <row r="20" spans="1:12" hidden="1" x14ac:dyDescent="0.25">
      <c r="A20" s="70" t="s">
        <v>659</v>
      </c>
      <c r="B20" s="70" t="s">
        <v>693</v>
      </c>
      <c r="C20" s="70" t="s">
        <v>694</v>
      </c>
      <c r="D20" s="70">
        <v>1512</v>
      </c>
      <c r="E20" s="70">
        <v>-2</v>
      </c>
      <c r="F20" s="71">
        <v>7.33</v>
      </c>
      <c r="G20" s="71">
        <v>14.44</v>
      </c>
      <c r="H20" s="71">
        <v>-14.66</v>
      </c>
      <c r="I20" s="71">
        <v>-28.88</v>
      </c>
      <c r="J20" s="70" t="s">
        <v>480</v>
      </c>
      <c r="K20" s="70" t="s">
        <v>662</v>
      </c>
      <c r="L20" s="74">
        <v>46086</v>
      </c>
    </row>
    <row r="21" spans="1:12" hidden="1" x14ac:dyDescent="0.25">
      <c r="A21" s="70" t="s">
        <v>659</v>
      </c>
      <c r="B21" s="70" t="s">
        <v>695</v>
      </c>
      <c r="C21" s="70" t="s">
        <v>696</v>
      </c>
      <c r="D21" s="70">
        <v>1512</v>
      </c>
      <c r="E21" s="70">
        <v>-1</v>
      </c>
      <c r="F21" s="71">
        <v>16</v>
      </c>
      <c r="G21" s="71">
        <v>27.82</v>
      </c>
      <c r="H21" s="71">
        <v>-16</v>
      </c>
      <c r="I21" s="71">
        <v>-27.82</v>
      </c>
      <c r="J21" s="70" t="s">
        <v>480</v>
      </c>
      <c r="K21" s="70" t="s">
        <v>662</v>
      </c>
      <c r="L21" s="74">
        <v>46086</v>
      </c>
    </row>
    <row r="22" spans="1:12" hidden="1" x14ac:dyDescent="0.25">
      <c r="A22" s="70" t="s">
        <v>659</v>
      </c>
      <c r="B22" s="70" t="s">
        <v>697</v>
      </c>
      <c r="C22" s="70" t="s">
        <v>698</v>
      </c>
      <c r="D22" s="70">
        <v>1512</v>
      </c>
      <c r="E22" s="70">
        <v>-1</v>
      </c>
      <c r="F22" s="71">
        <v>9.2899999999999991</v>
      </c>
      <c r="G22" s="71">
        <v>25.04</v>
      </c>
      <c r="H22" s="71">
        <v>-9.2899999999999991</v>
      </c>
      <c r="I22" s="71">
        <v>-25.04</v>
      </c>
      <c r="J22" s="70" t="s">
        <v>480</v>
      </c>
      <c r="K22" s="70" t="s">
        <v>662</v>
      </c>
      <c r="L22" s="74">
        <v>46086</v>
      </c>
    </row>
    <row r="23" spans="1:12" hidden="1" x14ac:dyDescent="0.25">
      <c r="A23" s="70" t="s">
        <v>659</v>
      </c>
      <c r="B23" s="70" t="s">
        <v>699</v>
      </c>
      <c r="C23" s="70" t="s">
        <v>700</v>
      </c>
      <c r="D23" s="70">
        <v>1512</v>
      </c>
      <c r="E23" s="70">
        <v>-2</v>
      </c>
      <c r="F23" s="71">
        <v>5.5</v>
      </c>
      <c r="G23" s="71">
        <v>11.65</v>
      </c>
      <c r="H23" s="71">
        <v>-11</v>
      </c>
      <c r="I23" s="71">
        <v>-23.3</v>
      </c>
      <c r="J23" s="70" t="s">
        <v>480</v>
      </c>
      <c r="K23" s="70" t="s">
        <v>662</v>
      </c>
      <c r="L23" s="74">
        <v>46086</v>
      </c>
    </row>
    <row r="24" spans="1:12" hidden="1" x14ac:dyDescent="0.25">
      <c r="A24" s="70" t="s">
        <v>659</v>
      </c>
      <c r="B24" s="70" t="s">
        <v>701</v>
      </c>
      <c r="C24" s="70" t="s">
        <v>702</v>
      </c>
      <c r="D24" s="70">
        <v>1512</v>
      </c>
      <c r="E24" s="70">
        <v>-1</v>
      </c>
      <c r="F24" s="71">
        <v>7.95</v>
      </c>
      <c r="G24" s="71">
        <v>23.06</v>
      </c>
      <c r="H24" s="71">
        <v>-7.95</v>
      </c>
      <c r="I24" s="71">
        <v>-23.06</v>
      </c>
      <c r="J24" s="70" t="s">
        <v>480</v>
      </c>
      <c r="K24" s="70" t="s">
        <v>662</v>
      </c>
      <c r="L24" s="74">
        <v>46086</v>
      </c>
    </row>
    <row r="25" spans="1:12" hidden="1" x14ac:dyDescent="0.25">
      <c r="A25" s="70" t="s">
        <v>659</v>
      </c>
      <c r="B25" s="70" t="s">
        <v>703</v>
      </c>
      <c r="C25" s="70" t="s">
        <v>704</v>
      </c>
      <c r="D25" s="70">
        <v>1512</v>
      </c>
      <c r="E25" s="70">
        <v>-1</v>
      </c>
      <c r="F25" s="71">
        <v>10.37</v>
      </c>
      <c r="G25" s="71">
        <v>21.36</v>
      </c>
      <c r="H25" s="71">
        <v>-10.37</v>
      </c>
      <c r="I25" s="71">
        <v>-21.36</v>
      </c>
      <c r="J25" s="70" t="s">
        <v>480</v>
      </c>
      <c r="K25" s="70" t="s">
        <v>662</v>
      </c>
      <c r="L25" s="74">
        <v>46086</v>
      </c>
    </row>
    <row r="26" spans="1:12" hidden="1" x14ac:dyDescent="0.25">
      <c r="A26" s="70" t="s">
        <v>659</v>
      </c>
      <c r="B26" s="70" t="s">
        <v>705</v>
      </c>
      <c r="C26" s="70" t="s">
        <v>706</v>
      </c>
      <c r="D26" s="70">
        <v>1512</v>
      </c>
      <c r="E26" s="70">
        <v>-5</v>
      </c>
      <c r="F26" s="71">
        <v>2.41</v>
      </c>
      <c r="G26" s="71">
        <v>3.94</v>
      </c>
      <c r="H26" s="71">
        <v>-12.06</v>
      </c>
      <c r="I26" s="71">
        <v>-19.7</v>
      </c>
      <c r="J26" s="70" t="s">
        <v>480</v>
      </c>
      <c r="K26" s="70" t="s">
        <v>662</v>
      </c>
      <c r="L26" s="74">
        <v>46086</v>
      </c>
    </row>
    <row r="27" spans="1:12" hidden="1" x14ac:dyDescent="0.25">
      <c r="A27" s="70" t="s">
        <v>659</v>
      </c>
      <c r="B27" s="70" t="s">
        <v>707</v>
      </c>
      <c r="C27" s="70" t="s">
        <v>708</v>
      </c>
      <c r="D27" s="70">
        <v>1512</v>
      </c>
      <c r="E27" s="70">
        <v>-1</v>
      </c>
      <c r="F27" s="71">
        <v>8.33</v>
      </c>
      <c r="G27" s="71">
        <v>18.25</v>
      </c>
      <c r="H27" s="71">
        <v>-8.33</v>
      </c>
      <c r="I27" s="71">
        <v>-18.25</v>
      </c>
      <c r="J27" s="70" t="s">
        <v>480</v>
      </c>
      <c r="K27" s="70" t="s">
        <v>662</v>
      </c>
      <c r="L27" s="74">
        <v>46086</v>
      </c>
    </row>
    <row r="28" spans="1:12" hidden="1" x14ac:dyDescent="0.25">
      <c r="A28" s="70" t="s">
        <v>659</v>
      </c>
      <c r="B28" s="70" t="s">
        <v>709</v>
      </c>
      <c r="C28" s="70" t="s">
        <v>710</v>
      </c>
      <c r="D28" s="70">
        <v>1512</v>
      </c>
      <c r="E28" s="70">
        <v>-1</v>
      </c>
      <c r="F28" s="71">
        <v>6.94</v>
      </c>
      <c r="G28" s="71">
        <v>17.649999999999999</v>
      </c>
      <c r="H28" s="71">
        <v>-6.94</v>
      </c>
      <c r="I28" s="71">
        <v>-17.649999999999999</v>
      </c>
      <c r="J28" s="70" t="s">
        <v>480</v>
      </c>
      <c r="K28" s="70" t="s">
        <v>662</v>
      </c>
      <c r="L28" s="74">
        <v>46086</v>
      </c>
    </row>
    <row r="29" spans="1:12" hidden="1" x14ac:dyDescent="0.25">
      <c r="A29" s="70" t="s">
        <v>659</v>
      </c>
      <c r="B29" s="70" t="s">
        <v>711</v>
      </c>
      <c r="C29" s="70" t="s">
        <v>712</v>
      </c>
      <c r="D29" s="70">
        <v>1512</v>
      </c>
      <c r="E29" s="70">
        <v>-3</v>
      </c>
      <c r="F29" s="71">
        <v>3.16</v>
      </c>
      <c r="G29" s="71">
        <v>5.77</v>
      </c>
      <c r="H29" s="71">
        <v>-9.4700000000000006</v>
      </c>
      <c r="I29" s="71">
        <v>-17.309999999999999</v>
      </c>
      <c r="J29" s="70" t="s">
        <v>480</v>
      </c>
      <c r="K29" s="70" t="s">
        <v>662</v>
      </c>
      <c r="L29" s="74">
        <v>46086</v>
      </c>
    </row>
    <row r="30" spans="1:12" hidden="1" x14ac:dyDescent="0.25">
      <c r="A30" s="70" t="s">
        <v>659</v>
      </c>
      <c r="B30" s="70" t="s">
        <v>713</v>
      </c>
      <c r="C30" s="70" t="s">
        <v>714</v>
      </c>
      <c r="D30" s="70">
        <v>1512</v>
      </c>
      <c r="E30" s="70">
        <v>-3</v>
      </c>
      <c r="F30" s="71">
        <v>3.5</v>
      </c>
      <c r="G30" s="71">
        <v>5.75</v>
      </c>
      <c r="H30" s="71">
        <v>-10.5</v>
      </c>
      <c r="I30" s="71">
        <v>-17.25</v>
      </c>
      <c r="J30" s="70" t="s">
        <v>480</v>
      </c>
      <c r="K30" s="70" t="s">
        <v>662</v>
      </c>
      <c r="L30" s="74">
        <v>46086</v>
      </c>
    </row>
    <row r="31" spans="1:12" hidden="1" x14ac:dyDescent="0.25">
      <c r="A31" s="70" t="s">
        <v>659</v>
      </c>
      <c r="B31" s="70" t="s">
        <v>715</v>
      </c>
      <c r="C31" s="70" t="s">
        <v>716</v>
      </c>
      <c r="D31" s="70">
        <v>1512</v>
      </c>
      <c r="E31" s="70">
        <v>-2</v>
      </c>
      <c r="F31" s="71">
        <v>3.49</v>
      </c>
      <c r="G31" s="71">
        <v>6.65</v>
      </c>
      <c r="H31" s="71">
        <v>-6.98</v>
      </c>
      <c r="I31" s="71">
        <v>-13.3</v>
      </c>
      <c r="J31" s="70" t="s">
        <v>480</v>
      </c>
      <c r="K31" s="70" t="s">
        <v>662</v>
      </c>
      <c r="L31" s="74">
        <v>46086</v>
      </c>
    </row>
    <row r="32" spans="1:12" hidden="1" x14ac:dyDescent="0.25">
      <c r="A32" s="70" t="s">
        <v>659</v>
      </c>
      <c r="B32" s="70" t="s">
        <v>717</v>
      </c>
      <c r="C32" s="70" t="s">
        <v>718</v>
      </c>
      <c r="D32" s="70">
        <v>1512</v>
      </c>
      <c r="E32" s="70">
        <v>-1</v>
      </c>
      <c r="F32" s="71">
        <v>5.46</v>
      </c>
      <c r="G32" s="71">
        <v>11.25</v>
      </c>
      <c r="H32" s="71">
        <v>-5.46</v>
      </c>
      <c r="I32" s="71">
        <v>-11.25</v>
      </c>
      <c r="J32" s="70" t="s">
        <v>480</v>
      </c>
      <c r="K32" s="70" t="s">
        <v>662</v>
      </c>
      <c r="L32" s="74">
        <v>46086</v>
      </c>
    </row>
    <row r="33" spans="1:12" hidden="1" x14ac:dyDescent="0.25">
      <c r="A33" s="70" t="s">
        <v>659</v>
      </c>
      <c r="B33" s="70" t="s">
        <v>719</v>
      </c>
      <c r="C33" s="70" t="s">
        <v>720</v>
      </c>
      <c r="D33" s="70">
        <v>1512</v>
      </c>
      <c r="E33" s="70">
        <v>-1</v>
      </c>
      <c r="F33" s="71">
        <v>6.86</v>
      </c>
      <c r="G33" s="71">
        <v>10.46</v>
      </c>
      <c r="H33" s="71">
        <v>-6.86</v>
      </c>
      <c r="I33" s="71">
        <v>-10.46</v>
      </c>
      <c r="J33" s="70" t="s">
        <v>480</v>
      </c>
      <c r="K33" s="70" t="s">
        <v>662</v>
      </c>
      <c r="L33" s="74">
        <v>46086</v>
      </c>
    </row>
    <row r="34" spans="1:12" hidden="1" x14ac:dyDescent="0.25">
      <c r="A34" s="70" t="s">
        <v>659</v>
      </c>
      <c r="B34" s="70" t="s">
        <v>721</v>
      </c>
      <c r="C34" s="70" t="s">
        <v>722</v>
      </c>
      <c r="D34" s="70">
        <v>1512</v>
      </c>
      <c r="E34" s="70">
        <v>-1</v>
      </c>
      <c r="F34" s="71">
        <v>6.79</v>
      </c>
      <c r="G34" s="71">
        <v>10.37</v>
      </c>
      <c r="H34" s="71">
        <v>-6.79</v>
      </c>
      <c r="I34" s="71">
        <v>-10.37</v>
      </c>
      <c r="J34" s="70" t="s">
        <v>480</v>
      </c>
      <c r="K34" s="70" t="s">
        <v>662</v>
      </c>
      <c r="L34" s="74">
        <v>46086</v>
      </c>
    </row>
    <row r="35" spans="1:12" hidden="1" x14ac:dyDescent="0.25">
      <c r="A35" s="70" t="s">
        <v>659</v>
      </c>
      <c r="B35" s="70" t="s">
        <v>723</v>
      </c>
      <c r="C35" s="70" t="s">
        <v>724</v>
      </c>
      <c r="D35" s="70">
        <v>1512</v>
      </c>
      <c r="E35" s="70">
        <v>-1</v>
      </c>
      <c r="F35" s="71">
        <v>4.6900000000000004</v>
      </c>
      <c r="G35" s="71">
        <v>8.99</v>
      </c>
      <c r="H35" s="71">
        <v>-4.6900000000000004</v>
      </c>
      <c r="I35" s="71">
        <v>-8.99</v>
      </c>
      <c r="J35" s="70" t="s">
        <v>480</v>
      </c>
      <c r="K35" s="70" t="s">
        <v>662</v>
      </c>
      <c r="L35" s="74">
        <v>46086</v>
      </c>
    </row>
    <row r="36" spans="1:12" hidden="1" x14ac:dyDescent="0.25">
      <c r="A36" s="70" t="s">
        <v>659</v>
      </c>
      <c r="B36" s="70" t="s">
        <v>725</v>
      </c>
      <c r="C36" s="70" t="s">
        <v>726</v>
      </c>
      <c r="D36" s="70">
        <v>1512</v>
      </c>
      <c r="E36" s="70">
        <v>-1</v>
      </c>
      <c r="F36" s="71">
        <v>4.6900000000000004</v>
      </c>
      <c r="G36" s="71">
        <v>8.99</v>
      </c>
      <c r="H36" s="71">
        <v>-4.6900000000000004</v>
      </c>
      <c r="I36" s="71">
        <v>-8.99</v>
      </c>
      <c r="J36" s="70" t="s">
        <v>480</v>
      </c>
      <c r="K36" s="70" t="s">
        <v>662</v>
      </c>
      <c r="L36" s="74">
        <v>46086</v>
      </c>
    </row>
    <row r="37" spans="1:12" hidden="1" x14ac:dyDescent="0.25">
      <c r="A37" s="70" t="s">
        <v>659</v>
      </c>
      <c r="B37" s="70" t="s">
        <v>727</v>
      </c>
      <c r="C37" s="70" t="s">
        <v>728</v>
      </c>
      <c r="D37" s="70">
        <v>1512</v>
      </c>
      <c r="E37" s="70">
        <v>-1</v>
      </c>
      <c r="F37" s="71">
        <v>4.3899999999999997</v>
      </c>
      <c r="G37" s="71">
        <v>8.41</v>
      </c>
      <c r="H37" s="71">
        <v>-4.3899999999999997</v>
      </c>
      <c r="I37" s="71">
        <v>-8.41</v>
      </c>
      <c r="J37" s="70" t="s">
        <v>480</v>
      </c>
      <c r="K37" s="70" t="s">
        <v>662</v>
      </c>
      <c r="L37" s="74">
        <v>46086</v>
      </c>
    </row>
    <row r="38" spans="1:12" hidden="1" x14ac:dyDescent="0.25">
      <c r="A38" s="70" t="s">
        <v>659</v>
      </c>
      <c r="B38" s="70" t="s">
        <v>729</v>
      </c>
      <c r="C38" s="70" t="s">
        <v>730</v>
      </c>
      <c r="D38" s="70">
        <v>1512</v>
      </c>
      <c r="E38" s="70">
        <v>-1</v>
      </c>
      <c r="F38" s="71">
        <v>4.6900000000000004</v>
      </c>
      <c r="G38" s="71">
        <v>7.05</v>
      </c>
      <c r="H38" s="71">
        <v>-4.6900000000000004</v>
      </c>
      <c r="I38" s="71">
        <v>-7.05</v>
      </c>
      <c r="J38" s="70" t="s">
        <v>480</v>
      </c>
      <c r="K38" s="70" t="s">
        <v>662</v>
      </c>
      <c r="L38" s="74">
        <v>46086</v>
      </c>
    </row>
    <row r="39" spans="1:12" hidden="1" x14ac:dyDescent="0.25">
      <c r="A39" s="70" t="s">
        <v>659</v>
      </c>
      <c r="B39" s="70" t="s">
        <v>731</v>
      </c>
      <c r="C39" s="70" t="s">
        <v>732</v>
      </c>
      <c r="D39" s="70">
        <v>1512</v>
      </c>
      <c r="E39" s="70">
        <v>-1</v>
      </c>
      <c r="F39" s="71">
        <v>4.05</v>
      </c>
      <c r="G39" s="71">
        <v>6.29</v>
      </c>
      <c r="H39" s="71">
        <v>-4.05</v>
      </c>
      <c r="I39" s="71">
        <v>-6.29</v>
      </c>
      <c r="J39" s="70" t="s">
        <v>480</v>
      </c>
      <c r="K39" s="70" t="s">
        <v>662</v>
      </c>
      <c r="L39" s="74">
        <v>46086</v>
      </c>
    </row>
    <row r="40" spans="1:12" hidden="1" x14ac:dyDescent="0.25">
      <c r="A40" s="70" t="s">
        <v>659</v>
      </c>
      <c r="B40" s="70" t="s">
        <v>733</v>
      </c>
      <c r="C40" s="70" t="s">
        <v>734</v>
      </c>
      <c r="D40" s="70">
        <v>1512</v>
      </c>
      <c r="E40" s="70">
        <v>-2</v>
      </c>
      <c r="F40" s="71">
        <v>1.8</v>
      </c>
      <c r="G40" s="71">
        <v>2.96</v>
      </c>
      <c r="H40" s="71">
        <v>-3.6</v>
      </c>
      <c r="I40" s="71">
        <v>-5.92</v>
      </c>
      <c r="J40" s="70" t="s">
        <v>480</v>
      </c>
      <c r="K40" s="70" t="s">
        <v>662</v>
      </c>
      <c r="L40" s="74">
        <v>46086</v>
      </c>
    </row>
    <row r="41" spans="1:12" hidden="1" x14ac:dyDescent="0.25">
      <c r="A41" s="70" t="s">
        <v>659</v>
      </c>
      <c r="B41" s="70" t="s">
        <v>735</v>
      </c>
      <c r="C41" s="70" t="s">
        <v>736</v>
      </c>
      <c r="D41" s="70">
        <v>1512</v>
      </c>
      <c r="E41" s="70">
        <v>-2</v>
      </c>
      <c r="F41" s="71">
        <v>1.8</v>
      </c>
      <c r="G41" s="71">
        <v>2.96</v>
      </c>
      <c r="H41" s="71">
        <v>-3.6</v>
      </c>
      <c r="I41" s="71">
        <v>-5.92</v>
      </c>
      <c r="J41" s="70" t="s">
        <v>480</v>
      </c>
      <c r="K41" s="70" t="s">
        <v>662</v>
      </c>
      <c r="L41" s="74">
        <v>46086</v>
      </c>
    </row>
    <row r="42" spans="1:12" hidden="1" x14ac:dyDescent="0.25">
      <c r="A42" s="70" t="s">
        <v>659</v>
      </c>
      <c r="B42" s="70" t="s">
        <v>737</v>
      </c>
      <c r="C42" s="70" t="s">
        <v>738</v>
      </c>
      <c r="D42" s="70">
        <v>1512</v>
      </c>
      <c r="E42" s="70">
        <v>-1</v>
      </c>
      <c r="F42" s="71">
        <v>3.15</v>
      </c>
      <c r="G42" s="71">
        <v>5.18</v>
      </c>
      <c r="H42" s="71">
        <v>-3.15</v>
      </c>
      <c r="I42" s="71">
        <v>-5.18</v>
      </c>
      <c r="J42" s="70" t="s">
        <v>480</v>
      </c>
      <c r="K42" s="70" t="s">
        <v>662</v>
      </c>
      <c r="L42" s="74">
        <v>46086</v>
      </c>
    </row>
    <row r="43" spans="1:12" hidden="1" x14ac:dyDescent="0.25">
      <c r="A43" s="70" t="s">
        <v>659</v>
      </c>
      <c r="B43" s="70" t="s">
        <v>739</v>
      </c>
      <c r="C43" s="70" t="s">
        <v>740</v>
      </c>
      <c r="D43" s="70">
        <v>1512</v>
      </c>
      <c r="E43" s="70">
        <v>-1</v>
      </c>
      <c r="F43" s="71">
        <v>2.2999999999999998</v>
      </c>
      <c r="G43" s="71">
        <v>3.78</v>
      </c>
      <c r="H43" s="71">
        <v>-2.2999999999999998</v>
      </c>
      <c r="I43" s="71">
        <v>-3.78</v>
      </c>
      <c r="J43" s="70" t="s">
        <v>480</v>
      </c>
      <c r="K43" s="70" t="s">
        <v>662</v>
      </c>
      <c r="L43" s="74">
        <v>46086</v>
      </c>
    </row>
    <row r="44" spans="1:12" hidden="1" x14ac:dyDescent="0.25">
      <c r="A44" s="70" t="s">
        <v>659</v>
      </c>
      <c r="B44" s="70" t="s">
        <v>741</v>
      </c>
      <c r="C44" s="70" t="s">
        <v>742</v>
      </c>
      <c r="D44" s="70">
        <v>1512</v>
      </c>
      <c r="E44" s="70">
        <v>-1</v>
      </c>
      <c r="F44" s="71">
        <v>3.52</v>
      </c>
      <c r="G44" s="71">
        <v>3.62</v>
      </c>
      <c r="H44" s="71">
        <v>-3.52</v>
      </c>
      <c r="I44" s="71">
        <v>-3.62</v>
      </c>
      <c r="J44" s="70" t="s">
        <v>480</v>
      </c>
      <c r="K44" s="70" t="s">
        <v>662</v>
      </c>
      <c r="L44" s="74">
        <v>46086</v>
      </c>
    </row>
    <row r="45" spans="1:12" hidden="1" x14ac:dyDescent="0.25">
      <c r="A45" s="70" t="s">
        <v>659</v>
      </c>
      <c r="B45" s="70" t="s">
        <v>743</v>
      </c>
      <c r="C45" s="70" t="s">
        <v>744</v>
      </c>
      <c r="D45" s="70">
        <v>1512</v>
      </c>
      <c r="E45" s="70">
        <v>-47</v>
      </c>
      <c r="F45" s="71">
        <v>0.04</v>
      </c>
      <c r="G45" s="71">
        <v>0.06</v>
      </c>
      <c r="H45" s="71">
        <v>-1.99</v>
      </c>
      <c r="I45" s="71">
        <v>-2.82</v>
      </c>
      <c r="J45" s="70" t="s">
        <v>480</v>
      </c>
      <c r="K45" s="70" t="s">
        <v>662</v>
      </c>
      <c r="L45" s="74">
        <v>46086</v>
      </c>
    </row>
    <row r="46" spans="1:12" hidden="1" x14ac:dyDescent="0.25">
      <c r="A46" s="70" t="s">
        <v>659</v>
      </c>
      <c r="B46" s="70" t="s">
        <v>745</v>
      </c>
      <c r="C46" s="70" t="s">
        <v>746</v>
      </c>
      <c r="D46" s="70">
        <v>1512</v>
      </c>
      <c r="E46" s="70">
        <v>-1</v>
      </c>
      <c r="F46" s="71">
        <v>0.83</v>
      </c>
      <c r="G46" s="71">
        <v>1.28</v>
      </c>
      <c r="H46" s="71">
        <v>-0.83</v>
      </c>
      <c r="I46" s="71">
        <v>-1.28</v>
      </c>
      <c r="J46" s="70" t="s">
        <v>480</v>
      </c>
      <c r="K46" s="70" t="s">
        <v>662</v>
      </c>
      <c r="L46" s="74">
        <v>46086</v>
      </c>
    </row>
    <row r="47" spans="1:12" hidden="1" x14ac:dyDescent="0.25">
      <c r="A47" s="70" t="s">
        <v>747</v>
      </c>
      <c r="B47" s="70" t="s">
        <v>748</v>
      </c>
      <c r="C47" s="70" t="s">
        <v>749</v>
      </c>
      <c r="D47" s="70">
        <v>1512</v>
      </c>
      <c r="E47" s="70">
        <v>2</v>
      </c>
      <c r="F47" s="71">
        <v>35.68</v>
      </c>
      <c r="G47" s="71">
        <v>77.94</v>
      </c>
      <c r="H47" s="71">
        <v>71.349999999999994</v>
      </c>
      <c r="I47" s="71">
        <v>155.88</v>
      </c>
      <c r="J47" s="70" t="s">
        <v>480</v>
      </c>
      <c r="K47" s="70" t="s">
        <v>662</v>
      </c>
      <c r="L47" s="74">
        <v>46086</v>
      </c>
    </row>
    <row r="48" spans="1:12" hidden="1" x14ac:dyDescent="0.25">
      <c r="A48" s="70" t="s">
        <v>747</v>
      </c>
      <c r="B48" s="70" t="s">
        <v>750</v>
      </c>
      <c r="C48" s="70" t="s">
        <v>751</v>
      </c>
      <c r="D48" s="70">
        <v>1512</v>
      </c>
      <c r="E48" s="70">
        <v>1</v>
      </c>
      <c r="F48" s="71">
        <v>81.69</v>
      </c>
      <c r="G48" s="71">
        <v>150.62</v>
      </c>
      <c r="H48" s="71">
        <v>81.69</v>
      </c>
      <c r="I48" s="71">
        <v>150.62</v>
      </c>
      <c r="J48" s="70" t="s">
        <v>480</v>
      </c>
      <c r="K48" s="70" t="s">
        <v>662</v>
      </c>
      <c r="L48" s="74">
        <v>46086</v>
      </c>
    </row>
    <row r="49" spans="1:12" hidden="1" x14ac:dyDescent="0.25">
      <c r="A49" s="70" t="s">
        <v>747</v>
      </c>
      <c r="B49" s="70" t="s">
        <v>752</v>
      </c>
      <c r="C49" s="70" t="s">
        <v>753</v>
      </c>
      <c r="D49" s="70">
        <v>1512</v>
      </c>
      <c r="E49" s="70">
        <v>1</v>
      </c>
      <c r="F49" s="71">
        <v>68.37</v>
      </c>
      <c r="G49" s="71">
        <v>144.54</v>
      </c>
      <c r="H49" s="71">
        <v>68.37</v>
      </c>
      <c r="I49" s="71">
        <v>144.54</v>
      </c>
      <c r="J49" s="70" t="s">
        <v>480</v>
      </c>
      <c r="K49" s="70" t="s">
        <v>662</v>
      </c>
      <c r="L49" s="74">
        <v>46086</v>
      </c>
    </row>
    <row r="50" spans="1:12" hidden="1" x14ac:dyDescent="0.25">
      <c r="A50" s="70" t="s">
        <v>747</v>
      </c>
      <c r="B50" s="70" t="s">
        <v>754</v>
      </c>
      <c r="C50" s="70" t="s">
        <v>755</v>
      </c>
      <c r="D50" s="70">
        <v>1512</v>
      </c>
      <c r="E50" s="70">
        <v>1</v>
      </c>
      <c r="F50" s="71">
        <v>95.36</v>
      </c>
      <c r="G50" s="71">
        <v>131.11000000000001</v>
      </c>
      <c r="H50" s="71">
        <v>95.36</v>
      </c>
      <c r="I50" s="71">
        <v>131.11000000000001</v>
      </c>
      <c r="J50" s="70" t="s">
        <v>480</v>
      </c>
      <c r="K50" s="70" t="s">
        <v>662</v>
      </c>
      <c r="L50" s="74">
        <v>46086</v>
      </c>
    </row>
    <row r="51" spans="1:12" hidden="1" x14ac:dyDescent="0.25">
      <c r="A51" s="70" t="s">
        <v>747</v>
      </c>
      <c r="B51" s="70" t="s">
        <v>756</v>
      </c>
      <c r="C51" s="70" t="s">
        <v>757</v>
      </c>
      <c r="D51" s="70">
        <v>1512</v>
      </c>
      <c r="E51" s="70">
        <v>1</v>
      </c>
      <c r="F51" s="71">
        <v>84.77</v>
      </c>
      <c r="G51" s="71">
        <v>126.61</v>
      </c>
      <c r="H51" s="71">
        <v>84.77</v>
      </c>
      <c r="I51" s="71">
        <v>126.61</v>
      </c>
      <c r="J51" s="70" t="s">
        <v>480</v>
      </c>
      <c r="K51" s="70" t="s">
        <v>662</v>
      </c>
      <c r="L51" s="74">
        <v>46086</v>
      </c>
    </row>
    <row r="52" spans="1:12" hidden="1" x14ac:dyDescent="0.25">
      <c r="A52" s="70" t="s">
        <v>747</v>
      </c>
      <c r="B52" s="70" t="s">
        <v>758</v>
      </c>
      <c r="C52" s="70" t="s">
        <v>759</v>
      </c>
      <c r="D52" s="70">
        <v>1512</v>
      </c>
      <c r="E52" s="70">
        <v>1</v>
      </c>
      <c r="F52" s="71">
        <v>86.47</v>
      </c>
      <c r="G52" s="71">
        <v>126.61</v>
      </c>
      <c r="H52" s="71">
        <v>86.47</v>
      </c>
      <c r="I52" s="71">
        <v>126.61</v>
      </c>
      <c r="J52" s="70" t="s">
        <v>480</v>
      </c>
      <c r="K52" s="70" t="s">
        <v>662</v>
      </c>
      <c r="L52" s="74">
        <v>46086</v>
      </c>
    </row>
    <row r="53" spans="1:12" hidden="1" x14ac:dyDescent="0.25">
      <c r="A53" s="70" t="s">
        <v>747</v>
      </c>
      <c r="B53" s="70" t="s">
        <v>760</v>
      </c>
      <c r="C53" s="70" t="s">
        <v>761</v>
      </c>
      <c r="D53" s="70">
        <v>1512</v>
      </c>
      <c r="E53" s="70">
        <v>1</v>
      </c>
      <c r="F53" s="71">
        <v>83.86</v>
      </c>
      <c r="G53" s="71">
        <v>119.06</v>
      </c>
      <c r="H53" s="71">
        <v>83.86</v>
      </c>
      <c r="I53" s="71">
        <v>119.06</v>
      </c>
      <c r="J53" s="70" t="s">
        <v>480</v>
      </c>
      <c r="K53" s="70" t="s">
        <v>662</v>
      </c>
      <c r="L53" s="74">
        <v>46086</v>
      </c>
    </row>
    <row r="54" spans="1:12" hidden="1" x14ac:dyDescent="0.25">
      <c r="A54" s="70" t="s">
        <v>747</v>
      </c>
      <c r="B54" s="70" t="s">
        <v>762</v>
      </c>
      <c r="C54" s="70" t="s">
        <v>763</v>
      </c>
      <c r="D54" s="70">
        <v>1512</v>
      </c>
      <c r="E54" s="70">
        <v>1</v>
      </c>
      <c r="F54" s="71">
        <v>59.83</v>
      </c>
      <c r="G54" s="71">
        <v>117.53</v>
      </c>
      <c r="H54" s="71">
        <v>59.83</v>
      </c>
      <c r="I54" s="71">
        <v>117.53</v>
      </c>
      <c r="J54" s="70" t="s">
        <v>480</v>
      </c>
      <c r="K54" s="70" t="s">
        <v>662</v>
      </c>
      <c r="L54" s="74">
        <v>46086</v>
      </c>
    </row>
    <row r="55" spans="1:12" hidden="1" x14ac:dyDescent="0.25">
      <c r="A55" s="70" t="s">
        <v>747</v>
      </c>
      <c r="B55" s="70" t="s">
        <v>764</v>
      </c>
      <c r="C55" s="70" t="s">
        <v>765</v>
      </c>
      <c r="D55" s="70">
        <v>1512</v>
      </c>
      <c r="E55" s="70">
        <v>4</v>
      </c>
      <c r="F55" s="71">
        <v>10.81</v>
      </c>
      <c r="G55" s="71">
        <v>21.42</v>
      </c>
      <c r="H55" s="71">
        <v>43.22</v>
      </c>
      <c r="I55" s="71">
        <v>85.68</v>
      </c>
      <c r="J55" s="70" t="s">
        <v>480</v>
      </c>
      <c r="K55" s="70" t="s">
        <v>662</v>
      </c>
      <c r="L55" s="74">
        <v>46086</v>
      </c>
    </row>
    <row r="56" spans="1:12" hidden="1" x14ac:dyDescent="0.25">
      <c r="A56" s="70" t="s">
        <v>747</v>
      </c>
      <c r="B56" s="70" t="s">
        <v>766</v>
      </c>
      <c r="C56" s="70" t="s">
        <v>767</v>
      </c>
      <c r="D56" s="70">
        <v>1512</v>
      </c>
      <c r="E56" s="70">
        <v>1</v>
      </c>
      <c r="F56" s="71">
        <v>33.6</v>
      </c>
      <c r="G56" s="71">
        <v>84.23</v>
      </c>
      <c r="H56" s="71">
        <v>33.6</v>
      </c>
      <c r="I56" s="71">
        <v>84.23</v>
      </c>
      <c r="J56" s="70" t="s">
        <v>480</v>
      </c>
      <c r="K56" s="70" t="s">
        <v>662</v>
      </c>
      <c r="L56" s="74">
        <v>46086</v>
      </c>
    </row>
    <row r="57" spans="1:12" hidden="1" x14ac:dyDescent="0.25">
      <c r="A57" s="70" t="s">
        <v>747</v>
      </c>
      <c r="B57" s="70" t="s">
        <v>768</v>
      </c>
      <c r="C57" s="70" t="s">
        <v>769</v>
      </c>
      <c r="D57" s="70">
        <v>1512</v>
      </c>
      <c r="E57" s="70">
        <v>1</v>
      </c>
      <c r="F57" s="71">
        <v>59.42</v>
      </c>
      <c r="G57" s="71">
        <v>84.13</v>
      </c>
      <c r="H57" s="71">
        <v>59.42</v>
      </c>
      <c r="I57" s="71">
        <v>84.13</v>
      </c>
      <c r="J57" s="70" t="s">
        <v>480</v>
      </c>
      <c r="K57" s="70" t="s">
        <v>662</v>
      </c>
      <c r="L57" s="74">
        <v>46086</v>
      </c>
    </row>
    <row r="58" spans="1:12" hidden="1" x14ac:dyDescent="0.25">
      <c r="A58" s="70" t="s">
        <v>747</v>
      </c>
      <c r="B58" s="70" t="s">
        <v>770</v>
      </c>
      <c r="C58" s="70" t="s">
        <v>771</v>
      </c>
      <c r="D58" s="70">
        <v>1512</v>
      </c>
      <c r="E58" s="70">
        <v>1</v>
      </c>
      <c r="F58" s="71">
        <v>57.38</v>
      </c>
      <c r="G58" s="71">
        <v>84.01</v>
      </c>
      <c r="H58" s="71">
        <v>57.38</v>
      </c>
      <c r="I58" s="71">
        <v>84.01</v>
      </c>
      <c r="J58" s="70" t="s">
        <v>480</v>
      </c>
      <c r="K58" s="70" t="s">
        <v>662</v>
      </c>
      <c r="L58" s="74">
        <v>46086</v>
      </c>
    </row>
    <row r="59" spans="1:12" hidden="1" x14ac:dyDescent="0.25">
      <c r="A59" s="70" t="s">
        <v>747</v>
      </c>
      <c r="B59" s="70" t="s">
        <v>772</v>
      </c>
      <c r="C59" s="70" t="s">
        <v>773</v>
      </c>
      <c r="D59" s="70">
        <v>1512</v>
      </c>
      <c r="E59" s="70">
        <v>1</v>
      </c>
      <c r="F59" s="71">
        <v>60.29</v>
      </c>
      <c r="G59" s="71">
        <v>83.92</v>
      </c>
      <c r="H59" s="71">
        <v>60.29</v>
      </c>
      <c r="I59" s="71">
        <v>83.92</v>
      </c>
      <c r="J59" s="70" t="s">
        <v>480</v>
      </c>
      <c r="K59" s="70" t="s">
        <v>662</v>
      </c>
      <c r="L59" s="74">
        <v>46086</v>
      </c>
    </row>
    <row r="60" spans="1:12" hidden="1" x14ac:dyDescent="0.25">
      <c r="A60" s="70" t="s">
        <v>747</v>
      </c>
      <c r="B60" s="70" t="s">
        <v>774</v>
      </c>
      <c r="C60" s="70" t="s">
        <v>775</v>
      </c>
      <c r="D60" s="70">
        <v>1512</v>
      </c>
      <c r="E60" s="70">
        <v>1</v>
      </c>
      <c r="F60" s="71">
        <v>51.46</v>
      </c>
      <c r="G60" s="71">
        <v>81.069999999999993</v>
      </c>
      <c r="H60" s="71">
        <v>51.46</v>
      </c>
      <c r="I60" s="71">
        <v>81.069999999999993</v>
      </c>
      <c r="J60" s="70" t="s">
        <v>480</v>
      </c>
      <c r="K60" s="70" t="s">
        <v>662</v>
      </c>
      <c r="L60" s="74">
        <v>46086</v>
      </c>
    </row>
    <row r="61" spans="1:12" hidden="1" x14ac:dyDescent="0.25">
      <c r="A61" s="70" t="s">
        <v>747</v>
      </c>
      <c r="B61" s="70" t="s">
        <v>776</v>
      </c>
      <c r="C61" s="70" t="s">
        <v>777</v>
      </c>
      <c r="D61" s="70">
        <v>1512</v>
      </c>
      <c r="E61" s="70">
        <v>1</v>
      </c>
      <c r="F61" s="71">
        <v>31.18</v>
      </c>
      <c r="G61" s="71">
        <v>79.5</v>
      </c>
      <c r="H61" s="71">
        <v>31.18</v>
      </c>
      <c r="I61" s="71">
        <v>79.5</v>
      </c>
      <c r="J61" s="70" t="s">
        <v>480</v>
      </c>
      <c r="K61" s="70" t="s">
        <v>662</v>
      </c>
      <c r="L61" s="74">
        <v>46086</v>
      </c>
    </row>
    <row r="62" spans="1:12" hidden="1" x14ac:dyDescent="0.25">
      <c r="A62" s="70" t="s">
        <v>747</v>
      </c>
      <c r="B62" s="70" t="s">
        <v>778</v>
      </c>
      <c r="C62" s="70" t="s">
        <v>779</v>
      </c>
      <c r="D62" s="70">
        <v>1512</v>
      </c>
      <c r="E62" s="70">
        <v>1</v>
      </c>
      <c r="F62" s="71">
        <v>26.5</v>
      </c>
      <c r="G62" s="71">
        <v>59.17</v>
      </c>
      <c r="H62" s="71">
        <v>26.5</v>
      </c>
      <c r="I62" s="71">
        <v>59.17</v>
      </c>
      <c r="J62" s="70" t="s">
        <v>480</v>
      </c>
      <c r="K62" s="70" t="s">
        <v>662</v>
      </c>
      <c r="L62" s="74">
        <v>46086</v>
      </c>
    </row>
    <row r="63" spans="1:12" hidden="1" x14ac:dyDescent="0.25">
      <c r="A63" s="70" t="s">
        <v>747</v>
      </c>
      <c r="B63" s="70" t="s">
        <v>780</v>
      </c>
      <c r="C63" s="70" t="s">
        <v>781</v>
      </c>
      <c r="D63" s="70">
        <v>1512</v>
      </c>
      <c r="E63" s="70">
        <v>1</v>
      </c>
      <c r="F63" s="71">
        <v>14.98</v>
      </c>
      <c r="G63" s="71">
        <v>54.32</v>
      </c>
      <c r="H63" s="71">
        <v>14.98</v>
      </c>
      <c r="I63" s="71">
        <v>54.32</v>
      </c>
      <c r="J63" s="70" t="s">
        <v>480</v>
      </c>
      <c r="K63" s="70" t="s">
        <v>662</v>
      </c>
      <c r="L63" s="74">
        <v>46086</v>
      </c>
    </row>
    <row r="64" spans="1:12" hidden="1" x14ac:dyDescent="0.25">
      <c r="A64" s="70" t="s">
        <v>747</v>
      </c>
      <c r="B64" s="70" t="s">
        <v>782</v>
      </c>
      <c r="C64" s="70" t="s">
        <v>783</v>
      </c>
      <c r="D64" s="70">
        <v>1512</v>
      </c>
      <c r="E64" s="70">
        <v>1</v>
      </c>
      <c r="F64" s="71">
        <v>22.21</v>
      </c>
      <c r="G64" s="71">
        <v>38.46</v>
      </c>
      <c r="H64" s="71">
        <v>22.21</v>
      </c>
      <c r="I64" s="71">
        <v>38.46</v>
      </c>
      <c r="J64" s="70" t="s">
        <v>480</v>
      </c>
      <c r="K64" s="70" t="s">
        <v>662</v>
      </c>
      <c r="L64" s="74">
        <v>46086</v>
      </c>
    </row>
    <row r="65" spans="1:12" hidden="1" x14ac:dyDescent="0.25">
      <c r="A65" s="70" t="s">
        <v>747</v>
      </c>
      <c r="B65" s="70" t="s">
        <v>784</v>
      </c>
      <c r="C65" s="70" t="s">
        <v>785</v>
      </c>
      <c r="D65" s="70">
        <v>1512</v>
      </c>
      <c r="E65" s="70">
        <v>1</v>
      </c>
      <c r="F65" s="71">
        <v>27.6</v>
      </c>
      <c r="G65" s="71">
        <v>37.950000000000003</v>
      </c>
      <c r="H65" s="71">
        <v>27.6</v>
      </c>
      <c r="I65" s="71">
        <v>37.950000000000003</v>
      </c>
      <c r="J65" s="70" t="s">
        <v>480</v>
      </c>
      <c r="K65" s="70" t="s">
        <v>662</v>
      </c>
      <c r="L65" s="74">
        <v>46086</v>
      </c>
    </row>
    <row r="66" spans="1:12" hidden="1" x14ac:dyDescent="0.25">
      <c r="A66" s="70" t="s">
        <v>747</v>
      </c>
      <c r="B66" s="70" t="s">
        <v>786</v>
      </c>
      <c r="C66" s="70" t="s">
        <v>787</v>
      </c>
      <c r="D66" s="70">
        <v>1512</v>
      </c>
      <c r="E66" s="70">
        <v>1</v>
      </c>
      <c r="F66" s="71">
        <v>25.59</v>
      </c>
      <c r="G66" s="71">
        <v>37.47</v>
      </c>
      <c r="H66" s="71">
        <v>25.59</v>
      </c>
      <c r="I66" s="71">
        <v>37.47</v>
      </c>
      <c r="J66" s="70" t="s">
        <v>480</v>
      </c>
      <c r="K66" s="70" t="s">
        <v>662</v>
      </c>
      <c r="L66" s="74">
        <v>46086</v>
      </c>
    </row>
    <row r="67" spans="1:12" hidden="1" x14ac:dyDescent="0.25">
      <c r="A67" s="70" t="s">
        <v>747</v>
      </c>
      <c r="B67" s="70" t="s">
        <v>788</v>
      </c>
      <c r="C67" s="70" t="s">
        <v>789</v>
      </c>
      <c r="D67" s="70">
        <v>1512</v>
      </c>
      <c r="E67" s="70">
        <v>1</v>
      </c>
      <c r="F67" s="71">
        <v>16.760000000000002</v>
      </c>
      <c r="G67" s="71">
        <v>33.119999999999997</v>
      </c>
      <c r="H67" s="71">
        <v>16.760000000000002</v>
      </c>
      <c r="I67" s="71">
        <v>33.119999999999997</v>
      </c>
      <c r="J67" s="70" t="s">
        <v>480</v>
      </c>
      <c r="K67" s="70" t="s">
        <v>662</v>
      </c>
      <c r="L67" s="74">
        <v>46086</v>
      </c>
    </row>
    <row r="68" spans="1:12" hidden="1" x14ac:dyDescent="0.25">
      <c r="A68" s="70" t="s">
        <v>747</v>
      </c>
      <c r="B68" s="70" t="s">
        <v>790</v>
      </c>
      <c r="C68" s="70" t="s">
        <v>791</v>
      </c>
      <c r="D68" s="70">
        <v>1512</v>
      </c>
      <c r="E68" s="70">
        <v>1</v>
      </c>
      <c r="F68" s="71">
        <v>14.16</v>
      </c>
      <c r="G68" s="71">
        <v>32.81</v>
      </c>
      <c r="H68" s="71">
        <v>14.16</v>
      </c>
      <c r="I68" s="71">
        <v>32.81</v>
      </c>
      <c r="J68" s="70" t="s">
        <v>480</v>
      </c>
      <c r="K68" s="70" t="s">
        <v>662</v>
      </c>
      <c r="L68" s="74">
        <v>46086</v>
      </c>
    </row>
    <row r="69" spans="1:12" hidden="1" x14ac:dyDescent="0.25">
      <c r="A69" s="70" t="s">
        <v>747</v>
      </c>
      <c r="B69" s="70" t="s">
        <v>792</v>
      </c>
      <c r="C69" s="70" t="s">
        <v>793</v>
      </c>
      <c r="D69" s="70">
        <v>1512</v>
      </c>
      <c r="E69" s="70">
        <v>1</v>
      </c>
      <c r="F69" s="71">
        <v>15.35</v>
      </c>
      <c r="G69" s="71">
        <v>32.51</v>
      </c>
      <c r="H69" s="71">
        <v>15.35</v>
      </c>
      <c r="I69" s="71">
        <v>32.51</v>
      </c>
      <c r="J69" s="70" t="s">
        <v>480</v>
      </c>
      <c r="K69" s="70" t="s">
        <v>662</v>
      </c>
      <c r="L69" s="74">
        <v>46086</v>
      </c>
    </row>
    <row r="70" spans="1:12" hidden="1" x14ac:dyDescent="0.25">
      <c r="A70" s="70" t="s">
        <v>747</v>
      </c>
      <c r="B70" s="70" t="s">
        <v>794</v>
      </c>
      <c r="C70" s="70" t="s">
        <v>795</v>
      </c>
      <c r="D70" s="70">
        <v>1512</v>
      </c>
      <c r="E70" s="70">
        <v>8</v>
      </c>
      <c r="F70" s="71">
        <v>2.2999999999999998</v>
      </c>
      <c r="G70" s="71">
        <v>3.78</v>
      </c>
      <c r="H70" s="71">
        <v>18.399999999999999</v>
      </c>
      <c r="I70" s="71">
        <v>30.24</v>
      </c>
      <c r="J70" s="70" t="s">
        <v>480</v>
      </c>
      <c r="K70" s="70" t="s">
        <v>662</v>
      </c>
      <c r="L70" s="74">
        <v>46086</v>
      </c>
    </row>
    <row r="71" spans="1:12" hidden="1" x14ac:dyDescent="0.25">
      <c r="A71" s="70" t="s">
        <v>747</v>
      </c>
      <c r="B71" s="70" t="s">
        <v>796</v>
      </c>
      <c r="C71" s="70" t="s">
        <v>797</v>
      </c>
      <c r="D71" s="70">
        <v>1512</v>
      </c>
      <c r="E71" s="70">
        <v>1</v>
      </c>
      <c r="F71" s="71">
        <v>26.5</v>
      </c>
      <c r="G71" s="71">
        <v>29.17</v>
      </c>
      <c r="H71" s="71">
        <v>26.5</v>
      </c>
      <c r="I71" s="71">
        <v>29.17</v>
      </c>
      <c r="J71" s="70" t="s">
        <v>480</v>
      </c>
      <c r="K71" s="70" t="s">
        <v>662</v>
      </c>
      <c r="L71" s="74">
        <v>46086</v>
      </c>
    </row>
    <row r="72" spans="1:12" hidden="1" x14ac:dyDescent="0.25">
      <c r="A72" s="70" t="s">
        <v>747</v>
      </c>
      <c r="B72" s="70" t="s">
        <v>798</v>
      </c>
      <c r="C72" s="70" t="s">
        <v>799</v>
      </c>
      <c r="D72" s="70">
        <v>1512</v>
      </c>
      <c r="E72" s="70">
        <v>1</v>
      </c>
      <c r="F72" s="71">
        <v>19.059999999999999</v>
      </c>
      <c r="G72" s="71">
        <v>27.92</v>
      </c>
      <c r="H72" s="71">
        <v>19.059999999999999</v>
      </c>
      <c r="I72" s="71">
        <v>27.92</v>
      </c>
      <c r="J72" s="70" t="s">
        <v>480</v>
      </c>
      <c r="K72" s="70" t="s">
        <v>662</v>
      </c>
      <c r="L72" s="74">
        <v>46086</v>
      </c>
    </row>
    <row r="73" spans="1:12" hidden="1" x14ac:dyDescent="0.25">
      <c r="A73" s="70" t="s">
        <v>747</v>
      </c>
      <c r="B73" s="70" t="s">
        <v>800</v>
      </c>
      <c r="C73" s="70" t="s">
        <v>801</v>
      </c>
      <c r="D73" s="70">
        <v>1512</v>
      </c>
      <c r="E73" s="70">
        <v>1</v>
      </c>
      <c r="F73" s="71">
        <v>9.77</v>
      </c>
      <c r="G73" s="71">
        <v>26.31</v>
      </c>
      <c r="H73" s="71">
        <v>9.77</v>
      </c>
      <c r="I73" s="71">
        <v>26.31</v>
      </c>
      <c r="J73" s="70" t="s">
        <v>480</v>
      </c>
      <c r="K73" s="70" t="s">
        <v>662</v>
      </c>
      <c r="L73" s="74">
        <v>46086</v>
      </c>
    </row>
    <row r="74" spans="1:12" hidden="1" x14ac:dyDescent="0.25">
      <c r="A74" s="70" t="s">
        <v>747</v>
      </c>
      <c r="B74" s="70" t="s">
        <v>802</v>
      </c>
      <c r="C74" s="70" t="s">
        <v>803</v>
      </c>
      <c r="D74" s="70">
        <v>1512</v>
      </c>
      <c r="E74" s="70">
        <v>1</v>
      </c>
      <c r="F74" s="71">
        <v>9.77</v>
      </c>
      <c r="G74" s="71">
        <v>24.75</v>
      </c>
      <c r="H74" s="71">
        <v>9.77</v>
      </c>
      <c r="I74" s="71">
        <v>24.75</v>
      </c>
      <c r="J74" s="70" t="s">
        <v>480</v>
      </c>
      <c r="K74" s="70" t="s">
        <v>662</v>
      </c>
      <c r="L74" s="74">
        <v>46086</v>
      </c>
    </row>
    <row r="75" spans="1:12" hidden="1" x14ac:dyDescent="0.25">
      <c r="A75" s="70" t="s">
        <v>747</v>
      </c>
      <c r="B75" s="70" t="s">
        <v>804</v>
      </c>
      <c r="C75" s="70" t="s">
        <v>805</v>
      </c>
      <c r="D75" s="70">
        <v>1512</v>
      </c>
      <c r="E75" s="70">
        <v>3</v>
      </c>
      <c r="F75" s="71">
        <v>3.5</v>
      </c>
      <c r="G75" s="71">
        <v>5.75</v>
      </c>
      <c r="H75" s="71">
        <v>10.5</v>
      </c>
      <c r="I75" s="71">
        <v>17.25</v>
      </c>
      <c r="J75" s="70" t="s">
        <v>480</v>
      </c>
      <c r="K75" s="70" t="s">
        <v>662</v>
      </c>
      <c r="L75" s="74">
        <v>46086</v>
      </c>
    </row>
    <row r="76" spans="1:12" hidden="1" x14ac:dyDescent="0.25">
      <c r="A76" s="70" t="s">
        <v>747</v>
      </c>
      <c r="B76" s="70" t="s">
        <v>806</v>
      </c>
      <c r="C76" s="70" t="s">
        <v>807</v>
      </c>
      <c r="D76" s="70">
        <v>1512</v>
      </c>
      <c r="E76" s="70">
        <v>2</v>
      </c>
      <c r="F76" s="71">
        <v>2.2999999999999998</v>
      </c>
      <c r="G76" s="71">
        <v>3.78</v>
      </c>
      <c r="H76" s="71">
        <v>4.5999999999999996</v>
      </c>
      <c r="I76" s="71">
        <v>7.56</v>
      </c>
      <c r="J76" s="70" t="s">
        <v>480</v>
      </c>
      <c r="K76" s="70" t="s">
        <v>662</v>
      </c>
      <c r="L76" s="74">
        <v>46086</v>
      </c>
    </row>
    <row r="77" spans="1:12" hidden="1" x14ac:dyDescent="0.25">
      <c r="A77" s="70" t="s">
        <v>747</v>
      </c>
      <c r="B77" s="70" t="s">
        <v>808</v>
      </c>
      <c r="C77" s="70" t="s">
        <v>809</v>
      </c>
      <c r="D77" s="70">
        <v>1512</v>
      </c>
      <c r="E77" s="70">
        <v>1</v>
      </c>
      <c r="F77" s="71">
        <v>2.09</v>
      </c>
      <c r="G77" s="71">
        <v>4.9400000000000004</v>
      </c>
      <c r="H77" s="71">
        <v>2.09</v>
      </c>
      <c r="I77" s="71">
        <v>4.9400000000000004</v>
      </c>
      <c r="J77" s="70" t="s">
        <v>480</v>
      </c>
      <c r="K77" s="70" t="s">
        <v>662</v>
      </c>
      <c r="L77" s="74">
        <v>46086</v>
      </c>
    </row>
    <row r="78" spans="1:12" hidden="1" x14ac:dyDescent="0.25">
      <c r="A78" s="70" t="s">
        <v>747</v>
      </c>
      <c r="B78" s="70" t="s">
        <v>810</v>
      </c>
      <c r="C78" s="70" t="s">
        <v>811</v>
      </c>
      <c r="D78" s="70">
        <v>1512</v>
      </c>
      <c r="E78" s="70">
        <v>1</v>
      </c>
      <c r="F78" s="71">
        <v>2.2999999999999998</v>
      </c>
      <c r="G78" s="71">
        <v>3.78</v>
      </c>
      <c r="H78" s="71">
        <v>2.2999999999999998</v>
      </c>
      <c r="I78" s="71">
        <v>3.78</v>
      </c>
      <c r="J78" s="70" t="s">
        <v>480</v>
      </c>
      <c r="K78" s="70" t="s">
        <v>662</v>
      </c>
      <c r="L78" s="74">
        <v>46086</v>
      </c>
    </row>
    <row r="79" spans="1:12" hidden="1" x14ac:dyDescent="0.25">
      <c r="A79" s="70" t="s">
        <v>747</v>
      </c>
      <c r="B79" s="70" t="s">
        <v>812</v>
      </c>
      <c r="C79" s="70" t="s">
        <v>813</v>
      </c>
      <c r="D79" s="70">
        <v>1512</v>
      </c>
      <c r="E79" s="70">
        <v>1</v>
      </c>
      <c r="F79" s="71">
        <v>1.8</v>
      </c>
      <c r="G79" s="71">
        <v>2.96</v>
      </c>
      <c r="H79" s="71">
        <v>1.8</v>
      </c>
      <c r="I79" s="71">
        <v>2.96</v>
      </c>
      <c r="J79" s="70" t="s">
        <v>480</v>
      </c>
      <c r="K79" s="70" t="s">
        <v>662</v>
      </c>
      <c r="L79" s="74">
        <v>46086</v>
      </c>
    </row>
    <row r="80" spans="1:12" hidden="1" x14ac:dyDescent="0.25">
      <c r="A80" s="70" t="s">
        <v>747</v>
      </c>
      <c r="B80" s="70" t="s">
        <v>814</v>
      </c>
      <c r="C80" s="70" t="s">
        <v>815</v>
      </c>
      <c r="D80" s="70">
        <v>1512</v>
      </c>
      <c r="E80" s="70">
        <v>1</v>
      </c>
      <c r="F80" s="71">
        <v>0.31</v>
      </c>
      <c r="G80" s="71">
        <v>0.69</v>
      </c>
      <c r="H80" s="71">
        <v>0.31</v>
      </c>
      <c r="I80" s="71">
        <v>0.69</v>
      </c>
      <c r="J80" s="70" t="s">
        <v>480</v>
      </c>
      <c r="K80" s="70" t="s">
        <v>662</v>
      </c>
      <c r="L80" s="74">
        <v>46086</v>
      </c>
    </row>
    <row r="81" spans="1:12" hidden="1" x14ac:dyDescent="0.25">
      <c r="A81" s="70" t="s">
        <v>816</v>
      </c>
      <c r="B81" s="70" t="s">
        <v>817</v>
      </c>
      <c r="C81" s="70" t="s">
        <v>818</v>
      </c>
      <c r="D81" s="70">
        <v>1512</v>
      </c>
      <c r="E81" s="70">
        <v>1</v>
      </c>
      <c r="F81" s="71">
        <v>98.07</v>
      </c>
      <c r="G81" s="71">
        <v>149.49</v>
      </c>
      <c r="H81" s="71">
        <v>98.07</v>
      </c>
      <c r="I81" s="71">
        <v>149.49</v>
      </c>
      <c r="J81" s="70" t="s">
        <v>480</v>
      </c>
      <c r="K81" s="70" t="s">
        <v>662</v>
      </c>
      <c r="L81" s="74">
        <v>46086</v>
      </c>
    </row>
    <row r="82" spans="1:12" hidden="1" x14ac:dyDescent="0.25">
      <c r="A82" s="70" t="s">
        <v>819</v>
      </c>
      <c r="B82" s="70" t="s">
        <v>820</v>
      </c>
      <c r="C82" s="70" t="s">
        <v>821</v>
      </c>
      <c r="D82" s="70">
        <v>1512</v>
      </c>
      <c r="E82" s="70">
        <v>-1</v>
      </c>
      <c r="F82" s="71">
        <v>167.08</v>
      </c>
      <c r="G82" s="71">
        <v>244.64</v>
      </c>
      <c r="H82" s="71">
        <v>-167.08</v>
      </c>
      <c r="I82" s="71">
        <v>-244.64</v>
      </c>
      <c r="J82" s="70" t="s">
        <v>480</v>
      </c>
      <c r="K82" s="70" t="s">
        <v>662</v>
      </c>
      <c r="L82" s="74">
        <v>46086</v>
      </c>
    </row>
    <row r="83" spans="1:12" hidden="1" x14ac:dyDescent="0.25">
      <c r="A83" s="70" t="s">
        <v>816</v>
      </c>
      <c r="B83" s="70" t="s">
        <v>822</v>
      </c>
      <c r="C83" s="70" t="s">
        <v>823</v>
      </c>
      <c r="D83" s="70">
        <v>1512</v>
      </c>
      <c r="E83" s="70">
        <v>1</v>
      </c>
      <c r="F83" s="71">
        <v>78.34</v>
      </c>
      <c r="G83" s="71">
        <v>146.91</v>
      </c>
      <c r="H83" s="71">
        <v>78.34</v>
      </c>
      <c r="I83" s="71">
        <v>146.91</v>
      </c>
      <c r="J83" s="70" t="s">
        <v>480</v>
      </c>
      <c r="K83" s="70" t="s">
        <v>662</v>
      </c>
      <c r="L83" s="74">
        <v>46086</v>
      </c>
    </row>
    <row r="84" spans="1:12" hidden="1" x14ac:dyDescent="0.25">
      <c r="A84" s="70" t="s">
        <v>819</v>
      </c>
      <c r="B84" s="70" t="s">
        <v>824</v>
      </c>
      <c r="C84" s="70" t="s">
        <v>825</v>
      </c>
      <c r="D84" s="70">
        <v>1512</v>
      </c>
      <c r="E84" s="70">
        <v>-1</v>
      </c>
      <c r="F84" s="71">
        <v>80.319999999999993</v>
      </c>
      <c r="G84" s="71">
        <v>150.19</v>
      </c>
      <c r="H84" s="71">
        <v>-80.319999999999993</v>
      </c>
      <c r="I84" s="71">
        <v>-150.19</v>
      </c>
      <c r="J84" s="70" t="s">
        <v>480</v>
      </c>
      <c r="K84" s="70" t="s">
        <v>662</v>
      </c>
      <c r="L84" s="74">
        <v>46086</v>
      </c>
    </row>
    <row r="85" spans="1:12" hidden="1" x14ac:dyDescent="0.25">
      <c r="A85" s="70" t="s">
        <v>816</v>
      </c>
      <c r="B85" s="70" t="s">
        <v>826</v>
      </c>
      <c r="C85" s="70" t="s">
        <v>827</v>
      </c>
      <c r="D85" s="70">
        <v>1512</v>
      </c>
      <c r="E85" s="70">
        <v>1</v>
      </c>
      <c r="F85" s="71">
        <v>66.650000000000006</v>
      </c>
      <c r="G85" s="71">
        <v>126.48</v>
      </c>
      <c r="H85" s="71">
        <v>66.650000000000006</v>
      </c>
      <c r="I85" s="71">
        <v>126.48</v>
      </c>
      <c r="J85" s="70" t="s">
        <v>480</v>
      </c>
      <c r="K85" s="70" t="s">
        <v>662</v>
      </c>
      <c r="L85" s="74">
        <v>46086</v>
      </c>
    </row>
    <row r="86" spans="1:12" hidden="1" x14ac:dyDescent="0.25">
      <c r="A86" s="70" t="s">
        <v>819</v>
      </c>
      <c r="B86" s="70" t="s">
        <v>828</v>
      </c>
      <c r="C86" s="70" t="s">
        <v>829</v>
      </c>
      <c r="D86" s="70">
        <v>1512</v>
      </c>
      <c r="E86" s="70">
        <v>-1</v>
      </c>
      <c r="F86" s="71">
        <v>66.650000000000006</v>
      </c>
      <c r="G86" s="71">
        <v>126.48</v>
      </c>
      <c r="H86" s="71">
        <v>-66.650000000000006</v>
      </c>
      <c r="I86" s="71">
        <v>-126.48</v>
      </c>
      <c r="J86" s="70" t="s">
        <v>480</v>
      </c>
      <c r="K86" s="70" t="s">
        <v>662</v>
      </c>
      <c r="L86" s="74">
        <v>46086</v>
      </c>
    </row>
    <row r="87" spans="1:12" hidden="1" x14ac:dyDescent="0.25">
      <c r="A87" s="70" t="s">
        <v>816</v>
      </c>
      <c r="B87" s="70" t="s">
        <v>830</v>
      </c>
      <c r="C87" s="70" t="s">
        <v>831</v>
      </c>
      <c r="D87" s="70">
        <v>1512</v>
      </c>
      <c r="E87" s="70">
        <v>1</v>
      </c>
      <c r="F87" s="71">
        <v>30.03</v>
      </c>
      <c r="G87" s="71">
        <v>84.81</v>
      </c>
      <c r="H87" s="71">
        <v>30.03</v>
      </c>
      <c r="I87" s="71">
        <v>84.81</v>
      </c>
      <c r="J87" s="70" t="s">
        <v>480</v>
      </c>
      <c r="K87" s="70" t="s">
        <v>662</v>
      </c>
      <c r="L87" s="74">
        <v>46086</v>
      </c>
    </row>
    <row r="88" spans="1:12" hidden="1" x14ac:dyDescent="0.25">
      <c r="A88" s="70" t="s">
        <v>819</v>
      </c>
      <c r="B88" s="70" t="s">
        <v>832</v>
      </c>
      <c r="C88" s="70" t="s">
        <v>833</v>
      </c>
      <c r="D88" s="70">
        <v>1512</v>
      </c>
      <c r="E88" s="70">
        <v>-1</v>
      </c>
      <c r="F88" s="71">
        <v>30.07</v>
      </c>
      <c r="G88" s="71">
        <v>84.81</v>
      </c>
      <c r="H88" s="71">
        <v>-30.07</v>
      </c>
      <c r="I88" s="71">
        <v>-84.81</v>
      </c>
      <c r="J88" s="70" t="s">
        <v>480</v>
      </c>
      <c r="K88" s="70" t="s">
        <v>662</v>
      </c>
      <c r="L88" s="74">
        <v>46086</v>
      </c>
    </row>
    <row r="89" spans="1:12" hidden="1" x14ac:dyDescent="0.25">
      <c r="A89" s="70" t="s">
        <v>816</v>
      </c>
      <c r="B89" s="70" t="s">
        <v>834</v>
      </c>
      <c r="C89" s="70" t="s">
        <v>835</v>
      </c>
      <c r="D89" s="70">
        <v>1512</v>
      </c>
      <c r="E89" s="70">
        <v>1</v>
      </c>
      <c r="F89" s="71">
        <v>98.7</v>
      </c>
      <c r="G89" s="71">
        <v>142.97999999999999</v>
      </c>
      <c r="H89" s="71">
        <v>98.7</v>
      </c>
      <c r="I89" s="71">
        <v>142.97999999999999</v>
      </c>
      <c r="J89" s="70" t="s">
        <v>480</v>
      </c>
      <c r="K89" s="70" t="s">
        <v>662</v>
      </c>
      <c r="L89" s="74">
        <v>46086</v>
      </c>
    </row>
    <row r="90" spans="1:12" hidden="1" x14ac:dyDescent="0.25">
      <c r="A90" s="70" t="s">
        <v>819</v>
      </c>
      <c r="B90" s="70" t="s">
        <v>836</v>
      </c>
      <c r="C90" s="70" t="s">
        <v>837</v>
      </c>
      <c r="D90" s="70">
        <v>1512</v>
      </c>
      <c r="E90" s="70">
        <v>-1</v>
      </c>
      <c r="F90" s="71">
        <v>64.73</v>
      </c>
      <c r="G90" s="71">
        <v>82.03</v>
      </c>
      <c r="H90" s="71">
        <v>-64.73</v>
      </c>
      <c r="I90" s="71">
        <v>-82.03</v>
      </c>
      <c r="J90" s="70" t="s">
        <v>480</v>
      </c>
      <c r="K90" s="70" t="s">
        <v>662</v>
      </c>
      <c r="L90" s="74">
        <v>46086</v>
      </c>
    </row>
    <row r="91" spans="1:12" hidden="1" x14ac:dyDescent="0.25">
      <c r="A91" s="70" t="s">
        <v>816</v>
      </c>
      <c r="B91" s="70" t="s">
        <v>838</v>
      </c>
      <c r="C91" s="70" t="s">
        <v>839</v>
      </c>
      <c r="D91" s="70">
        <v>1512</v>
      </c>
      <c r="E91" s="70">
        <v>1</v>
      </c>
      <c r="F91" s="71">
        <v>31.95</v>
      </c>
      <c r="G91" s="71">
        <v>88.51</v>
      </c>
      <c r="H91" s="71">
        <v>31.95</v>
      </c>
      <c r="I91" s="71">
        <v>88.51</v>
      </c>
      <c r="J91" s="70" t="s">
        <v>480</v>
      </c>
      <c r="K91" s="70" t="s">
        <v>662</v>
      </c>
      <c r="L91" s="74">
        <v>46086</v>
      </c>
    </row>
    <row r="92" spans="1:12" hidden="1" x14ac:dyDescent="0.25">
      <c r="A92" s="70" t="s">
        <v>819</v>
      </c>
      <c r="B92" s="70" t="s">
        <v>840</v>
      </c>
      <c r="C92" s="70" t="s">
        <v>841</v>
      </c>
      <c r="D92" s="70">
        <v>1512</v>
      </c>
      <c r="E92" s="70">
        <v>-1</v>
      </c>
      <c r="F92" s="71">
        <v>31.94</v>
      </c>
      <c r="G92" s="71">
        <v>79.88</v>
      </c>
      <c r="H92" s="71">
        <v>-31.94</v>
      </c>
      <c r="I92" s="71">
        <v>-79.88</v>
      </c>
      <c r="J92" s="70" t="s">
        <v>480</v>
      </c>
      <c r="K92" s="70" t="s">
        <v>662</v>
      </c>
      <c r="L92" s="74">
        <v>46086</v>
      </c>
    </row>
    <row r="93" spans="1:12" hidden="1" x14ac:dyDescent="0.25">
      <c r="A93" s="70" t="s">
        <v>816</v>
      </c>
      <c r="B93" s="70" t="s">
        <v>842</v>
      </c>
      <c r="C93" s="70" t="s">
        <v>843</v>
      </c>
      <c r="D93" s="70">
        <v>1512</v>
      </c>
      <c r="E93" s="70">
        <v>2</v>
      </c>
      <c r="F93" s="71">
        <v>18.579999999999998</v>
      </c>
      <c r="G93" s="71">
        <v>40.380000000000003</v>
      </c>
      <c r="H93" s="71">
        <v>37.15</v>
      </c>
      <c r="I93" s="71">
        <v>80.760000000000005</v>
      </c>
      <c r="J93" s="70" t="s">
        <v>480</v>
      </c>
      <c r="K93" s="70" t="s">
        <v>662</v>
      </c>
      <c r="L93" s="74">
        <v>46086</v>
      </c>
    </row>
    <row r="94" spans="1:12" hidden="1" x14ac:dyDescent="0.25">
      <c r="A94" s="70" t="s">
        <v>819</v>
      </c>
      <c r="B94" s="70" t="s">
        <v>844</v>
      </c>
      <c r="C94" s="70" t="s">
        <v>845</v>
      </c>
      <c r="D94" s="70">
        <v>1512</v>
      </c>
      <c r="E94" s="70">
        <v>-2</v>
      </c>
      <c r="F94" s="71">
        <v>17.579999999999998</v>
      </c>
      <c r="G94" s="71">
        <v>38.21</v>
      </c>
      <c r="H94" s="71">
        <v>-35.15</v>
      </c>
      <c r="I94" s="71">
        <v>-76.42</v>
      </c>
      <c r="J94" s="70" t="s">
        <v>480</v>
      </c>
      <c r="K94" s="70" t="s">
        <v>662</v>
      </c>
      <c r="L94" s="74">
        <v>46086</v>
      </c>
    </row>
    <row r="95" spans="1:12" hidden="1" x14ac:dyDescent="0.25">
      <c r="A95" s="70" t="s">
        <v>816</v>
      </c>
      <c r="B95" s="70" t="s">
        <v>846</v>
      </c>
      <c r="C95" s="70" t="s">
        <v>847</v>
      </c>
      <c r="D95" s="70">
        <v>1512</v>
      </c>
      <c r="E95" s="70">
        <v>1</v>
      </c>
      <c r="F95" s="71">
        <v>28.43</v>
      </c>
      <c r="G95" s="71">
        <v>69.819999999999993</v>
      </c>
      <c r="H95" s="71">
        <v>28.43</v>
      </c>
      <c r="I95" s="71">
        <v>69.819999999999993</v>
      </c>
      <c r="J95" s="70" t="s">
        <v>480</v>
      </c>
      <c r="K95" s="70" t="s">
        <v>662</v>
      </c>
      <c r="L95" s="74">
        <v>46086</v>
      </c>
    </row>
    <row r="96" spans="1:12" hidden="1" x14ac:dyDescent="0.25">
      <c r="A96" s="70" t="s">
        <v>819</v>
      </c>
      <c r="B96" s="70" t="s">
        <v>848</v>
      </c>
      <c r="C96" s="70" t="s">
        <v>849</v>
      </c>
      <c r="D96" s="70">
        <v>1512</v>
      </c>
      <c r="E96" s="70">
        <v>-1</v>
      </c>
      <c r="F96" s="71">
        <v>28.43</v>
      </c>
      <c r="G96" s="71">
        <v>69.819999999999993</v>
      </c>
      <c r="H96" s="71">
        <v>-28.43</v>
      </c>
      <c r="I96" s="71">
        <v>-69.819999999999993</v>
      </c>
      <c r="J96" s="70" t="s">
        <v>480</v>
      </c>
      <c r="K96" s="70" t="s">
        <v>662</v>
      </c>
      <c r="L96" s="74">
        <v>46086</v>
      </c>
    </row>
    <row r="97" spans="1:12" hidden="1" x14ac:dyDescent="0.25">
      <c r="A97" s="70" t="s">
        <v>816</v>
      </c>
      <c r="B97" s="70" t="s">
        <v>850</v>
      </c>
      <c r="C97" s="70" t="s">
        <v>851</v>
      </c>
      <c r="D97" s="70">
        <v>1512</v>
      </c>
      <c r="E97" s="70">
        <v>1</v>
      </c>
      <c r="F97" s="71">
        <v>93.77</v>
      </c>
      <c r="G97" s="71">
        <v>128.93</v>
      </c>
      <c r="H97" s="71">
        <v>93.77</v>
      </c>
      <c r="I97" s="71">
        <v>128.93</v>
      </c>
      <c r="J97" s="70" t="s">
        <v>480</v>
      </c>
      <c r="K97" s="70" t="s">
        <v>662</v>
      </c>
      <c r="L97" s="74">
        <v>46086</v>
      </c>
    </row>
    <row r="98" spans="1:12" hidden="1" x14ac:dyDescent="0.25">
      <c r="A98" s="70" t="s">
        <v>819</v>
      </c>
      <c r="B98" s="70" t="s">
        <v>852</v>
      </c>
      <c r="C98" s="70" t="s">
        <v>853</v>
      </c>
      <c r="D98" s="70">
        <v>1512</v>
      </c>
      <c r="E98" s="70">
        <v>-1</v>
      </c>
      <c r="F98" s="71">
        <v>24.68</v>
      </c>
      <c r="G98" s="71">
        <v>55.34</v>
      </c>
      <c r="H98" s="71">
        <v>-24.68</v>
      </c>
      <c r="I98" s="71">
        <v>-55.34</v>
      </c>
      <c r="J98" s="70" t="s">
        <v>480</v>
      </c>
      <c r="K98" s="70" t="s">
        <v>662</v>
      </c>
      <c r="L98" s="74">
        <v>46086</v>
      </c>
    </row>
    <row r="99" spans="1:12" hidden="1" x14ac:dyDescent="0.25">
      <c r="A99" s="70" t="s">
        <v>816</v>
      </c>
      <c r="B99" s="70" t="s">
        <v>854</v>
      </c>
      <c r="C99" s="70" t="s">
        <v>855</v>
      </c>
      <c r="D99" s="70">
        <v>1512</v>
      </c>
      <c r="E99" s="70">
        <v>1</v>
      </c>
      <c r="F99" s="71">
        <v>19.57</v>
      </c>
      <c r="G99" s="71">
        <v>51.14</v>
      </c>
      <c r="H99" s="71">
        <v>19.57</v>
      </c>
      <c r="I99" s="71">
        <v>51.14</v>
      </c>
      <c r="J99" s="70" t="s">
        <v>480</v>
      </c>
      <c r="K99" s="70" t="s">
        <v>662</v>
      </c>
      <c r="L99" s="74">
        <v>46086</v>
      </c>
    </row>
    <row r="100" spans="1:12" hidden="1" x14ac:dyDescent="0.25">
      <c r="A100" s="70" t="s">
        <v>819</v>
      </c>
      <c r="B100" s="70" t="s">
        <v>856</v>
      </c>
      <c r="C100" s="70" t="s">
        <v>857</v>
      </c>
      <c r="D100" s="70">
        <v>1512</v>
      </c>
      <c r="E100" s="70">
        <v>-1</v>
      </c>
      <c r="F100" s="71">
        <v>19.57</v>
      </c>
      <c r="G100" s="71">
        <v>51.14</v>
      </c>
      <c r="H100" s="71">
        <v>-19.57</v>
      </c>
      <c r="I100" s="71">
        <v>-51.14</v>
      </c>
      <c r="J100" s="70" t="s">
        <v>480</v>
      </c>
      <c r="K100" s="70" t="s">
        <v>662</v>
      </c>
      <c r="L100" s="74">
        <v>46086</v>
      </c>
    </row>
    <row r="101" spans="1:12" hidden="1" x14ac:dyDescent="0.25">
      <c r="A101" s="70" t="s">
        <v>816</v>
      </c>
      <c r="B101" s="70" t="s">
        <v>858</v>
      </c>
      <c r="C101" s="70" t="s">
        <v>859</v>
      </c>
      <c r="D101" s="70">
        <v>1512</v>
      </c>
      <c r="E101" s="70">
        <v>1</v>
      </c>
      <c r="F101" s="71">
        <v>36.18</v>
      </c>
      <c r="G101" s="71">
        <v>50.36</v>
      </c>
      <c r="H101" s="71">
        <v>36.18</v>
      </c>
      <c r="I101" s="71">
        <v>50.36</v>
      </c>
      <c r="J101" s="70" t="s">
        <v>480</v>
      </c>
      <c r="K101" s="70" t="s">
        <v>662</v>
      </c>
      <c r="L101" s="74">
        <v>46086</v>
      </c>
    </row>
    <row r="102" spans="1:12" hidden="1" x14ac:dyDescent="0.25">
      <c r="A102" s="70" t="s">
        <v>819</v>
      </c>
      <c r="B102" s="70" t="s">
        <v>860</v>
      </c>
      <c r="C102" s="70" t="s">
        <v>861</v>
      </c>
      <c r="D102" s="70">
        <v>1512</v>
      </c>
      <c r="E102" s="70">
        <v>-1</v>
      </c>
      <c r="F102" s="71">
        <v>28</v>
      </c>
      <c r="G102" s="71">
        <v>41</v>
      </c>
      <c r="H102" s="71">
        <v>-28</v>
      </c>
      <c r="I102" s="71">
        <v>-41</v>
      </c>
      <c r="J102" s="70" t="s">
        <v>480</v>
      </c>
      <c r="K102" s="70" t="s">
        <v>662</v>
      </c>
      <c r="L102" s="74">
        <v>46086</v>
      </c>
    </row>
    <row r="103" spans="1:12" hidden="1" x14ac:dyDescent="0.25">
      <c r="A103" s="70" t="s">
        <v>816</v>
      </c>
      <c r="B103" s="70" t="s">
        <v>862</v>
      </c>
      <c r="C103" s="70" t="s">
        <v>863</v>
      </c>
      <c r="D103" s="70">
        <v>1512</v>
      </c>
      <c r="E103" s="70">
        <v>1</v>
      </c>
      <c r="F103" s="71">
        <v>9.07</v>
      </c>
      <c r="G103" s="71">
        <v>22.46</v>
      </c>
      <c r="H103" s="71">
        <v>9.07</v>
      </c>
      <c r="I103" s="71">
        <v>22.46</v>
      </c>
      <c r="J103" s="70" t="s">
        <v>480</v>
      </c>
      <c r="K103" s="70" t="s">
        <v>662</v>
      </c>
      <c r="L103" s="74">
        <v>46086</v>
      </c>
    </row>
    <row r="104" spans="1:12" hidden="1" x14ac:dyDescent="0.25">
      <c r="A104" s="70" t="s">
        <v>819</v>
      </c>
      <c r="B104" s="70" t="s">
        <v>864</v>
      </c>
      <c r="C104" s="70" t="s">
        <v>865</v>
      </c>
      <c r="D104" s="70">
        <v>1512</v>
      </c>
      <c r="E104" s="70">
        <v>-1</v>
      </c>
      <c r="F104" s="71">
        <v>12.5</v>
      </c>
      <c r="G104" s="71">
        <v>30.94</v>
      </c>
      <c r="H104" s="71">
        <v>-12.5</v>
      </c>
      <c r="I104" s="71">
        <v>-30.94</v>
      </c>
      <c r="J104" s="70" t="s">
        <v>480</v>
      </c>
      <c r="K104" s="70" t="s">
        <v>662</v>
      </c>
      <c r="L104" s="74">
        <v>46086</v>
      </c>
    </row>
    <row r="105" spans="1:12" hidden="1" x14ac:dyDescent="0.25">
      <c r="A105" s="70" t="s">
        <v>816</v>
      </c>
      <c r="B105" s="70" t="s">
        <v>866</v>
      </c>
      <c r="C105" s="70" t="s">
        <v>867</v>
      </c>
      <c r="D105" s="70">
        <v>1512</v>
      </c>
      <c r="E105" s="70">
        <v>1</v>
      </c>
      <c r="F105" s="71">
        <v>28.34</v>
      </c>
      <c r="G105" s="71">
        <v>38.97</v>
      </c>
      <c r="H105" s="71">
        <v>28.34</v>
      </c>
      <c r="I105" s="71">
        <v>38.97</v>
      </c>
      <c r="J105" s="70" t="s">
        <v>480</v>
      </c>
      <c r="K105" s="70" t="s">
        <v>662</v>
      </c>
      <c r="L105" s="74">
        <v>46086</v>
      </c>
    </row>
    <row r="106" spans="1:12" hidden="1" x14ac:dyDescent="0.25">
      <c r="A106" s="70" t="s">
        <v>819</v>
      </c>
      <c r="B106" s="70" t="s">
        <v>868</v>
      </c>
      <c r="C106" s="70" t="s">
        <v>869</v>
      </c>
      <c r="D106" s="70">
        <v>1512</v>
      </c>
      <c r="E106" s="70">
        <v>-1</v>
      </c>
      <c r="F106" s="71">
        <v>19.399999999999999</v>
      </c>
      <c r="G106" s="71">
        <v>29.68</v>
      </c>
      <c r="H106" s="71">
        <v>-19.399999999999999</v>
      </c>
      <c r="I106" s="71">
        <v>-29.68</v>
      </c>
      <c r="J106" s="70" t="s">
        <v>480</v>
      </c>
      <c r="K106" s="70" t="s">
        <v>662</v>
      </c>
      <c r="L106" s="74">
        <v>46086</v>
      </c>
    </row>
    <row r="107" spans="1:12" hidden="1" x14ac:dyDescent="0.25">
      <c r="A107" s="70" t="s">
        <v>816</v>
      </c>
      <c r="B107" s="70" t="s">
        <v>870</v>
      </c>
      <c r="C107" s="70" t="s">
        <v>871</v>
      </c>
      <c r="D107" s="70">
        <v>1512</v>
      </c>
      <c r="E107" s="70">
        <v>1</v>
      </c>
      <c r="F107" s="71">
        <v>17.07</v>
      </c>
      <c r="G107" s="71">
        <v>24.05</v>
      </c>
      <c r="H107" s="71">
        <v>17.07</v>
      </c>
      <c r="I107" s="71">
        <v>24.05</v>
      </c>
      <c r="J107" s="70" t="s">
        <v>480</v>
      </c>
      <c r="K107" s="70" t="s">
        <v>662</v>
      </c>
      <c r="L107" s="74">
        <v>46086</v>
      </c>
    </row>
    <row r="108" spans="1:12" hidden="1" x14ac:dyDescent="0.25">
      <c r="A108" s="70" t="s">
        <v>819</v>
      </c>
      <c r="B108" s="70" t="s">
        <v>872</v>
      </c>
      <c r="C108" s="70" t="s">
        <v>873</v>
      </c>
      <c r="D108" s="70">
        <v>1512</v>
      </c>
      <c r="E108" s="70">
        <v>-1</v>
      </c>
      <c r="F108" s="71">
        <v>8.0399999999999991</v>
      </c>
      <c r="G108" s="71">
        <v>28.11</v>
      </c>
      <c r="H108" s="71">
        <v>-8.0399999999999991</v>
      </c>
      <c r="I108" s="71">
        <v>-28.11</v>
      </c>
      <c r="J108" s="70" t="s">
        <v>480</v>
      </c>
      <c r="K108" s="70" t="s">
        <v>662</v>
      </c>
      <c r="L108" s="74">
        <v>46086</v>
      </c>
    </row>
    <row r="109" spans="1:12" hidden="1" x14ac:dyDescent="0.25">
      <c r="A109" s="70" t="s">
        <v>874</v>
      </c>
      <c r="B109" s="70" t="s">
        <v>875</v>
      </c>
      <c r="C109" s="70" t="s">
        <v>876</v>
      </c>
      <c r="D109" s="70">
        <v>1512</v>
      </c>
      <c r="E109" s="70">
        <v>-5</v>
      </c>
      <c r="F109" s="71"/>
      <c r="G109" s="71"/>
      <c r="H109" s="71">
        <v>-180.85</v>
      </c>
      <c r="I109" s="71">
        <v>-259.5</v>
      </c>
      <c r="J109" s="70" t="s">
        <v>480</v>
      </c>
      <c r="K109" s="70" t="s">
        <v>662</v>
      </c>
      <c r="L109" s="74">
        <v>46086</v>
      </c>
    </row>
    <row r="110" spans="1:12" hidden="1" x14ac:dyDescent="0.25">
      <c r="A110" s="70" t="s">
        <v>877</v>
      </c>
      <c r="B110" s="70" t="s">
        <v>878</v>
      </c>
      <c r="C110" s="70" t="s">
        <v>879</v>
      </c>
      <c r="D110" s="70">
        <v>1510</v>
      </c>
      <c r="E110" s="70">
        <v>-1</v>
      </c>
      <c r="F110" s="71">
        <v>4.5731999999999999</v>
      </c>
      <c r="G110" s="71">
        <v>6.6965000000000003</v>
      </c>
      <c r="H110" s="71">
        <v>-4.5731999999999999</v>
      </c>
      <c r="I110" s="71">
        <v>-6.6965000000000003</v>
      </c>
      <c r="J110" s="70" t="s">
        <v>518</v>
      </c>
      <c r="K110" s="70" t="s">
        <v>48</v>
      </c>
      <c r="L110" s="74">
        <v>46122</v>
      </c>
    </row>
    <row r="111" spans="1:12" hidden="1" x14ac:dyDescent="0.25">
      <c r="A111" s="70" t="s">
        <v>877</v>
      </c>
      <c r="B111" s="70" t="s">
        <v>880</v>
      </c>
      <c r="C111" s="70" t="s">
        <v>881</v>
      </c>
      <c r="D111" s="70">
        <v>1510</v>
      </c>
      <c r="E111" s="70">
        <v>-1</v>
      </c>
      <c r="F111" s="71">
        <v>4.6558999999999999</v>
      </c>
      <c r="G111" s="71">
        <v>9.1104000000000003</v>
      </c>
      <c r="H111" s="71">
        <v>-4.6558999999999999</v>
      </c>
      <c r="I111" s="71">
        <v>-9.1104000000000003</v>
      </c>
      <c r="J111" s="70" t="s">
        <v>518</v>
      </c>
      <c r="K111" s="70" t="s">
        <v>48</v>
      </c>
      <c r="L111" s="74">
        <v>46122</v>
      </c>
    </row>
    <row r="112" spans="1:12" hidden="1" x14ac:dyDescent="0.25">
      <c r="A112" s="70" t="s">
        <v>877</v>
      </c>
      <c r="B112" s="70" t="s">
        <v>882</v>
      </c>
      <c r="C112" s="70" t="s">
        <v>883</v>
      </c>
      <c r="D112" s="70">
        <v>1510</v>
      </c>
      <c r="E112" s="70">
        <v>-1</v>
      </c>
      <c r="F112" s="71">
        <v>4.2168999999999999</v>
      </c>
      <c r="G112" s="71">
        <v>8.8585999999999991</v>
      </c>
      <c r="H112" s="71">
        <v>-4.2168999999999999</v>
      </c>
      <c r="I112" s="71">
        <v>-8.8585999999999991</v>
      </c>
      <c r="J112" s="70" t="s">
        <v>518</v>
      </c>
      <c r="K112" s="70" t="s">
        <v>48</v>
      </c>
      <c r="L112" s="74">
        <v>46122</v>
      </c>
    </row>
    <row r="113" spans="1:12" hidden="1" x14ac:dyDescent="0.25">
      <c r="A113" s="70" t="s">
        <v>877</v>
      </c>
      <c r="B113" s="70" t="s">
        <v>884</v>
      </c>
      <c r="C113" s="70" t="s">
        <v>885</v>
      </c>
      <c r="D113" s="70">
        <v>1510</v>
      </c>
      <c r="E113" s="70">
        <v>-2</v>
      </c>
      <c r="F113" s="71">
        <v>3.2212999999999998</v>
      </c>
      <c r="G113" s="71">
        <v>6.1738999999999997</v>
      </c>
      <c r="H113" s="71">
        <v>-6.4425999999999997</v>
      </c>
      <c r="I113" s="71">
        <v>-12.347799999999999</v>
      </c>
      <c r="J113" s="70" t="s">
        <v>518</v>
      </c>
      <c r="K113" s="70" t="s">
        <v>48</v>
      </c>
      <c r="L113" s="74">
        <v>46122</v>
      </c>
    </row>
    <row r="114" spans="1:12" hidden="1" x14ac:dyDescent="0.25">
      <c r="A114" s="70" t="s">
        <v>877</v>
      </c>
      <c r="B114" s="70" t="s">
        <v>886</v>
      </c>
      <c r="C114" s="70" t="s">
        <v>887</v>
      </c>
      <c r="D114" s="70">
        <v>1510</v>
      </c>
      <c r="E114" s="70">
        <v>-1</v>
      </c>
      <c r="F114" s="71">
        <v>12.524900000000001</v>
      </c>
      <c r="G114" s="71">
        <v>25.164999999999999</v>
      </c>
      <c r="H114" s="71">
        <v>-12.524900000000001</v>
      </c>
      <c r="I114" s="71">
        <v>-25.164999999999999</v>
      </c>
      <c r="J114" s="70" t="s">
        <v>518</v>
      </c>
      <c r="K114" s="70" t="s">
        <v>48</v>
      </c>
      <c r="L114" s="74">
        <v>46122</v>
      </c>
    </row>
    <row r="115" spans="1:12" hidden="1" x14ac:dyDescent="0.25">
      <c r="A115" s="70" t="s">
        <v>877</v>
      </c>
      <c r="B115" s="70" t="s">
        <v>888</v>
      </c>
      <c r="C115" s="70" t="s">
        <v>889</v>
      </c>
      <c r="D115" s="70">
        <v>1510</v>
      </c>
      <c r="E115" s="70">
        <v>-2</v>
      </c>
      <c r="F115" s="71">
        <v>1.2804</v>
      </c>
      <c r="G115" s="71">
        <v>2.7814000000000001</v>
      </c>
      <c r="H115" s="71">
        <v>-2.5608</v>
      </c>
      <c r="I115" s="71">
        <v>-5.5628000000000002</v>
      </c>
      <c r="J115" s="70" t="s">
        <v>518</v>
      </c>
      <c r="K115" s="70" t="s">
        <v>48</v>
      </c>
      <c r="L115" s="74">
        <v>46122</v>
      </c>
    </row>
    <row r="116" spans="1:12" hidden="1" x14ac:dyDescent="0.25">
      <c r="A116" s="70" t="s">
        <v>877</v>
      </c>
      <c r="B116" s="70" t="s">
        <v>890</v>
      </c>
      <c r="C116" s="70" t="s">
        <v>891</v>
      </c>
      <c r="D116" s="70">
        <v>1510</v>
      </c>
      <c r="E116" s="70">
        <v>-1</v>
      </c>
      <c r="F116" s="71">
        <v>26.788866666666699</v>
      </c>
      <c r="G116" s="71">
        <v>74.371499999999997</v>
      </c>
      <c r="H116" s="71">
        <v>-26.788866666666699</v>
      </c>
      <c r="I116" s="71">
        <v>-74.371499999999997</v>
      </c>
      <c r="J116" s="70" t="s">
        <v>518</v>
      </c>
      <c r="K116" s="70" t="s">
        <v>48</v>
      </c>
      <c r="L116" s="74">
        <v>46122</v>
      </c>
    </row>
    <row r="117" spans="1:12" hidden="1" x14ac:dyDescent="0.25">
      <c r="A117" s="70" t="s">
        <v>877</v>
      </c>
      <c r="B117" s="70" t="s">
        <v>892</v>
      </c>
      <c r="C117" s="70" t="s">
        <v>893</v>
      </c>
      <c r="D117" s="70">
        <v>1510</v>
      </c>
      <c r="E117" s="70">
        <v>-1</v>
      </c>
      <c r="F117" s="71">
        <v>34.832799999999999</v>
      </c>
      <c r="G117" s="71">
        <v>76.888000000000005</v>
      </c>
      <c r="H117" s="71">
        <v>-34.832799999999999</v>
      </c>
      <c r="I117" s="71">
        <v>-76.888000000000005</v>
      </c>
      <c r="J117" s="70" t="s">
        <v>518</v>
      </c>
      <c r="K117" s="70" t="s">
        <v>48</v>
      </c>
      <c r="L117" s="74">
        <v>46122</v>
      </c>
    </row>
    <row r="118" spans="1:12" hidden="1" x14ac:dyDescent="0.25">
      <c r="A118" s="70" t="s">
        <v>877</v>
      </c>
      <c r="B118" s="70" t="s">
        <v>894</v>
      </c>
      <c r="C118" s="70" t="s">
        <v>895</v>
      </c>
      <c r="D118" s="70">
        <v>1510</v>
      </c>
      <c r="E118" s="70">
        <v>-10</v>
      </c>
      <c r="F118" s="71">
        <v>0.99990000000000001</v>
      </c>
      <c r="G118" s="71">
        <v>1.544</v>
      </c>
      <c r="H118" s="71">
        <v>-9.9990000000000006</v>
      </c>
      <c r="I118" s="71">
        <v>-15.44</v>
      </c>
      <c r="J118" s="70" t="s">
        <v>518</v>
      </c>
      <c r="K118" s="70" t="s">
        <v>48</v>
      </c>
      <c r="L118" s="74">
        <v>46122</v>
      </c>
    </row>
    <row r="119" spans="1:12" hidden="1" x14ac:dyDescent="0.25">
      <c r="A119" s="70" t="s">
        <v>877</v>
      </c>
      <c r="B119" s="70" t="s">
        <v>896</v>
      </c>
      <c r="C119" s="70" t="s">
        <v>897</v>
      </c>
      <c r="D119" s="70">
        <v>1510</v>
      </c>
      <c r="E119" s="70">
        <v>-1</v>
      </c>
      <c r="F119" s="71">
        <v>7.3959000000000001</v>
      </c>
      <c r="G119" s="71">
        <v>11.2577</v>
      </c>
      <c r="H119" s="71">
        <v>-7.3959000000000001</v>
      </c>
      <c r="I119" s="71">
        <v>-11.2577</v>
      </c>
      <c r="J119" s="70" t="s">
        <v>518</v>
      </c>
      <c r="K119" s="70" t="s">
        <v>48</v>
      </c>
      <c r="L119" s="74">
        <v>46122</v>
      </c>
    </row>
    <row r="120" spans="1:12" hidden="1" x14ac:dyDescent="0.25">
      <c r="A120" s="70" t="s">
        <v>898</v>
      </c>
      <c r="B120" s="70" t="s">
        <v>899</v>
      </c>
      <c r="C120" s="70" t="s">
        <v>900</v>
      </c>
      <c r="D120" s="70">
        <v>1510</v>
      </c>
      <c r="E120" s="70">
        <v>1</v>
      </c>
      <c r="F120" s="71">
        <v>22.9666</v>
      </c>
      <c r="G120" s="71">
        <v>50.991</v>
      </c>
      <c r="H120" s="71">
        <v>22.9666</v>
      </c>
      <c r="I120" s="71">
        <v>50.991</v>
      </c>
      <c r="J120" s="70" t="s">
        <v>518</v>
      </c>
      <c r="K120" s="70" t="s">
        <v>48</v>
      </c>
      <c r="L120" s="74">
        <v>46122</v>
      </c>
    </row>
    <row r="121" spans="1:12" hidden="1" x14ac:dyDescent="0.25">
      <c r="A121" s="70" t="s">
        <v>898</v>
      </c>
      <c r="B121" s="70" t="s">
        <v>901</v>
      </c>
      <c r="C121" s="70" t="s">
        <v>902</v>
      </c>
      <c r="D121" s="70">
        <v>1510</v>
      </c>
      <c r="E121" s="70">
        <v>1</v>
      </c>
      <c r="F121" s="71">
        <v>3.7372999999999998</v>
      </c>
      <c r="G121" s="71">
        <v>6.4736000000000002</v>
      </c>
      <c r="H121" s="71">
        <v>3.7372999999999998</v>
      </c>
      <c r="I121" s="71">
        <v>6.4736000000000002</v>
      </c>
      <c r="J121" s="70" t="s">
        <v>518</v>
      </c>
      <c r="K121" s="70" t="s">
        <v>48</v>
      </c>
      <c r="L121" s="74">
        <v>46122</v>
      </c>
    </row>
    <row r="122" spans="1:12" hidden="1" x14ac:dyDescent="0.25">
      <c r="A122" s="70" t="s">
        <v>898</v>
      </c>
      <c r="B122" s="70" t="s">
        <v>903</v>
      </c>
      <c r="C122" s="70" t="s">
        <v>904</v>
      </c>
      <c r="D122" s="70">
        <v>1510</v>
      </c>
      <c r="E122" s="70">
        <v>1</v>
      </c>
      <c r="F122" s="71">
        <v>9.6948000000000008</v>
      </c>
      <c r="G122" s="71">
        <v>22.957599999999999</v>
      </c>
      <c r="H122" s="71">
        <v>9.6948000000000008</v>
      </c>
      <c r="I122" s="71">
        <v>22.957599999999999</v>
      </c>
      <c r="J122" s="70" t="s">
        <v>518</v>
      </c>
      <c r="K122" s="70" t="s">
        <v>48</v>
      </c>
      <c r="L122" s="74">
        <v>46122</v>
      </c>
    </row>
    <row r="123" spans="1:12" hidden="1" x14ac:dyDescent="0.25">
      <c r="A123" s="70" t="s">
        <v>898</v>
      </c>
      <c r="B123" s="70" t="s">
        <v>905</v>
      </c>
      <c r="C123" s="70" t="s">
        <v>906</v>
      </c>
      <c r="D123" s="70">
        <v>1510</v>
      </c>
      <c r="E123" s="70">
        <v>1</v>
      </c>
      <c r="F123" s="71">
        <v>5.0355999999999996</v>
      </c>
      <c r="G123" s="71">
        <v>12.9794</v>
      </c>
      <c r="H123" s="71">
        <v>5.0355999999999996</v>
      </c>
      <c r="I123" s="71">
        <v>12.9794</v>
      </c>
      <c r="J123" s="70" t="s">
        <v>518</v>
      </c>
      <c r="K123" s="70" t="s">
        <v>48</v>
      </c>
      <c r="L123" s="74">
        <v>46122</v>
      </c>
    </row>
    <row r="124" spans="1:12" hidden="1" x14ac:dyDescent="0.25">
      <c r="A124" s="70" t="s">
        <v>898</v>
      </c>
      <c r="B124" s="70" t="s">
        <v>907</v>
      </c>
      <c r="C124" s="70" t="s">
        <v>908</v>
      </c>
      <c r="D124" s="70">
        <v>1510</v>
      </c>
      <c r="E124" s="70">
        <v>1</v>
      </c>
      <c r="F124" s="71">
        <v>17.702100000000002</v>
      </c>
      <c r="G124" s="71">
        <v>25.923200000000001</v>
      </c>
      <c r="H124" s="71">
        <v>17.702100000000002</v>
      </c>
      <c r="I124" s="71">
        <v>25.923200000000001</v>
      </c>
      <c r="J124" s="70" t="s">
        <v>518</v>
      </c>
      <c r="K124" s="70" t="s">
        <v>48</v>
      </c>
      <c r="L124" s="74">
        <v>46122</v>
      </c>
    </row>
    <row r="125" spans="1:12" hidden="1" x14ac:dyDescent="0.25">
      <c r="A125" s="70" t="s">
        <v>898</v>
      </c>
      <c r="B125" s="70" t="s">
        <v>909</v>
      </c>
      <c r="C125" s="70" t="s">
        <v>910</v>
      </c>
      <c r="D125" s="70">
        <v>1510</v>
      </c>
      <c r="E125" s="70">
        <v>2</v>
      </c>
      <c r="F125" s="71">
        <v>0.85850000000000004</v>
      </c>
      <c r="G125" s="71">
        <v>1.7809999999999999</v>
      </c>
      <c r="H125" s="71">
        <v>1.7170000000000001</v>
      </c>
      <c r="I125" s="71">
        <v>3.5619999999999998</v>
      </c>
      <c r="J125" s="70" t="s">
        <v>518</v>
      </c>
      <c r="K125" s="70" t="s">
        <v>48</v>
      </c>
      <c r="L125" s="74">
        <v>46122</v>
      </c>
    </row>
    <row r="126" spans="1:12" hidden="1" x14ac:dyDescent="0.25">
      <c r="A126" s="70" t="s">
        <v>911</v>
      </c>
      <c r="B126" s="70" t="s">
        <v>912</v>
      </c>
      <c r="C126" s="70" t="s">
        <v>913</v>
      </c>
      <c r="D126" s="70">
        <v>1510</v>
      </c>
      <c r="E126" s="70">
        <v>1</v>
      </c>
      <c r="F126" s="71">
        <v>331.99919999999997</v>
      </c>
      <c r="G126" s="71">
        <v>824.10239999999999</v>
      </c>
      <c r="H126" s="71">
        <v>331.99919999999997</v>
      </c>
      <c r="I126" s="71">
        <v>824.10239999999999</v>
      </c>
      <c r="J126" s="70" t="s">
        <v>518</v>
      </c>
      <c r="K126" s="70" t="s">
        <v>48</v>
      </c>
      <c r="L126" s="74">
        <v>46122</v>
      </c>
    </row>
    <row r="127" spans="1:12" hidden="1" x14ac:dyDescent="0.25">
      <c r="A127" s="70" t="s">
        <v>911</v>
      </c>
      <c r="B127" s="70" t="s">
        <v>914</v>
      </c>
      <c r="C127" s="70" t="s">
        <v>915</v>
      </c>
      <c r="D127" s="70">
        <v>1510</v>
      </c>
      <c r="E127" s="70">
        <v>4</v>
      </c>
      <c r="F127" s="71">
        <v>3.4388999999999998</v>
      </c>
      <c r="G127" s="71">
        <v>8.8635999999999999</v>
      </c>
      <c r="H127" s="71">
        <v>13.755599999999999</v>
      </c>
      <c r="I127" s="71">
        <v>35.4544</v>
      </c>
      <c r="J127" s="70" t="s">
        <v>518</v>
      </c>
      <c r="K127" s="70" t="s">
        <v>48</v>
      </c>
      <c r="L127" s="74">
        <v>46122</v>
      </c>
    </row>
    <row r="128" spans="1:12" hidden="1" x14ac:dyDescent="0.25">
      <c r="A128" s="70" t="s">
        <v>911</v>
      </c>
      <c r="B128" s="70" t="s">
        <v>916</v>
      </c>
      <c r="C128" s="70" t="s">
        <v>917</v>
      </c>
      <c r="D128" s="70">
        <v>1510</v>
      </c>
      <c r="E128" s="70">
        <v>1</v>
      </c>
      <c r="F128" s="71">
        <v>7.14</v>
      </c>
      <c r="G128" s="71">
        <v>11.5</v>
      </c>
      <c r="H128" s="71">
        <v>7.14</v>
      </c>
      <c r="I128" s="71">
        <v>11.5</v>
      </c>
      <c r="J128" s="70" t="s">
        <v>518</v>
      </c>
      <c r="K128" s="70" t="s">
        <v>48</v>
      </c>
      <c r="L128" s="74">
        <v>46122</v>
      </c>
    </row>
    <row r="129" spans="1:12" hidden="1" x14ac:dyDescent="0.25">
      <c r="A129" s="70" t="s">
        <v>911</v>
      </c>
      <c r="B129" s="70" t="s">
        <v>918</v>
      </c>
      <c r="C129" s="70" t="s">
        <v>919</v>
      </c>
      <c r="D129" s="70">
        <v>1510</v>
      </c>
      <c r="E129" s="70">
        <v>1</v>
      </c>
      <c r="F129" s="71">
        <v>105.6353</v>
      </c>
      <c r="G129" s="71">
        <v>147.05840000000001</v>
      </c>
      <c r="H129" s="71">
        <v>105.6353</v>
      </c>
      <c r="I129" s="71">
        <v>147.05840000000001</v>
      </c>
      <c r="J129" s="70" t="s">
        <v>518</v>
      </c>
      <c r="K129" s="70" t="s">
        <v>48</v>
      </c>
      <c r="L129" s="74">
        <v>46122</v>
      </c>
    </row>
    <row r="130" spans="1:12" hidden="1" x14ac:dyDescent="0.25">
      <c r="A130" s="70" t="s">
        <v>911</v>
      </c>
      <c r="B130" s="70" t="s">
        <v>920</v>
      </c>
      <c r="C130" s="70" t="s">
        <v>921</v>
      </c>
      <c r="D130" s="70">
        <v>1510</v>
      </c>
      <c r="E130" s="70">
        <v>1</v>
      </c>
      <c r="F130" s="71">
        <v>60.53</v>
      </c>
      <c r="G130" s="71">
        <v>117.48</v>
      </c>
      <c r="H130" s="71">
        <v>60.53</v>
      </c>
      <c r="I130" s="71">
        <v>117.48</v>
      </c>
      <c r="J130" s="70" t="s">
        <v>518</v>
      </c>
      <c r="K130" s="70" t="s">
        <v>48</v>
      </c>
      <c r="L130" s="74">
        <v>46122</v>
      </c>
    </row>
    <row r="131" spans="1:12" hidden="1" x14ac:dyDescent="0.25">
      <c r="A131" s="70" t="s">
        <v>922</v>
      </c>
      <c r="B131" s="70" t="s">
        <v>923</v>
      </c>
      <c r="C131" s="70" t="s">
        <v>924</v>
      </c>
      <c r="D131" s="70">
        <v>1510</v>
      </c>
      <c r="E131" s="70">
        <v>-1</v>
      </c>
      <c r="F131" s="71">
        <v>331.9991</v>
      </c>
      <c r="G131" s="71">
        <v>787.15049999999997</v>
      </c>
      <c r="H131" s="71">
        <v>-331.9991</v>
      </c>
      <c r="I131" s="71">
        <v>-787.15049999999997</v>
      </c>
      <c r="J131" s="70" t="s">
        <v>518</v>
      </c>
      <c r="K131" s="70" t="s">
        <v>48</v>
      </c>
      <c r="L131" s="74">
        <v>46122</v>
      </c>
    </row>
    <row r="132" spans="1:12" hidden="1" x14ac:dyDescent="0.25">
      <c r="A132" s="70" t="s">
        <v>922</v>
      </c>
      <c r="B132" s="70" t="s">
        <v>925</v>
      </c>
      <c r="C132" s="70" t="s">
        <v>926</v>
      </c>
      <c r="D132" s="70">
        <v>1510</v>
      </c>
      <c r="E132" s="70">
        <v>-4</v>
      </c>
      <c r="F132" s="71">
        <v>3.4388999999999998</v>
      </c>
      <c r="G132" s="71">
        <v>8.8635999999999999</v>
      </c>
      <c r="H132" s="71">
        <v>-13.755599999999999</v>
      </c>
      <c r="I132" s="71">
        <v>-35.4544</v>
      </c>
      <c r="J132" s="70" t="s">
        <v>518</v>
      </c>
      <c r="K132" s="70" t="s">
        <v>48</v>
      </c>
      <c r="L132" s="74">
        <v>46122</v>
      </c>
    </row>
    <row r="133" spans="1:12" hidden="1" x14ac:dyDescent="0.25">
      <c r="A133" s="70" t="s">
        <v>922</v>
      </c>
      <c r="B133" s="70" t="s">
        <v>927</v>
      </c>
      <c r="C133" s="70" t="s">
        <v>928</v>
      </c>
      <c r="D133" s="70">
        <v>1510</v>
      </c>
      <c r="E133" s="70">
        <v>-1</v>
      </c>
      <c r="F133" s="71">
        <v>13.26</v>
      </c>
      <c r="G133" s="71">
        <v>21.357099999999999</v>
      </c>
      <c r="H133" s="71">
        <v>-13.26</v>
      </c>
      <c r="I133" s="71">
        <v>-21.357099999999999</v>
      </c>
      <c r="J133" s="70" t="s">
        <v>518</v>
      </c>
      <c r="K133" s="70" t="s">
        <v>48</v>
      </c>
      <c r="L133" s="74">
        <v>46122</v>
      </c>
    </row>
    <row r="134" spans="1:12" hidden="1" x14ac:dyDescent="0.25">
      <c r="A134" s="70" t="s">
        <v>922</v>
      </c>
      <c r="B134" s="70" t="s">
        <v>929</v>
      </c>
      <c r="C134" s="70" t="s">
        <v>930</v>
      </c>
      <c r="D134" s="70">
        <v>1510</v>
      </c>
      <c r="E134" s="70">
        <v>-1</v>
      </c>
      <c r="F134" s="71">
        <v>111.77030000000001</v>
      </c>
      <c r="G134" s="71">
        <v>163.684</v>
      </c>
      <c r="H134" s="71">
        <v>-111.77030000000001</v>
      </c>
      <c r="I134" s="71">
        <v>-163.684</v>
      </c>
      <c r="J134" s="70" t="s">
        <v>518</v>
      </c>
      <c r="K134" s="70"/>
      <c r="L134" s="74">
        <v>46122</v>
      </c>
    </row>
    <row r="135" spans="1:12" hidden="1" x14ac:dyDescent="0.25">
      <c r="A135" s="70" t="s">
        <v>922</v>
      </c>
      <c r="B135" s="70" t="s">
        <v>931</v>
      </c>
      <c r="C135" s="70" t="s">
        <v>932</v>
      </c>
      <c r="D135" s="70">
        <v>1510</v>
      </c>
      <c r="E135" s="70">
        <v>-1</v>
      </c>
      <c r="F135" s="71">
        <v>72.67</v>
      </c>
      <c r="G135" s="71">
        <v>182.14</v>
      </c>
      <c r="H135" s="71">
        <v>-72.67</v>
      </c>
      <c r="I135" s="71">
        <v>-182.14</v>
      </c>
      <c r="J135" s="70" t="s">
        <v>518</v>
      </c>
      <c r="K135" s="70"/>
      <c r="L135" s="74">
        <v>46122</v>
      </c>
    </row>
    <row r="136" spans="1:12" hidden="1" x14ac:dyDescent="0.25">
      <c r="A136" s="70" t="s">
        <v>877</v>
      </c>
      <c r="B136" s="70" t="s">
        <v>933</v>
      </c>
      <c r="C136" s="70" t="s">
        <v>934</v>
      </c>
      <c r="D136" s="70">
        <v>1521</v>
      </c>
      <c r="E136" s="70">
        <v>-1</v>
      </c>
      <c r="F136" s="71">
        <v>281.87610000000001</v>
      </c>
      <c r="G136" s="71">
        <v>688.49069999999995</v>
      </c>
      <c r="H136" s="71">
        <v>-281.87610000000001</v>
      </c>
      <c r="I136" s="71">
        <v>-688.49069999999995</v>
      </c>
      <c r="J136" s="70" t="s">
        <v>647</v>
      </c>
      <c r="K136" s="70" t="s">
        <v>48</v>
      </c>
      <c r="L136" s="74">
        <v>46037</v>
      </c>
    </row>
    <row r="137" spans="1:12" hidden="1" x14ac:dyDescent="0.25">
      <c r="A137" s="70" t="s">
        <v>877</v>
      </c>
      <c r="B137" s="70" t="s">
        <v>935</v>
      </c>
      <c r="C137" s="70" t="s">
        <v>936</v>
      </c>
      <c r="D137" s="70">
        <v>1521</v>
      </c>
      <c r="E137" s="70">
        <v>-1</v>
      </c>
      <c r="F137" s="71">
        <v>217.9402</v>
      </c>
      <c r="G137" s="71">
        <v>299.70119999999997</v>
      </c>
      <c r="H137" s="71">
        <v>-217.9402</v>
      </c>
      <c r="I137" s="71">
        <v>-299.70119999999997</v>
      </c>
      <c r="J137" s="70" t="s">
        <v>647</v>
      </c>
      <c r="K137" s="70" t="s">
        <v>48</v>
      </c>
      <c r="L137" s="74">
        <v>46037</v>
      </c>
    </row>
    <row r="138" spans="1:12" hidden="1" x14ac:dyDescent="0.25">
      <c r="A138" s="70" t="s">
        <v>877</v>
      </c>
      <c r="B138" s="70" t="s">
        <v>937</v>
      </c>
      <c r="C138" s="70" t="s">
        <v>938</v>
      </c>
      <c r="D138" s="70">
        <v>1521</v>
      </c>
      <c r="E138" s="70">
        <v>-1</v>
      </c>
      <c r="F138" s="71">
        <v>76.043000000000006</v>
      </c>
      <c r="G138" s="71">
        <v>166.33320000000001</v>
      </c>
      <c r="H138" s="71">
        <v>-76.043000000000006</v>
      </c>
      <c r="I138" s="71">
        <v>-166.33320000000001</v>
      </c>
      <c r="J138" s="70" t="s">
        <v>647</v>
      </c>
      <c r="K138" s="70" t="s">
        <v>48</v>
      </c>
      <c r="L138" s="74">
        <v>46037</v>
      </c>
    </row>
    <row r="139" spans="1:12" hidden="1" x14ac:dyDescent="0.25">
      <c r="A139" s="70" t="s">
        <v>877</v>
      </c>
      <c r="B139" s="70" t="s">
        <v>939</v>
      </c>
      <c r="C139" s="70" t="s">
        <v>940</v>
      </c>
      <c r="D139" s="70">
        <v>1521</v>
      </c>
      <c r="E139" s="70">
        <v>-2</v>
      </c>
      <c r="F139" s="71">
        <v>56.4711</v>
      </c>
      <c r="G139" s="71">
        <v>79.799000000000007</v>
      </c>
      <c r="H139" s="71">
        <v>-112.9422</v>
      </c>
      <c r="I139" s="71">
        <v>-159.59800000000001</v>
      </c>
      <c r="J139" s="70" t="s">
        <v>647</v>
      </c>
      <c r="K139" s="70" t="s">
        <v>48</v>
      </c>
      <c r="L139" s="74">
        <v>46037</v>
      </c>
    </row>
    <row r="140" spans="1:12" hidden="1" x14ac:dyDescent="0.25">
      <c r="A140" s="70" t="s">
        <v>877</v>
      </c>
      <c r="B140" s="70" t="s">
        <v>941</v>
      </c>
      <c r="C140" s="70" t="s">
        <v>942</v>
      </c>
      <c r="D140" s="70">
        <v>1521</v>
      </c>
      <c r="E140" s="70">
        <v>-1</v>
      </c>
      <c r="F140" s="71">
        <v>98.980800000000002</v>
      </c>
      <c r="G140" s="71">
        <v>144.92930000000001</v>
      </c>
      <c r="H140" s="71">
        <v>-98.980800000000002</v>
      </c>
      <c r="I140" s="71">
        <v>-144.92930000000001</v>
      </c>
      <c r="J140" s="70" t="s">
        <v>647</v>
      </c>
      <c r="K140" s="70" t="s">
        <v>48</v>
      </c>
      <c r="L140" s="74">
        <v>46037</v>
      </c>
    </row>
    <row r="141" spans="1:12" hidden="1" x14ac:dyDescent="0.25">
      <c r="A141" s="70" t="s">
        <v>877</v>
      </c>
      <c r="B141" s="70" t="s">
        <v>943</v>
      </c>
      <c r="C141" s="70" t="s">
        <v>944</v>
      </c>
      <c r="D141" s="70">
        <v>1521</v>
      </c>
      <c r="E141" s="70">
        <v>-1</v>
      </c>
      <c r="F141" s="71">
        <v>37.244300000000003</v>
      </c>
      <c r="G141" s="71">
        <v>122.3741</v>
      </c>
      <c r="H141" s="71">
        <v>-37.244300000000003</v>
      </c>
      <c r="I141" s="71">
        <v>-122.3741</v>
      </c>
      <c r="J141" s="70" t="s">
        <v>647</v>
      </c>
      <c r="K141" s="70" t="s">
        <v>48</v>
      </c>
      <c r="L141" s="74">
        <v>46037</v>
      </c>
    </row>
    <row r="142" spans="1:12" hidden="1" x14ac:dyDescent="0.25">
      <c r="A142" s="70" t="s">
        <v>877</v>
      </c>
      <c r="B142" s="70" t="s">
        <v>945</v>
      </c>
      <c r="C142" s="70" t="s">
        <v>946</v>
      </c>
      <c r="D142" s="70">
        <v>1521</v>
      </c>
      <c r="E142" s="70">
        <v>-2</v>
      </c>
      <c r="F142" s="71">
        <v>26.758600000000001</v>
      </c>
      <c r="G142" s="71">
        <v>52.497500000000002</v>
      </c>
      <c r="H142" s="71">
        <v>-53.517200000000003</v>
      </c>
      <c r="I142" s="71">
        <v>-104.995</v>
      </c>
      <c r="J142" s="70" t="s">
        <v>647</v>
      </c>
      <c r="K142" s="70" t="s">
        <v>48</v>
      </c>
      <c r="L142" s="74">
        <v>46037</v>
      </c>
    </row>
    <row r="143" spans="1:12" hidden="1" x14ac:dyDescent="0.25">
      <c r="A143" s="70" t="s">
        <v>877</v>
      </c>
      <c r="B143" s="70" t="s">
        <v>947</v>
      </c>
      <c r="C143" s="70" t="s">
        <v>948</v>
      </c>
      <c r="D143" s="70">
        <v>1521</v>
      </c>
      <c r="E143" s="70">
        <v>-1</v>
      </c>
      <c r="F143" s="71">
        <v>55.090200000000003</v>
      </c>
      <c r="G143" s="71">
        <v>80.671099999999996</v>
      </c>
      <c r="H143" s="71">
        <v>-55.090200000000003</v>
      </c>
      <c r="I143" s="71">
        <v>-80.671099999999996</v>
      </c>
      <c r="J143" s="70" t="s">
        <v>647</v>
      </c>
      <c r="K143" s="70" t="s">
        <v>48</v>
      </c>
      <c r="L143" s="74">
        <v>46037</v>
      </c>
    </row>
    <row r="144" spans="1:12" hidden="1" x14ac:dyDescent="0.25">
      <c r="A144" s="70" t="s">
        <v>877</v>
      </c>
      <c r="B144" s="70" t="s">
        <v>949</v>
      </c>
      <c r="C144" s="70" t="s">
        <v>950</v>
      </c>
      <c r="D144" s="70">
        <v>1521</v>
      </c>
      <c r="E144" s="70">
        <v>-2</v>
      </c>
      <c r="F144" s="71">
        <v>20.302499999999998</v>
      </c>
      <c r="G144" s="71">
        <v>40.243699999999997</v>
      </c>
      <c r="H144" s="71">
        <v>-40.604999999999997</v>
      </c>
      <c r="I144" s="71">
        <v>-80.487399999999994</v>
      </c>
      <c r="J144" s="70" t="s">
        <v>647</v>
      </c>
      <c r="K144" s="70" t="s">
        <v>48</v>
      </c>
      <c r="L144" s="74">
        <v>46037</v>
      </c>
    </row>
    <row r="145" spans="1:12" hidden="1" x14ac:dyDescent="0.25">
      <c r="A145" s="70" t="s">
        <v>877</v>
      </c>
      <c r="B145" s="70" t="s">
        <v>951</v>
      </c>
      <c r="C145" s="70" t="s">
        <v>952</v>
      </c>
      <c r="D145" s="70">
        <v>1521</v>
      </c>
      <c r="E145" s="70">
        <v>-3</v>
      </c>
      <c r="F145" s="71">
        <v>19.245999999999999</v>
      </c>
      <c r="G145" s="71">
        <v>26.4621</v>
      </c>
      <c r="H145" s="71">
        <v>-57.738</v>
      </c>
      <c r="I145" s="71">
        <v>-79.386300000000006</v>
      </c>
      <c r="J145" s="70" t="s">
        <v>647</v>
      </c>
      <c r="K145" s="70" t="s">
        <v>48</v>
      </c>
      <c r="L145" s="74">
        <v>46037</v>
      </c>
    </row>
    <row r="146" spans="1:12" hidden="1" x14ac:dyDescent="0.25">
      <c r="A146" s="70" t="s">
        <v>877</v>
      </c>
      <c r="B146" s="70" t="s">
        <v>953</v>
      </c>
      <c r="C146" s="70" t="s">
        <v>954</v>
      </c>
      <c r="D146" s="70">
        <v>1521</v>
      </c>
      <c r="E146" s="70">
        <v>-1</v>
      </c>
      <c r="F146" s="71">
        <v>52.203600000000002</v>
      </c>
      <c r="G146" s="71">
        <v>76.4435</v>
      </c>
      <c r="H146" s="71">
        <v>-52.203600000000002</v>
      </c>
      <c r="I146" s="71">
        <v>-76.4435</v>
      </c>
      <c r="J146" s="70" t="s">
        <v>647</v>
      </c>
      <c r="K146" s="70" t="s">
        <v>48</v>
      </c>
      <c r="L146" s="74">
        <v>46037</v>
      </c>
    </row>
    <row r="147" spans="1:12" hidden="1" x14ac:dyDescent="0.25">
      <c r="A147" s="70" t="s">
        <v>877</v>
      </c>
      <c r="B147" s="70" t="s">
        <v>955</v>
      </c>
      <c r="C147" s="70" t="s">
        <v>956</v>
      </c>
      <c r="D147" s="70">
        <v>1521</v>
      </c>
      <c r="E147" s="70">
        <v>-1</v>
      </c>
      <c r="F147" s="71">
        <v>52.132199999999997</v>
      </c>
      <c r="G147" s="71">
        <v>76.3386</v>
      </c>
      <c r="H147" s="71">
        <v>-52.132199999999997</v>
      </c>
      <c r="I147" s="71">
        <v>-76.3386</v>
      </c>
      <c r="J147" s="70" t="s">
        <v>647</v>
      </c>
      <c r="K147" s="70" t="s">
        <v>48</v>
      </c>
      <c r="L147" s="74">
        <v>46037</v>
      </c>
    </row>
    <row r="148" spans="1:12" hidden="1" x14ac:dyDescent="0.25">
      <c r="A148" s="70" t="s">
        <v>877</v>
      </c>
      <c r="B148" s="70" t="s">
        <v>957</v>
      </c>
      <c r="C148" s="70" t="s">
        <v>958</v>
      </c>
      <c r="D148" s="70">
        <v>1521</v>
      </c>
      <c r="E148" s="70">
        <v>-1</v>
      </c>
      <c r="F148" s="71">
        <v>41.707799999999999</v>
      </c>
      <c r="G148" s="71">
        <v>61.070599999999999</v>
      </c>
      <c r="H148" s="71">
        <v>-41.707799999999999</v>
      </c>
      <c r="I148" s="71">
        <v>-61.070599999999999</v>
      </c>
      <c r="J148" s="70" t="s">
        <v>647</v>
      </c>
      <c r="K148" s="70" t="s">
        <v>48</v>
      </c>
      <c r="L148" s="74">
        <v>46037</v>
      </c>
    </row>
    <row r="149" spans="1:12" hidden="1" x14ac:dyDescent="0.25">
      <c r="A149" s="70" t="s">
        <v>877</v>
      </c>
      <c r="B149" s="70" t="s">
        <v>959</v>
      </c>
      <c r="C149" s="70" t="s">
        <v>960</v>
      </c>
      <c r="D149" s="70">
        <v>1521</v>
      </c>
      <c r="E149" s="70">
        <v>-1</v>
      </c>
      <c r="F149" s="71">
        <v>23.865500000000001</v>
      </c>
      <c r="G149" s="71">
        <v>59.207500000000003</v>
      </c>
      <c r="H149" s="71">
        <v>-23.865500000000001</v>
      </c>
      <c r="I149" s="71">
        <v>-59.207500000000003</v>
      </c>
      <c r="J149" s="70" t="s">
        <v>647</v>
      </c>
      <c r="K149" s="70" t="s">
        <v>48</v>
      </c>
      <c r="L149" s="74">
        <v>46037</v>
      </c>
    </row>
    <row r="150" spans="1:12" hidden="1" x14ac:dyDescent="0.25">
      <c r="A150" s="70" t="s">
        <v>877</v>
      </c>
      <c r="B150" s="70" t="s">
        <v>872</v>
      </c>
      <c r="C150" s="70" t="s">
        <v>961</v>
      </c>
      <c r="D150" s="70">
        <v>1521</v>
      </c>
      <c r="E150" s="70">
        <v>-2</v>
      </c>
      <c r="F150" s="71">
        <v>7.9566999999999997</v>
      </c>
      <c r="G150" s="71">
        <v>28.107800000000001</v>
      </c>
      <c r="H150" s="71">
        <v>-15.913399999999999</v>
      </c>
      <c r="I150" s="71">
        <v>-56.215600000000002</v>
      </c>
      <c r="J150" s="70" t="s">
        <v>647</v>
      </c>
      <c r="K150" s="70" t="s">
        <v>48</v>
      </c>
      <c r="L150" s="74">
        <v>46037</v>
      </c>
    </row>
    <row r="151" spans="1:12" hidden="1" x14ac:dyDescent="0.25">
      <c r="A151" s="70" t="s">
        <v>877</v>
      </c>
      <c r="B151" s="70" t="s">
        <v>962</v>
      </c>
      <c r="C151" s="70" t="s">
        <v>963</v>
      </c>
      <c r="D151" s="70">
        <v>1521</v>
      </c>
      <c r="E151" s="70">
        <v>-1</v>
      </c>
      <c r="F151" s="71">
        <v>23.1496</v>
      </c>
      <c r="G151" s="71">
        <v>55.064</v>
      </c>
      <c r="H151" s="71">
        <v>-23.1496</v>
      </c>
      <c r="I151" s="71">
        <v>-55.064</v>
      </c>
      <c r="J151" s="70" t="s">
        <v>647</v>
      </c>
      <c r="K151" s="70" t="s">
        <v>48</v>
      </c>
      <c r="L151" s="74">
        <v>46037</v>
      </c>
    </row>
    <row r="152" spans="1:12" hidden="1" x14ac:dyDescent="0.25">
      <c r="A152" s="70" t="s">
        <v>877</v>
      </c>
      <c r="B152" s="70" t="s">
        <v>964</v>
      </c>
      <c r="C152" s="70" t="s">
        <v>965</v>
      </c>
      <c r="D152" s="70">
        <v>1521</v>
      </c>
      <c r="E152" s="70">
        <v>-1</v>
      </c>
      <c r="F152" s="71">
        <v>27.978100000000001</v>
      </c>
      <c r="G152" s="71">
        <v>46.419600000000003</v>
      </c>
      <c r="H152" s="71">
        <v>-27.978100000000001</v>
      </c>
      <c r="I152" s="71">
        <v>-46.419600000000003</v>
      </c>
      <c r="J152" s="70" t="s">
        <v>647</v>
      </c>
      <c r="K152" s="70" t="s">
        <v>48</v>
      </c>
      <c r="L152" s="74">
        <v>46037</v>
      </c>
    </row>
    <row r="153" spans="1:12" hidden="1" x14ac:dyDescent="0.25">
      <c r="A153" s="70" t="s">
        <v>877</v>
      </c>
      <c r="B153" s="70" t="s">
        <v>966</v>
      </c>
      <c r="C153" s="70" t="s">
        <v>967</v>
      </c>
      <c r="D153" s="70">
        <v>1521</v>
      </c>
      <c r="E153" s="70">
        <v>-1</v>
      </c>
      <c r="F153" s="71">
        <v>14.1752</v>
      </c>
      <c r="G153" s="71">
        <v>41.141800000000003</v>
      </c>
      <c r="H153" s="71">
        <v>-14.1752</v>
      </c>
      <c r="I153" s="71">
        <v>-41.141800000000003</v>
      </c>
      <c r="J153" s="70" t="s">
        <v>647</v>
      </c>
      <c r="K153" s="70" t="s">
        <v>48</v>
      </c>
      <c r="L153" s="74">
        <v>46037</v>
      </c>
    </row>
    <row r="154" spans="1:12" hidden="1" x14ac:dyDescent="0.25">
      <c r="A154" s="70" t="s">
        <v>877</v>
      </c>
      <c r="B154" s="70" t="s">
        <v>968</v>
      </c>
      <c r="C154" s="70" t="s">
        <v>969</v>
      </c>
      <c r="D154" s="70">
        <v>1521</v>
      </c>
      <c r="E154" s="70">
        <v>-1</v>
      </c>
      <c r="F154" s="71">
        <v>16.755099999999999</v>
      </c>
      <c r="G154" s="71">
        <v>35.540399999999998</v>
      </c>
      <c r="H154" s="71">
        <v>-16.755099999999999</v>
      </c>
      <c r="I154" s="71">
        <v>-35.540399999999998</v>
      </c>
      <c r="J154" s="70" t="s">
        <v>647</v>
      </c>
      <c r="K154" s="70" t="s">
        <v>48</v>
      </c>
      <c r="L154" s="74">
        <v>46037</v>
      </c>
    </row>
    <row r="155" spans="1:12" hidden="1" x14ac:dyDescent="0.25">
      <c r="A155" s="70" t="s">
        <v>877</v>
      </c>
      <c r="B155" s="70" t="s">
        <v>970</v>
      </c>
      <c r="C155" s="70" t="s">
        <v>971</v>
      </c>
      <c r="D155" s="70">
        <v>1521</v>
      </c>
      <c r="E155" s="70">
        <v>-1</v>
      </c>
      <c r="F155" s="71">
        <v>12.58</v>
      </c>
      <c r="G155" s="71">
        <v>33.9253</v>
      </c>
      <c r="H155" s="71">
        <v>-12.58</v>
      </c>
      <c r="I155" s="71">
        <v>-33.9253</v>
      </c>
      <c r="J155" s="70" t="s">
        <v>647</v>
      </c>
      <c r="K155" s="70" t="s">
        <v>48</v>
      </c>
      <c r="L155" s="74">
        <v>46037</v>
      </c>
    </row>
    <row r="156" spans="1:12" hidden="1" x14ac:dyDescent="0.25">
      <c r="A156" s="70" t="s">
        <v>877</v>
      </c>
      <c r="B156" s="70" t="s">
        <v>972</v>
      </c>
      <c r="C156" s="70" t="s">
        <v>973</v>
      </c>
      <c r="D156" s="70">
        <v>1521</v>
      </c>
      <c r="E156" s="70">
        <v>-1</v>
      </c>
      <c r="F156" s="71">
        <v>21.450600000000001</v>
      </c>
      <c r="G156" s="71">
        <v>31.412099999999999</v>
      </c>
      <c r="H156" s="71">
        <v>-21.450600000000001</v>
      </c>
      <c r="I156" s="71">
        <v>-31.412099999999999</v>
      </c>
      <c r="J156" s="70" t="s">
        <v>647</v>
      </c>
      <c r="K156" s="70" t="s">
        <v>48</v>
      </c>
      <c r="L156" s="74">
        <v>46037</v>
      </c>
    </row>
    <row r="157" spans="1:12" hidden="1" x14ac:dyDescent="0.25">
      <c r="A157" s="70" t="s">
        <v>877</v>
      </c>
      <c r="B157" s="70" t="s">
        <v>974</v>
      </c>
      <c r="C157" s="70" t="s">
        <v>975</v>
      </c>
      <c r="D157" s="70">
        <v>1521</v>
      </c>
      <c r="E157" s="70">
        <v>-1</v>
      </c>
      <c r="F157" s="71">
        <v>16</v>
      </c>
      <c r="G157" s="71">
        <v>24.533300000000001</v>
      </c>
      <c r="H157" s="71">
        <v>-16</v>
      </c>
      <c r="I157" s="71">
        <v>-24.533300000000001</v>
      </c>
      <c r="J157" s="70" t="s">
        <v>647</v>
      </c>
      <c r="K157" s="70" t="s">
        <v>48</v>
      </c>
      <c r="L157" s="74">
        <v>46037</v>
      </c>
    </row>
    <row r="158" spans="1:12" hidden="1" x14ac:dyDescent="0.25">
      <c r="A158" s="70" t="s">
        <v>877</v>
      </c>
      <c r="B158" s="70" t="s">
        <v>976</v>
      </c>
      <c r="C158" s="70" t="s">
        <v>977</v>
      </c>
      <c r="D158" s="70">
        <v>1521</v>
      </c>
      <c r="E158" s="70">
        <v>-1</v>
      </c>
      <c r="F158" s="71">
        <v>10.593999999999999</v>
      </c>
      <c r="G158" s="71">
        <v>22.941099999999999</v>
      </c>
      <c r="H158" s="71">
        <v>-10.593999999999999</v>
      </c>
      <c r="I158" s="71">
        <v>-22.941099999999999</v>
      </c>
      <c r="J158" s="70" t="s">
        <v>647</v>
      </c>
      <c r="K158" s="70" t="s">
        <v>48</v>
      </c>
      <c r="L158" s="74">
        <v>46037</v>
      </c>
    </row>
    <row r="159" spans="1:12" hidden="1" x14ac:dyDescent="0.25">
      <c r="A159" s="70" t="s">
        <v>877</v>
      </c>
      <c r="B159" s="70" t="s">
        <v>978</v>
      </c>
      <c r="C159" s="70" t="s">
        <v>979</v>
      </c>
      <c r="D159" s="70">
        <v>1521</v>
      </c>
      <c r="E159" s="70">
        <v>-1</v>
      </c>
      <c r="F159" s="71">
        <v>13.8522</v>
      </c>
      <c r="G159" s="71">
        <v>18.007860000000001</v>
      </c>
      <c r="H159" s="71">
        <v>-13.8522</v>
      </c>
      <c r="I159" s="71">
        <v>-18.007860000000001</v>
      </c>
      <c r="J159" s="70" t="s">
        <v>647</v>
      </c>
      <c r="K159" s="70" t="s">
        <v>48</v>
      </c>
      <c r="L159" s="74">
        <v>46037</v>
      </c>
    </row>
    <row r="160" spans="1:12" hidden="1" x14ac:dyDescent="0.25">
      <c r="A160" s="70" t="s">
        <v>877</v>
      </c>
      <c r="B160" s="70" t="s">
        <v>980</v>
      </c>
      <c r="C160" s="70" t="s">
        <v>981</v>
      </c>
      <c r="D160" s="70">
        <v>1521</v>
      </c>
      <c r="E160" s="70">
        <v>-3</v>
      </c>
      <c r="F160" s="71">
        <v>2.0007999999999999</v>
      </c>
      <c r="G160" s="71">
        <v>5.8044000000000002</v>
      </c>
      <c r="H160" s="71">
        <v>-6.0023999999999997</v>
      </c>
      <c r="I160" s="71">
        <v>-17.4132</v>
      </c>
      <c r="J160" s="70" t="s">
        <v>647</v>
      </c>
      <c r="K160" s="70" t="s">
        <v>48</v>
      </c>
      <c r="L160" s="74">
        <v>46037</v>
      </c>
    </row>
    <row r="161" spans="1:12" hidden="1" x14ac:dyDescent="0.25">
      <c r="A161" s="70" t="s">
        <v>877</v>
      </c>
      <c r="B161" s="70" t="s">
        <v>982</v>
      </c>
      <c r="C161" s="70" t="s">
        <v>983</v>
      </c>
      <c r="D161" s="70">
        <v>1521</v>
      </c>
      <c r="E161" s="70">
        <v>-1</v>
      </c>
      <c r="F161" s="71">
        <v>10.199999999999999</v>
      </c>
      <c r="G161" s="71">
        <v>15.333299999999999</v>
      </c>
      <c r="H161" s="71">
        <v>-10.199999999999999</v>
      </c>
      <c r="I161" s="71">
        <v>-15.333299999999999</v>
      </c>
      <c r="J161" s="70" t="s">
        <v>647</v>
      </c>
      <c r="K161" s="70" t="s">
        <v>48</v>
      </c>
      <c r="L161" s="74">
        <v>46037</v>
      </c>
    </row>
    <row r="162" spans="1:12" hidden="1" x14ac:dyDescent="0.25">
      <c r="A162" s="70" t="s">
        <v>877</v>
      </c>
      <c r="B162" s="70" t="s">
        <v>984</v>
      </c>
      <c r="C162" s="70" t="s">
        <v>985</v>
      </c>
      <c r="D162" s="70">
        <v>1521</v>
      </c>
      <c r="E162" s="70">
        <v>-1</v>
      </c>
      <c r="F162" s="71">
        <v>9.1085999999999991</v>
      </c>
      <c r="G162" s="71">
        <v>14.0678</v>
      </c>
      <c r="H162" s="71">
        <v>-9.1085999999999991</v>
      </c>
      <c r="I162" s="71">
        <v>-14.0678</v>
      </c>
      <c r="J162" s="70" t="s">
        <v>647</v>
      </c>
      <c r="K162" s="70" t="s">
        <v>48</v>
      </c>
      <c r="L162" s="74">
        <v>46037</v>
      </c>
    </row>
    <row r="163" spans="1:12" hidden="1" x14ac:dyDescent="0.25">
      <c r="A163" s="70" t="s">
        <v>877</v>
      </c>
      <c r="B163" s="70" t="s">
        <v>986</v>
      </c>
      <c r="C163" s="70" t="s">
        <v>987</v>
      </c>
      <c r="D163" s="70">
        <v>1521</v>
      </c>
      <c r="E163" s="70">
        <v>-1</v>
      </c>
      <c r="F163" s="71">
        <v>4.7413999999999996</v>
      </c>
      <c r="G163" s="71">
        <v>13.757999999999999</v>
      </c>
      <c r="H163" s="71">
        <v>-4.7413999999999996</v>
      </c>
      <c r="I163" s="71">
        <v>-13.757999999999999</v>
      </c>
      <c r="J163" s="70" t="s">
        <v>647</v>
      </c>
      <c r="K163" s="70" t="s">
        <v>48</v>
      </c>
      <c r="L163" s="74">
        <v>46037</v>
      </c>
    </row>
    <row r="164" spans="1:12" hidden="1" x14ac:dyDescent="0.25">
      <c r="A164" s="70" t="s">
        <v>877</v>
      </c>
      <c r="B164" s="70" t="s">
        <v>988</v>
      </c>
      <c r="C164" s="70" t="s">
        <v>989</v>
      </c>
      <c r="D164" s="70">
        <v>1521</v>
      </c>
      <c r="E164" s="70">
        <v>-1</v>
      </c>
      <c r="F164" s="71">
        <v>8.8331999999999997</v>
      </c>
      <c r="G164" s="71">
        <v>12.936400000000001</v>
      </c>
      <c r="H164" s="71">
        <v>-8.8331999999999997</v>
      </c>
      <c r="I164" s="71">
        <v>-12.936400000000001</v>
      </c>
      <c r="J164" s="70" t="s">
        <v>647</v>
      </c>
      <c r="K164" s="70" t="s">
        <v>48</v>
      </c>
      <c r="L164" s="74">
        <v>46037</v>
      </c>
    </row>
    <row r="165" spans="1:12" hidden="1" x14ac:dyDescent="0.25">
      <c r="A165" s="70" t="s">
        <v>877</v>
      </c>
      <c r="B165" s="70" t="s">
        <v>812</v>
      </c>
      <c r="C165" s="70" t="s">
        <v>813</v>
      </c>
      <c r="D165" s="70">
        <v>1521</v>
      </c>
      <c r="E165" s="70">
        <v>-4</v>
      </c>
      <c r="F165" s="71">
        <v>1.8</v>
      </c>
      <c r="G165" s="71">
        <v>2.9571000000000001</v>
      </c>
      <c r="H165" s="71">
        <v>-7.2</v>
      </c>
      <c r="I165" s="71">
        <v>-11.8284</v>
      </c>
      <c r="J165" s="70" t="s">
        <v>647</v>
      </c>
      <c r="K165" s="70" t="s">
        <v>48</v>
      </c>
      <c r="L165" s="74">
        <v>46037</v>
      </c>
    </row>
    <row r="166" spans="1:12" hidden="1" x14ac:dyDescent="0.25">
      <c r="A166" s="70" t="s">
        <v>877</v>
      </c>
      <c r="B166" s="70" t="s">
        <v>990</v>
      </c>
      <c r="C166" s="70" t="s">
        <v>991</v>
      </c>
      <c r="D166" s="70">
        <v>1521</v>
      </c>
      <c r="E166" s="70">
        <v>-1</v>
      </c>
      <c r="F166" s="71">
        <v>5.0114999999999998</v>
      </c>
      <c r="G166" s="71">
        <v>10.616899999999999</v>
      </c>
      <c r="H166" s="71">
        <v>-5.0114999999999998</v>
      </c>
      <c r="I166" s="71">
        <v>-10.616899999999999</v>
      </c>
      <c r="J166" s="70" t="s">
        <v>647</v>
      </c>
      <c r="K166" s="70" t="s">
        <v>48</v>
      </c>
      <c r="L166" s="74">
        <v>46037</v>
      </c>
    </row>
    <row r="167" spans="1:12" hidden="1" x14ac:dyDescent="0.25">
      <c r="A167" s="70" t="s">
        <v>877</v>
      </c>
      <c r="B167" s="70" t="s">
        <v>992</v>
      </c>
      <c r="C167" s="70" t="s">
        <v>993</v>
      </c>
      <c r="D167" s="70">
        <v>1521</v>
      </c>
      <c r="E167" s="70">
        <v>-1</v>
      </c>
      <c r="F167" s="71">
        <v>3.6846000000000001</v>
      </c>
      <c r="G167" s="71">
        <v>9.4969000000000001</v>
      </c>
      <c r="H167" s="71">
        <v>-3.6846000000000001</v>
      </c>
      <c r="I167" s="71">
        <v>-9.4969000000000001</v>
      </c>
      <c r="J167" s="70" t="s">
        <v>647</v>
      </c>
      <c r="K167" s="70" t="s">
        <v>48</v>
      </c>
      <c r="L167" s="74">
        <v>46037</v>
      </c>
    </row>
    <row r="168" spans="1:12" hidden="1" x14ac:dyDescent="0.25">
      <c r="A168" s="70" t="s">
        <v>877</v>
      </c>
      <c r="B168" s="70" t="s">
        <v>994</v>
      </c>
      <c r="C168" s="70" t="s">
        <v>995</v>
      </c>
      <c r="D168" s="70">
        <v>1521</v>
      </c>
      <c r="E168" s="70">
        <v>-2</v>
      </c>
      <c r="F168" s="71">
        <v>2.4169999999999998</v>
      </c>
      <c r="G168" s="71">
        <v>3.9428999999999998</v>
      </c>
      <c r="H168" s="71">
        <v>-4.8339999999999996</v>
      </c>
      <c r="I168" s="71">
        <v>-7.8857999999999997</v>
      </c>
      <c r="J168" s="70" t="s">
        <v>647</v>
      </c>
      <c r="K168" s="70" t="s">
        <v>48</v>
      </c>
      <c r="L168" s="74">
        <v>46037</v>
      </c>
    </row>
    <row r="169" spans="1:12" hidden="1" x14ac:dyDescent="0.25">
      <c r="A169" s="70" t="s">
        <v>877</v>
      </c>
      <c r="B169" s="70" t="s">
        <v>794</v>
      </c>
      <c r="C169" s="70" t="s">
        <v>795</v>
      </c>
      <c r="D169" s="70">
        <v>1521</v>
      </c>
      <c r="E169" s="70">
        <v>-2</v>
      </c>
      <c r="F169" s="71">
        <v>2.3007</v>
      </c>
      <c r="G169" s="71">
        <v>3.7786</v>
      </c>
      <c r="H169" s="71">
        <v>-4.6013999999999999</v>
      </c>
      <c r="I169" s="71">
        <v>-7.5571999999999999</v>
      </c>
      <c r="J169" s="70" t="s">
        <v>647</v>
      </c>
      <c r="K169" s="70" t="s">
        <v>48</v>
      </c>
      <c r="L169" s="74">
        <v>46037</v>
      </c>
    </row>
    <row r="170" spans="1:12" hidden="1" x14ac:dyDescent="0.25">
      <c r="A170" s="70" t="s">
        <v>877</v>
      </c>
      <c r="B170" s="70" t="s">
        <v>705</v>
      </c>
      <c r="C170" s="70" t="s">
        <v>706</v>
      </c>
      <c r="D170" s="70">
        <v>1521</v>
      </c>
      <c r="E170" s="70">
        <v>-1</v>
      </c>
      <c r="F170" s="71">
        <v>2.448</v>
      </c>
      <c r="G170" s="71">
        <v>3.9428999999999998</v>
      </c>
      <c r="H170" s="71">
        <v>-2.448</v>
      </c>
      <c r="I170" s="71">
        <v>-3.9428999999999998</v>
      </c>
      <c r="J170" s="70" t="s">
        <v>647</v>
      </c>
      <c r="K170" s="70" t="s">
        <v>48</v>
      </c>
      <c r="L170" s="74">
        <v>46037</v>
      </c>
    </row>
    <row r="171" spans="1:12" hidden="1" x14ac:dyDescent="0.25">
      <c r="A171" s="70" t="s">
        <v>877</v>
      </c>
      <c r="B171" s="70" t="s">
        <v>996</v>
      </c>
      <c r="C171" s="70" t="s">
        <v>997</v>
      </c>
      <c r="D171" s="70">
        <v>1521</v>
      </c>
      <c r="E171" s="70">
        <v>-2</v>
      </c>
      <c r="F171" s="71">
        <v>0.67679999999999996</v>
      </c>
      <c r="G171" s="71">
        <v>1.5496000000000001</v>
      </c>
      <c r="H171" s="71">
        <v>-1.3535999999999999</v>
      </c>
      <c r="I171" s="71">
        <v>-3.0992000000000002</v>
      </c>
      <c r="J171" s="70" t="s">
        <v>647</v>
      </c>
      <c r="K171" s="70" t="s">
        <v>48</v>
      </c>
      <c r="L171" s="74">
        <v>46037</v>
      </c>
    </row>
    <row r="172" spans="1:12" hidden="1" x14ac:dyDescent="0.25">
      <c r="A172" s="70" t="s">
        <v>877</v>
      </c>
      <c r="B172" s="70" t="s">
        <v>909</v>
      </c>
      <c r="C172" s="70" t="s">
        <v>910</v>
      </c>
      <c r="D172" s="70">
        <v>1521</v>
      </c>
      <c r="E172" s="70">
        <v>-1</v>
      </c>
      <c r="F172" s="71">
        <v>0.85680000000000001</v>
      </c>
      <c r="G172" s="71">
        <v>1.7809999999999999</v>
      </c>
      <c r="H172" s="71">
        <v>-0.85680000000000001</v>
      </c>
      <c r="I172" s="71">
        <v>-1.7809999999999999</v>
      </c>
      <c r="J172" s="70" t="s">
        <v>647</v>
      </c>
      <c r="K172" s="70" t="s">
        <v>48</v>
      </c>
      <c r="L172" s="74">
        <v>46037</v>
      </c>
    </row>
    <row r="173" spans="1:12" hidden="1" x14ac:dyDescent="0.25">
      <c r="A173" s="70" t="s">
        <v>877</v>
      </c>
      <c r="B173" s="70" t="s">
        <v>998</v>
      </c>
      <c r="C173" s="70" t="s">
        <v>999</v>
      </c>
      <c r="D173" s="70">
        <v>1521</v>
      </c>
      <c r="E173" s="70">
        <v>-1</v>
      </c>
      <c r="F173" s="71">
        <v>0.6835</v>
      </c>
      <c r="G173" s="71">
        <v>1.7692000000000001</v>
      </c>
      <c r="H173" s="71">
        <v>-0.6835</v>
      </c>
      <c r="I173" s="71">
        <v>-1.7692000000000001</v>
      </c>
      <c r="J173" s="70" t="s">
        <v>647</v>
      </c>
      <c r="K173" s="70" t="s">
        <v>48</v>
      </c>
      <c r="L173" s="74">
        <v>46037</v>
      </c>
    </row>
    <row r="174" spans="1:12" hidden="1" x14ac:dyDescent="0.25">
      <c r="A174" s="70" t="s">
        <v>877</v>
      </c>
      <c r="B174" s="70" t="s">
        <v>743</v>
      </c>
      <c r="C174" s="70" t="s">
        <v>744</v>
      </c>
      <c r="D174" s="70">
        <v>1521</v>
      </c>
      <c r="E174" s="70">
        <v>-23</v>
      </c>
      <c r="F174" s="71">
        <v>4.2299999999999997E-2</v>
      </c>
      <c r="G174" s="71">
        <v>6.2E-2</v>
      </c>
      <c r="H174" s="71">
        <v>-0.97289999999999999</v>
      </c>
      <c r="I174" s="71">
        <v>-1.4259999999999999</v>
      </c>
      <c r="J174" s="70" t="s">
        <v>647</v>
      </c>
      <c r="K174" s="70" t="s">
        <v>48</v>
      </c>
      <c r="L174" s="74">
        <v>46037</v>
      </c>
    </row>
    <row r="175" spans="1:12" hidden="1" x14ac:dyDescent="0.25">
      <c r="A175" s="70" t="s">
        <v>898</v>
      </c>
      <c r="B175" s="70" t="s">
        <v>1000</v>
      </c>
      <c r="C175" s="70" t="s">
        <v>1001</v>
      </c>
      <c r="D175" s="70">
        <v>1521</v>
      </c>
      <c r="E175" s="70">
        <v>2</v>
      </c>
      <c r="F175" s="71">
        <v>32.217100000000002</v>
      </c>
      <c r="G175" s="71">
        <v>104.6007</v>
      </c>
      <c r="H175" s="71">
        <v>64.434200000000004</v>
      </c>
      <c r="I175" s="71">
        <v>209.20140000000001</v>
      </c>
      <c r="J175" s="70" t="s">
        <v>647</v>
      </c>
      <c r="K175" s="70" t="s">
        <v>48</v>
      </c>
      <c r="L175" s="74">
        <v>46037</v>
      </c>
    </row>
    <row r="176" spans="1:12" hidden="1" x14ac:dyDescent="0.25">
      <c r="A176" s="70" t="s">
        <v>898</v>
      </c>
      <c r="B176" s="70" t="s">
        <v>1002</v>
      </c>
      <c r="C176" s="70" t="s">
        <v>1003</v>
      </c>
      <c r="D176" s="70">
        <v>1521</v>
      </c>
      <c r="E176" s="70">
        <v>1</v>
      </c>
      <c r="F176" s="71">
        <v>76.155799999999999</v>
      </c>
      <c r="G176" s="71">
        <v>128.93469999999999</v>
      </c>
      <c r="H176" s="71">
        <v>76.155799999999999</v>
      </c>
      <c r="I176" s="71">
        <v>128.93469999999999</v>
      </c>
      <c r="J176" s="70" t="s">
        <v>647</v>
      </c>
      <c r="K176" s="70" t="s">
        <v>48</v>
      </c>
      <c r="L176" s="74">
        <v>46037</v>
      </c>
    </row>
    <row r="177" spans="1:12" hidden="1" x14ac:dyDescent="0.25">
      <c r="A177" s="70" t="s">
        <v>898</v>
      </c>
      <c r="B177" s="70" t="s">
        <v>850</v>
      </c>
      <c r="C177" s="70" t="s">
        <v>1004</v>
      </c>
      <c r="D177" s="70">
        <v>1521</v>
      </c>
      <c r="E177" s="70">
        <v>1</v>
      </c>
      <c r="F177" s="71">
        <v>75.533199999999994</v>
      </c>
      <c r="G177" s="71">
        <v>128.93469999999999</v>
      </c>
      <c r="H177" s="71">
        <v>75.533199999999994</v>
      </c>
      <c r="I177" s="71">
        <v>128.93469999999999</v>
      </c>
      <c r="J177" s="70" t="s">
        <v>647</v>
      </c>
      <c r="K177" s="70" t="s">
        <v>48</v>
      </c>
      <c r="L177" s="74">
        <v>46037</v>
      </c>
    </row>
    <row r="178" spans="1:12" hidden="1" x14ac:dyDescent="0.25">
      <c r="A178" s="70" t="s">
        <v>898</v>
      </c>
      <c r="B178" s="70" t="s">
        <v>1005</v>
      </c>
      <c r="C178" s="70" t="s">
        <v>1006</v>
      </c>
      <c r="D178" s="70">
        <v>1521</v>
      </c>
      <c r="E178" s="70">
        <v>1</v>
      </c>
      <c r="F178" s="71">
        <v>32.662100000000002</v>
      </c>
      <c r="G178" s="71">
        <v>81.297899999999998</v>
      </c>
      <c r="H178" s="71">
        <v>32.662100000000002</v>
      </c>
      <c r="I178" s="71">
        <v>81.297899999999998</v>
      </c>
      <c r="J178" s="70" t="s">
        <v>647</v>
      </c>
      <c r="K178" s="70" t="s">
        <v>48</v>
      </c>
      <c r="L178" s="74">
        <v>46037</v>
      </c>
    </row>
    <row r="179" spans="1:12" hidden="1" x14ac:dyDescent="0.25">
      <c r="A179" s="70" t="s">
        <v>898</v>
      </c>
      <c r="B179" s="70" t="s">
        <v>1007</v>
      </c>
      <c r="C179" s="70" t="s">
        <v>1008</v>
      </c>
      <c r="D179" s="70">
        <v>1521</v>
      </c>
      <c r="E179" s="70">
        <v>1</v>
      </c>
      <c r="F179" s="71">
        <v>27.909099999999999</v>
      </c>
      <c r="G179" s="71">
        <v>72.620500000000007</v>
      </c>
      <c r="H179" s="71">
        <v>27.909099999999999</v>
      </c>
      <c r="I179" s="71">
        <v>72.620500000000007</v>
      </c>
      <c r="J179" s="70" t="s">
        <v>647</v>
      </c>
      <c r="K179" s="70" t="s">
        <v>48</v>
      </c>
      <c r="L179" s="74">
        <v>46037</v>
      </c>
    </row>
    <row r="180" spans="1:12" hidden="1" x14ac:dyDescent="0.25">
      <c r="A180" s="70" t="s">
        <v>898</v>
      </c>
      <c r="B180" s="70" t="s">
        <v>1009</v>
      </c>
      <c r="C180" s="70" t="s">
        <v>1010</v>
      </c>
      <c r="D180" s="70">
        <v>1521</v>
      </c>
      <c r="E180" s="70">
        <v>1</v>
      </c>
      <c r="F180" s="71">
        <v>39.783900000000003</v>
      </c>
      <c r="G180" s="71">
        <v>53.915999999999997</v>
      </c>
      <c r="H180" s="71">
        <v>39.783900000000003</v>
      </c>
      <c r="I180" s="71">
        <v>53.915999999999997</v>
      </c>
      <c r="J180" s="70" t="s">
        <v>647</v>
      </c>
      <c r="K180" s="70" t="s">
        <v>48</v>
      </c>
      <c r="L180" s="74">
        <v>46037</v>
      </c>
    </row>
    <row r="181" spans="1:12" hidden="1" x14ac:dyDescent="0.25">
      <c r="A181" s="70" t="s">
        <v>898</v>
      </c>
      <c r="B181" s="70" t="s">
        <v>1011</v>
      </c>
      <c r="C181" s="70" t="s">
        <v>1012</v>
      </c>
      <c r="D181" s="70">
        <v>1521</v>
      </c>
      <c r="E181" s="70">
        <v>1</v>
      </c>
      <c r="F181" s="71">
        <v>30.142900000000001</v>
      </c>
      <c r="G181" s="71">
        <v>42.084499999999998</v>
      </c>
      <c r="H181" s="71">
        <v>30.142900000000001</v>
      </c>
      <c r="I181" s="71">
        <v>42.084499999999998</v>
      </c>
      <c r="J181" s="70" t="s">
        <v>647</v>
      </c>
      <c r="K181" s="70" t="s">
        <v>48</v>
      </c>
      <c r="L181" s="74">
        <v>46037</v>
      </c>
    </row>
    <row r="182" spans="1:12" hidden="1" x14ac:dyDescent="0.25">
      <c r="A182" s="70" t="s">
        <v>898</v>
      </c>
      <c r="B182" s="70" t="s">
        <v>1013</v>
      </c>
      <c r="C182" s="70" t="s">
        <v>1014</v>
      </c>
      <c r="D182" s="70">
        <v>1521</v>
      </c>
      <c r="E182" s="70">
        <v>1</v>
      </c>
      <c r="F182" s="71">
        <v>15.607699999999999</v>
      </c>
      <c r="G182" s="71">
        <v>38.445700000000002</v>
      </c>
      <c r="H182" s="71">
        <v>15.607699999999999</v>
      </c>
      <c r="I182" s="71">
        <v>38.445700000000002</v>
      </c>
      <c r="J182" s="70" t="s">
        <v>647</v>
      </c>
      <c r="K182" s="70" t="s">
        <v>48</v>
      </c>
      <c r="L182" s="74">
        <v>46037</v>
      </c>
    </row>
    <row r="183" spans="1:12" hidden="1" x14ac:dyDescent="0.25">
      <c r="A183" s="70" t="s">
        <v>898</v>
      </c>
      <c r="B183" s="70" t="s">
        <v>1015</v>
      </c>
      <c r="C183" s="70" t="s">
        <v>1016</v>
      </c>
      <c r="D183" s="70">
        <v>1521</v>
      </c>
      <c r="E183" s="70">
        <v>1</v>
      </c>
      <c r="F183" s="71">
        <v>13.764900000000001</v>
      </c>
      <c r="G183" s="71">
        <v>30.7319</v>
      </c>
      <c r="H183" s="71">
        <v>13.764900000000001</v>
      </c>
      <c r="I183" s="71">
        <v>30.7319</v>
      </c>
      <c r="J183" s="70" t="s">
        <v>647</v>
      </c>
      <c r="K183" s="70" t="s">
        <v>48</v>
      </c>
      <c r="L183" s="74">
        <v>46037</v>
      </c>
    </row>
    <row r="184" spans="1:12" hidden="1" x14ac:dyDescent="0.25">
      <c r="A184" s="70" t="s">
        <v>898</v>
      </c>
      <c r="B184" s="70" t="s">
        <v>1017</v>
      </c>
      <c r="C184" s="70" t="s">
        <v>1018</v>
      </c>
      <c r="D184" s="70">
        <v>1521</v>
      </c>
      <c r="E184" s="70">
        <v>4</v>
      </c>
      <c r="F184" s="71">
        <v>2.4228999999999998</v>
      </c>
      <c r="G184" s="71">
        <v>5.0126999999999997</v>
      </c>
      <c r="H184" s="71">
        <v>9.6915999999999993</v>
      </c>
      <c r="I184" s="71">
        <v>20.050799999999999</v>
      </c>
      <c r="J184" s="70" t="s">
        <v>647</v>
      </c>
      <c r="K184" s="70" t="s">
        <v>48</v>
      </c>
      <c r="L184" s="74">
        <v>46037</v>
      </c>
    </row>
    <row r="185" spans="1:12" hidden="1" x14ac:dyDescent="0.25">
      <c r="A185" s="70" t="s">
        <v>898</v>
      </c>
      <c r="B185" s="70" t="s">
        <v>1019</v>
      </c>
      <c r="C185" s="70" t="s">
        <v>1020</v>
      </c>
      <c r="D185" s="70">
        <v>1521</v>
      </c>
      <c r="E185" s="70">
        <v>1</v>
      </c>
      <c r="F185" s="71">
        <v>4.0208000000000004</v>
      </c>
      <c r="G185" s="71">
        <v>13.007</v>
      </c>
      <c r="H185" s="71">
        <v>4.0208000000000004</v>
      </c>
      <c r="I185" s="71">
        <v>13.007</v>
      </c>
      <c r="J185" s="70" t="s">
        <v>647</v>
      </c>
      <c r="K185" s="70" t="s">
        <v>48</v>
      </c>
      <c r="L185" s="74">
        <v>46037</v>
      </c>
    </row>
    <row r="186" spans="1:12" hidden="1" x14ac:dyDescent="0.25">
      <c r="A186" s="70" t="s">
        <v>898</v>
      </c>
      <c r="B186" s="70" t="s">
        <v>1021</v>
      </c>
      <c r="C186" s="70" t="s">
        <v>1022</v>
      </c>
      <c r="D186" s="70">
        <v>1521</v>
      </c>
      <c r="E186" s="70">
        <v>1</v>
      </c>
      <c r="F186" s="71">
        <v>3.5373000000000001</v>
      </c>
      <c r="G186" s="71">
        <v>9.1173000000000002</v>
      </c>
      <c r="H186" s="71">
        <v>3.5373000000000001</v>
      </c>
      <c r="I186" s="71">
        <v>9.1173000000000002</v>
      </c>
      <c r="J186" s="70" t="s">
        <v>647</v>
      </c>
      <c r="K186" s="70" t="s">
        <v>48</v>
      </c>
      <c r="L186" s="74">
        <v>46037</v>
      </c>
    </row>
    <row r="187" spans="1:12" hidden="1" x14ac:dyDescent="0.25">
      <c r="A187" s="70" t="s">
        <v>898</v>
      </c>
      <c r="B187" s="70" t="s">
        <v>1023</v>
      </c>
      <c r="C187" s="70" t="s">
        <v>1024</v>
      </c>
      <c r="D187" s="70">
        <v>1521</v>
      </c>
      <c r="E187" s="70">
        <v>1</v>
      </c>
      <c r="F187" s="71">
        <v>3.3704999999999998</v>
      </c>
      <c r="G187" s="71">
        <v>4.7396000000000003</v>
      </c>
      <c r="H187" s="71">
        <v>3.3704999999999998</v>
      </c>
      <c r="I187" s="71">
        <v>4.7396000000000003</v>
      </c>
      <c r="J187" s="70" t="s">
        <v>647</v>
      </c>
      <c r="K187" s="70" t="s">
        <v>48</v>
      </c>
      <c r="L187" s="74">
        <v>46037</v>
      </c>
    </row>
    <row r="188" spans="1:12" hidden="1" x14ac:dyDescent="0.25">
      <c r="A188" s="70" t="s">
        <v>898</v>
      </c>
      <c r="B188" s="70" t="s">
        <v>1025</v>
      </c>
      <c r="C188" s="70" t="s">
        <v>1026</v>
      </c>
      <c r="D188" s="70">
        <v>1521</v>
      </c>
      <c r="E188" s="70">
        <v>1</v>
      </c>
      <c r="F188" s="71">
        <v>3.3479000000000001</v>
      </c>
      <c r="G188" s="71">
        <v>4.7396000000000003</v>
      </c>
      <c r="H188" s="71">
        <v>3.3479000000000001</v>
      </c>
      <c r="I188" s="71">
        <v>4.7396000000000003</v>
      </c>
      <c r="J188" s="70" t="s">
        <v>647</v>
      </c>
      <c r="K188" s="70" t="s">
        <v>48</v>
      </c>
      <c r="L188" s="74">
        <v>46037</v>
      </c>
    </row>
    <row r="189" spans="1:12" hidden="1" x14ac:dyDescent="0.25">
      <c r="A189" s="70" t="s">
        <v>911</v>
      </c>
      <c r="B189" s="70" t="s">
        <v>1027</v>
      </c>
      <c r="C189" s="70" t="s">
        <v>1028</v>
      </c>
      <c r="D189" s="70">
        <v>1521</v>
      </c>
      <c r="E189" s="70">
        <v>1</v>
      </c>
      <c r="F189" s="71">
        <v>379.78050000000002</v>
      </c>
      <c r="G189" s="71">
        <v>891.72199999999998</v>
      </c>
      <c r="H189" s="71">
        <v>379.78050000000002</v>
      </c>
      <c r="I189" s="71">
        <v>891.72199999999998</v>
      </c>
      <c r="J189" s="70" t="s">
        <v>647</v>
      </c>
      <c r="K189" s="70" t="s">
        <v>48</v>
      </c>
      <c r="L189" s="74">
        <v>46037</v>
      </c>
    </row>
    <row r="190" spans="1:12" hidden="1" x14ac:dyDescent="0.25">
      <c r="A190" s="70" t="s">
        <v>922</v>
      </c>
      <c r="B190" s="70" t="s">
        <v>1029</v>
      </c>
      <c r="C190" s="70" t="s">
        <v>1030</v>
      </c>
      <c r="D190" s="70">
        <v>1521</v>
      </c>
      <c r="E190" s="70">
        <v>-1</v>
      </c>
      <c r="F190" s="71">
        <v>373.55489999999998</v>
      </c>
      <c r="G190" s="71">
        <v>933.63520000000005</v>
      </c>
      <c r="H190" s="71">
        <v>-373.55489999999998</v>
      </c>
      <c r="I190" s="71">
        <v>-933.63520000000005</v>
      </c>
      <c r="J190" s="70" t="s">
        <v>647</v>
      </c>
      <c r="K190" s="70" t="s">
        <v>48</v>
      </c>
      <c r="L190" s="74">
        <v>46037</v>
      </c>
    </row>
    <row r="191" spans="1:12" hidden="1" x14ac:dyDescent="0.25">
      <c r="A191" s="70" t="s">
        <v>911</v>
      </c>
      <c r="B191" s="70" t="s">
        <v>1031</v>
      </c>
      <c r="C191" s="70" t="s">
        <v>1032</v>
      </c>
      <c r="D191" s="70">
        <v>1521</v>
      </c>
      <c r="E191" s="70">
        <v>1</v>
      </c>
      <c r="F191" s="71">
        <v>117.127</v>
      </c>
      <c r="G191" s="71">
        <v>169.43180000000001</v>
      </c>
      <c r="H191" s="71">
        <v>117.127</v>
      </c>
      <c r="I191" s="71">
        <v>169.43180000000001</v>
      </c>
      <c r="J191" s="70" t="s">
        <v>647</v>
      </c>
      <c r="K191" s="70" t="s">
        <v>48</v>
      </c>
      <c r="L191" s="74">
        <v>46037</v>
      </c>
    </row>
    <row r="192" spans="1:12" hidden="1" x14ac:dyDescent="0.25">
      <c r="A192" s="70" t="s">
        <v>922</v>
      </c>
      <c r="B192" s="70" t="s">
        <v>1033</v>
      </c>
      <c r="C192" s="70" t="s">
        <v>1034</v>
      </c>
      <c r="D192" s="70">
        <v>1521</v>
      </c>
      <c r="E192" s="70">
        <v>-1</v>
      </c>
      <c r="F192" s="71">
        <v>82.488200000000006</v>
      </c>
      <c r="G192" s="71">
        <v>207.56209999999999</v>
      </c>
      <c r="H192" s="71">
        <v>-82.488200000000006</v>
      </c>
      <c r="I192" s="71">
        <v>-207.56209999999999</v>
      </c>
      <c r="J192" s="70" t="s">
        <v>647</v>
      </c>
      <c r="K192" s="70" t="s">
        <v>48</v>
      </c>
      <c r="L192" s="74">
        <v>46037</v>
      </c>
    </row>
    <row r="193" spans="1:12" hidden="1" x14ac:dyDescent="0.25">
      <c r="A193" s="70" t="s">
        <v>911</v>
      </c>
      <c r="B193" s="70" t="s">
        <v>1035</v>
      </c>
      <c r="C193" s="70" t="s">
        <v>1036</v>
      </c>
      <c r="D193" s="70">
        <v>1521</v>
      </c>
      <c r="E193" s="70">
        <v>1</v>
      </c>
      <c r="F193" s="71">
        <v>331.99919999999997</v>
      </c>
      <c r="G193" s="71">
        <v>787.15049999999997</v>
      </c>
      <c r="H193" s="71">
        <v>331.99919999999997</v>
      </c>
      <c r="I193" s="71">
        <v>787.15049999999997</v>
      </c>
      <c r="J193" s="70" t="s">
        <v>647</v>
      </c>
      <c r="K193" s="70" t="s">
        <v>48</v>
      </c>
      <c r="L193" s="74">
        <v>46037</v>
      </c>
    </row>
    <row r="194" spans="1:12" hidden="1" x14ac:dyDescent="0.25">
      <c r="A194" s="70" t="s">
        <v>922</v>
      </c>
      <c r="B194" s="70" t="s">
        <v>912</v>
      </c>
      <c r="C194" s="70" t="s">
        <v>1037</v>
      </c>
      <c r="D194" s="70">
        <v>1521</v>
      </c>
      <c r="E194" s="70">
        <v>-1</v>
      </c>
      <c r="F194" s="71">
        <v>331.99919999999997</v>
      </c>
      <c r="G194" s="71">
        <v>824.10239999999999</v>
      </c>
      <c r="H194" s="71">
        <v>-331.99919999999997</v>
      </c>
      <c r="I194" s="71">
        <v>-824.10239999999999</v>
      </c>
      <c r="J194" s="70" t="s">
        <v>647</v>
      </c>
      <c r="K194" s="70" t="s">
        <v>48</v>
      </c>
      <c r="L194" s="74">
        <v>46037</v>
      </c>
    </row>
    <row r="195" spans="1:12" hidden="1" x14ac:dyDescent="0.25">
      <c r="A195" s="70" t="s">
        <v>911</v>
      </c>
      <c r="B195" s="70" t="s">
        <v>1038</v>
      </c>
      <c r="C195" s="70" t="s">
        <v>1039</v>
      </c>
      <c r="D195" s="70">
        <v>1521</v>
      </c>
      <c r="E195" s="70">
        <v>1</v>
      </c>
      <c r="F195" s="71">
        <v>121.09</v>
      </c>
      <c r="G195" s="71">
        <v>180.8484</v>
      </c>
      <c r="H195" s="71">
        <v>121.09</v>
      </c>
      <c r="I195" s="71">
        <v>180.8484</v>
      </c>
      <c r="J195" s="70" t="s">
        <v>647</v>
      </c>
      <c r="K195" s="70" t="s">
        <v>48</v>
      </c>
      <c r="L195" s="74">
        <v>46037</v>
      </c>
    </row>
    <row r="196" spans="1:12" hidden="1" x14ac:dyDescent="0.25">
      <c r="A196" s="70" t="s">
        <v>922</v>
      </c>
      <c r="B196" s="70" t="s">
        <v>1040</v>
      </c>
      <c r="C196" s="70" t="s">
        <v>1041</v>
      </c>
      <c r="D196" s="70">
        <v>1521</v>
      </c>
      <c r="E196" s="70">
        <v>-1</v>
      </c>
      <c r="F196" s="71">
        <v>152.1636</v>
      </c>
      <c r="G196" s="71">
        <v>211.6712</v>
      </c>
      <c r="H196" s="71">
        <v>-152.1636</v>
      </c>
      <c r="I196" s="71">
        <v>-211.6712</v>
      </c>
      <c r="J196" s="70" t="s">
        <v>647</v>
      </c>
      <c r="K196" s="70" t="s">
        <v>48</v>
      </c>
      <c r="L196" s="74">
        <v>46037</v>
      </c>
    </row>
    <row r="197" spans="1:12" hidden="1" x14ac:dyDescent="0.25">
      <c r="A197" s="70" t="s">
        <v>911</v>
      </c>
      <c r="B197" s="70" t="s">
        <v>1042</v>
      </c>
      <c r="C197" s="70" t="s">
        <v>1043</v>
      </c>
      <c r="D197" s="70">
        <v>1521</v>
      </c>
      <c r="E197" s="70">
        <v>1</v>
      </c>
      <c r="F197" s="71">
        <v>11.69</v>
      </c>
      <c r="G197" s="71">
        <v>17.453600000000002</v>
      </c>
      <c r="H197" s="71">
        <v>11.69</v>
      </c>
      <c r="I197" s="71">
        <v>17.453600000000002</v>
      </c>
      <c r="J197" s="70" t="s">
        <v>647</v>
      </c>
      <c r="K197" s="70" t="s">
        <v>48</v>
      </c>
      <c r="L197" s="74">
        <v>46037</v>
      </c>
    </row>
    <row r="198" spans="1:12" hidden="1" x14ac:dyDescent="0.25">
      <c r="A198" s="70" t="s">
        <v>922</v>
      </c>
      <c r="B198" s="70" t="s">
        <v>1044</v>
      </c>
      <c r="C198" s="70" t="s">
        <v>1045</v>
      </c>
      <c r="D198" s="70">
        <v>1521</v>
      </c>
      <c r="E198" s="70">
        <v>-1</v>
      </c>
      <c r="F198" s="71">
        <v>26.234400000000001</v>
      </c>
      <c r="G198" s="71">
        <v>38.414900000000003</v>
      </c>
      <c r="H198" s="71">
        <v>-26.234400000000001</v>
      </c>
      <c r="I198" s="71">
        <v>-38.414900000000003</v>
      </c>
      <c r="J198" s="70" t="s">
        <v>647</v>
      </c>
      <c r="K198" s="70" t="s">
        <v>48</v>
      </c>
      <c r="L198" s="74">
        <v>46037</v>
      </c>
    </row>
    <row r="199" spans="1:12" hidden="1" x14ac:dyDescent="0.25">
      <c r="A199" s="70" t="s">
        <v>911</v>
      </c>
      <c r="B199" s="70" t="s">
        <v>1046</v>
      </c>
      <c r="C199" s="70" t="s">
        <v>1047</v>
      </c>
      <c r="D199" s="70">
        <v>1521</v>
      </c>
      <c r="E199" s="70">
        <v>7</v>
      </c>
      <c r="F199" s="71">
        <v>21.216000000000001</v>
      </c>
      <c r="G199" s="71">
        <v>64.857399999999998</v>
      </c>
      <c r="H199" s="71">
        <v>148.512</v>
      </c>
      <c r="I199" s="71">
        <v>454.0018</v>
      </c>
      <c r="J199" s="70" t="s">
        <v>647</v>
      </c>
      <c r="K199" s="70" t="s">
        <v>48</v>
      </c>
      <c r="L199" s="74">
        <v>46037</v>
      </c>
    </row>
    <row r="200" spans="1:12" hidden="1" x14ac:dyDescent="0.25">
      <c r="A200" s="70" t="s">
        <v>922</v>
      </c>
      <c r="B200" s="70" t="s">
        <v>1048</v>
      </c>
      <c r="C200" s="70" t="s">
        <v>1047</v>
      </c>
      <c r="D200" s="70">
        <v>1521</v>
      </c>
      <c r="E200" s="70">
        <v>-7</v>
      </c>
      <c r="F200" s="71">
        <v>29.065100000000001</v>
      </c>
      <c r="G200" s="71">
        <v>67.236599999999996</v>
      </c>
      <c r="H200" s="71">
        <v>-203.45570000000001</v>
      </c>
      <c r="I200" s="71">
        <v>-470.65620000000001</v>
      </c>
      <c r="J200" s="70" t="s">
        <v>647</v>
      </c>
      <c r="K200" s="70" t="s">
        <v>48</v>
      </c>
      <c r="L200" s="74">
        <v>46037</v>
      </c>
    </row>
    <row r="201" spans="1:12" hidden="1" x14ac:dyDescent="0.25">
      <c r="A201" s="70" t="s">
        <v>911</v>
      </c>
      <c r="B201" s="70" t="s">
        <v>1049</v>
      </c>
      <c r="C201" s="70" t="s">
        <v>1050</v>
      </c>
      <c r="D201" s="70">
        <v>1521</v>
      </c>
      <c r="E201" s="70">
        <v>1</v>
      </c>
      <c r="F201" s="71">
        <v>16.715900000000001</v>
      </c>
      <c r="G201" s="71">
        <v>24.474900000000002</v>
      </c>
      <c r="H201" s="71">
        <v>16.715900000000001</v>
      </c>
      <c r="I201" s="71">
        <v>24.474900000000002</v>
      </c>
      <c r="J201" s="70" t="s">
        <v>647</v>
      </c>
      <c r="K201" s="70" t="s">
        <v>48</v>
      </c>
      <c r="L201" s="74">
        <v>46037</v>
      </c>
    </row>
    <row r="202" spans="1:12" hidden="1" x14ac:dyDescent="0.25">
      <c r="A202" s="70" t="s">
        <v>922</v>
      </c>
      <c r="B202" s="70" t="s">
        <v>1051</v>
      </c>
      <c r="C202" s="70" t="s">
        <v>1052</v>
      </c>
      <c r="D202" s="70">
        <v>1521</v>
      </c>
      <c r="E202" s="70">
        <v>-1</v>
      </c>
      <c r="F202" s="71">
        <v>14.535</v>
      </c>
      <c r="G202" s="71">
        <v>36.393000000000001</v>
      </c>
      <c r="H202" s="71">
        <v>-14.535</v>
      </c>
      <c r="I202" s="71">
        <v>-36.393000000000001</v>
      </c>
      <c r="J202" s="70" t="s">
        <v>647</v>
      </c>
      <c r="K202" s="70" t="s">
        <v>48</v>
      </c>
      <c r="L202" s="74">
        <v>46037</v>
      </c>
    </row>
    <row r="203" spans="1:12" hidden="1" x14ac:dyDescent="0.25">
      <c r="A203" s="70" t="s">
        <v>911</v>
      </c>
      <c r="B203" s="70" t="s">
        <v>770</v>
      </c>
      <c r="C203" s="70" t="s">
        <v>1053</v>
      </c>
      <c r="D203" s="70">
        <v>1521</v>
      </c>
      <c r="E203" s="70">
        <v>1</v>
      </c>
      <c r="F203" s="71">
        <v>37.872999999999998</v>
      </c>
      <c r="G203" s="71">
        <v>84.013400000000004</v>
      </c>
      <c r="H203" s="71">
        <v>37.872999999999998</v>
      </c>
      <c r="I203" s="71">
        <v>84.013400000000004</v>
      </c>
      <c r="J203" s="70" t="s">
        <v>647</v>
      </c>
      <c r="K203" s="70" t="s">
        <v>48</v>
      </c>
      <c r="L203" s="74">
        <v>46037</v>
      </c>
    </row>
    <row r="204" spans="1:12" hidden="1" x14ac:dyDescent="0.25">
      <c r="A204" s="70" t="s">
        <v>922</v>
      </c>
      <c r="B204" s="70" t="s">
        <v>1054</v>
      </c>
      <c r="C204" s="70" t="s">
        <v>1055</v>
      </c>
      <c r="D204" s="70">
        <v>1521</v>
      </c>
      <c r="E204" s="70">
        <v>-1</v>
      </c>
      <c r="F204" s="71">
        <v>42.605600000000003</v>
      </c>
      <c r="G204" s="71">
        <v>94.510099999999994</v>
      </c>
      <c r="H204" s="71">
        <v>-42.605600000000003</v>
      </c>
      <c r="I204" s="71">
        <v>-94.510099999999994</v>
      </c>
      <c r="J204" s="70" t="s">
        <v>647</v>
      </c>
      <c r="K204" s="70" t="s">
        <v>48</v>
      </c>
      <c r="L204" s="74">
        <v>46037</v>
      </c>
    </row>
    <row r="205" spans="1:12" hidden="1" x14ac:dyDescent="0.25">
      <c r="A205" s="70" t="s">
        <v>911</v>
      </c>
      <c r="B205" s="70" t="s">
        <v>1056</v>
      </c>
      <c r="C205" s="70" t="s">
        <v>1057</v>
      </c>
      <c r="D205" s="70">
        <v>1521</v>
      </c>
      <c r="E205" s="70">
        <v>1</v>
      </c>
      <c r="F205" s="71">
        <v>111.792</v>
      </c>
      <c r="G205" s="71">
        <v>165.566</v>
      </c>
      <c r="H205" s="71">
        <v>111.792</v>
      </c>
      <c r="I205" s="71">
        <v>165.566</v>
      </c>
      <c r="J205" s="70" t="s">
        <v>647</v>
      </c>
      <c r="K205" s="70" t="s">
        <v>48</v>
      </c>
      <c r="L205" s="74">
        <v>46037</v>
      </c>
    </row>
    <row r="206" spans="1:12" hidden="1" x14ac:dyDescent="0.25">
      <c r="A206" s="70" t="s">
        <v>922</v>
      </c>
      <c r="B206" s="70" t="s">
        <v>1058</v>
      </c>
      <c r="C206" s="70" t="s">
        <v>1059</v>
      </c>
      <c r="D206" s="70">
        <v>1521</v>
      </c>
      <c r="E206" s="70">
        <v>-1</v>
      </c>
      <c r="F206" s="71">
        <v>126.684</v>
      </c>
      <c r="G206" s="71">
        <v>174.21260000000001</v>
      </c>
      <c r="H206" s="71">
        <v>-126.684</v>
      </c>
      <c r="I206" s="71">
        <v>-174.21260000000001</v>
      </c>
      <c r="J206" s="70" t="s">
        <v>647</v>
      </c>
      <c r="K206" s="70" t="s">
        <v>48</v>
      </c>
      <c r="L206" s="74">
        <v>46037</v>
      </c>
    </row>
    <row r="207" spans="1:12" hidden="1" x14ac:dyDescent="0.25">
      <c r="A207" s="70" t="s">
        <v>911</v>
      </c>
      <c r="B207" s="70" t="s">
        <v>1060</v>
      </c>
      <c r="C207" s="70" t="s">
        <v>1061</v>
      </c>
      <c r="D207" s="70">
        <v>1521</v>
      </c>
      <c r="E207" s="70">
        <v>1</v>
      </c>
      <c r="F207" s="71">
        <v>84.331299999999999</v>
      </c>
      <c r="G207" s="71">
        <v>196.09030000000001</v>
      </c>
      <c r="H207" s="71">
        <v>84.331299999999999</v>
      </c>
      <c r="I207" s="71">
        <v>196.09030000000001</v>
      </c>
      <c r="J207" s="70" t="s">
        <v>647</v>
      </c>
      <c r="K207" s="70" t="s">
        <v>48</v>
      </c>
      <c r="L207" s="74">
        <v>46037</v>
      </c>
    </row>
    <row r="208" spans="1:12" hidden="1" x14ac:dyDescent="0.25">
      <c r="A208" s="70" t="s">
        <v>922</v>
      </c>
      <c r="B208" s="70" t="s">
        <v>1062</v>
      </c>
      <c r="C208" s="70" t="s">
        <v>1063</v>
      </c>
      <c r="D208" s="70">
        <v>1521</v>
      </c>
      <c r="E208" s="70">
        <v>-1</v>
      </c>
      <c r="F208" s="71">
        <v>138.05699999999999</v>
      </c>
      <c r="G208" s="71">
        <v>202.1446</v>
      </c>
      <c r="H208" s="71">
        <v>-138.05699999999999</v>
      </c>
      <c r="I208" s="71">
        <v>-202.1446</v>
      </c>
      <c r="J208" s="70" t="s">
        <v>647</v>
      </c>
      <c r="K208" s="70" t="s">
        <v>48</v>
      </c>
      <c r="L208" s="74">
        <v>46037</v>
      </c>
    </row>
    <row r="209" spans="1:12" hidden="1" x14ac:dyDescent="0.25">
      <c r="A209" s="70" t="s">
        <v>911</v>
      </c>
      <c r="B209" s="70" t="s">
        <v>1064</v>
      </c>
      <c r="C209" s="70" t="s">
        <v>1065</v>
      </c>
      <c r="D209" s="70">
        <v>1521</v>
      </c>
      <c r="E209" s="70">
        <v>1</v>
      </c>
      <c r="F209" s="71">
        <v>55.095799999999997</v>
      </c>
      <c r="G209" s="71">
        <v>143.1326</v>
      </c>
      <c r="H209" s="71">
        <v>55.095799999999997</v>
      </c>
      <c r="I209" s="71">
        <v>143.1326</v>
      </c>
      <c r="J209" s="70" t="s">
        <v>647</v>
      </c>
      <c r="K209" s="70" t="s">
        <v>48</v>
      </c>
      <c r="L209" s="74">
        <v>46037</v>
      </c>
    </row>
    <row r="210" spans="1:12" hidden="1" x14ac:dyDescent="0.25">
      <c r="A210" s="70" t="s">
        <v>922</v>
      </c>
      <c r="B210" s="70" t="s">
        <v>1066</v>
      </c>
      <c r="C210" s="70" t="s">
        <v>1067</v>
      </c>
      <c r="D210" s="70">
        <v>1521</v>
      </c>
      <c r="E210" s="70">
        <v>-1</v>
      </c>
      <c r="F210" s="71">
        <v>59.820700000000002</v>
      </c>
      <c r="G210" s="71">
        <v>148.9067</v>
      </c>
      <c r="H210" s="71">
        <v>-59.820700000000002</v>
      </c>
      <c r="I210" s="71">
        <v>-148.9067</v>
      </c>
      <c r="J210" s="70" t="s">
        <v>647</v>
      </c>
      <c r="K210" s="70" t="s">
        <v>48</v>
      </c>
      <c r="L210" s="74">
        <v>46037</v>
      </c>
    </row>
    <row r="211" spans="1:12" hidden="1" x14ac:dyDescent="0.25">
      <c r="A211" s="70" t="s">
        <v>911</v>
      </c>
      <c r="B211" s="70" t="s">
        <v>1068</v>
      </c>
      <c r="C211" s="70" t="s">
        <v>1069</v>
      </c>
      <c r="D211" s="70">
        <v>1521</v>
      </c>
      <c r="E211" s="70">
        <v>1</v>
      </c>
      <c r="F211" s="71">
        <v>27.234000000000002</v>
      </c>
      <c r="G211" s="71">
        <v>61.818899999999999</v>
      </c>
      <c r="H211" s="71">
        <v>27.234000000000002</v>
      </c>
      <c r="I211" s="71">
        <v>61.818899999999999</v>
      </c>
      <c r="J211" s="70" t="s">
        <v>647</v>
      </c>
      <c r="K211" s="70" t="s">
        <v>48</v>
      </c>
      <c r="L211" s="74">
        <v>46037</v>
      </c>
    </row>
    <row r="212" spans="1:12" hidden="1" x14ac:dyDescent="0.25">
      <c r="A212" s="70" t="s">
        <v>922</v>
      </c>
      <c r="B212" s="70" t="s">
        <v>1048</v>
      </c>
      <c r="C212" s="70" t="s">
        <v>1047</v>
      </c>
      <c r="D212" s="70">
        <v>1521</v>
      </c>
      <c r="E212" s="70">
        <v>-1</v>
      </c>
      <c r="F212" s="71">
        <v>29.065100000000001</v>
      </c>
      <c r="G212" s="71">
        <v>67.236599999999996</v>
      </c>
      <c r="H212" s="71">
        <v>-29.065100000000001</v>
      </c>
      <c r="I212" s="71">
        <v>-67.236599999999996</v>
      </c>
      <c r="J212" s="70" t="s">
        <v>647</v>
      </c>
      <c r="K212" s="70" t="s">
        <v>48</v>
      </c>
      <c r="L212" s="74">
        <v>46037</v>
      </c>
    </row>
    <row r="213" spans="1:12" hidden="1" x14ac:dyDescent="0.25">
      <c r="A213" s="70" t="s">
        <v>911</v>
      </c>
      <c r="B213" s="70" t="s">
        <v>1070</v>
      </c>
      <c r="C213" s="70" t="s">
        <v>1071</v>
      </c>
      <c r="D213" s="70">
        <v>1521</v>
      </c>
      <c r="E213" s="70">
        <v>1</v>
      </c>
      <c r="F213" s="71">
        <v>3.0884</v>
      </c>
      <c r="G213" s="71">
        <v>8.2789999999999999</v>
      </c>
      <c r="H213" s="71">
        <v>3.0884</v>
      </c>
      <c r="I213" s="71">
        <v>8.2789999999999999</v>
      </c>
      <c r="J213" s="70" t="s">
        <v>647</v>
      </c>
      <c r="K213" s="70" t="s">
        <v>48</v>
      </c>
      <c r="L213" s="74">
        <v>46037</v>
      </c>
    </row>
    <row r="214" spans="1:12" hidden="1" x14ac:dyDescent="0.25">
      <c r="A214" s="70" t="s">
        <v>922</v>
      </c>
      <c r="B214" s="70" t="s">
        <v>1072</v>
      </c>
      <c r="C214" s="70" t="s">
        <v>1073</v>
      </c>
      <c r="D214" s="70">
        <v>1521</v>
      </c>
      <c r="E214" s="70">
        <v>-1</v>
      </c>
      <c r="F214" s="71">
        <v>6.0564999999999998</v>
      </c>
      <c r="G214" s="71">
        <v>12.3523</v>
      </c>
      <c r="H214" s="71">
        <v>-6.0564999999999998</v>
      </c>
      <c r="I214" s="71">
        <v>-12.3523</v>
      </c>
      <c r="J214" s="70" t="s">
        <v>647</v>
      </c>
      <c r="K214" s="70" t="s">
        <v>48</v>
      </c>
      <c r="L214" s="74">
        <v>46037</v>
      </c>
    </row>
    <row r="215" spans="1:12" hidden="1" x14ac:dyDescent="0.25">
      <c r="A215" s="70" t="s">
        <v>911</v>
      </c>
      <c r="B215" s="70" t="s">
        <v>1074</v>
      </c>
      <c r="C215" s="70" t="s">
        <v>1075</v>
      </c>
      <c r="D215" s="70">
        <v>1521</v>
      </c>
      <c r="E215" s="70">
        <v>1</v>
      </c>
      <c r="F215" s="71">
        <v>47.2042</v>
      </c>
      <c r="G215" s="71">
        <v>68.309799999999996</v>
      </c>
      <c r="H215" s="71">
        <v>47.2042</v>
      </c>
      <c r="I215" s="71">
        <v>68.309799999999996</v>
      </c>
      <c r="J215" s="70" t="s">
        <v>647</v>
      </c>
      <c r="K215" s="70" t="s">
        <v>48</v>
      </c>
      <c r="L215" s="74">
        <v>46037</v>
      </c>
    </row>
    <row r="216" spans="1:12" hidden="1" x14ac:dyDescent="0.25">
      <c r="A216" s="70" t="s">
        <v>922</v>
      </c>
      <c r="B216" s="70" t="s">
        <v>1076</v>
      </c>
      <c r="C216" s="70" t="s">
        <v>1077</v>
      </c>
      <c r="D216" s="70">
        <v>1521</v>
      </c>
      <c r="E216" s="70">
        <v>-1</v>
      </c>
      <c r="F216" s="71">
        <v>50.418900000000001</v>
      </c>
      <c r="G216" s="71">
        <v>71.119799999999998</v>
      </c>
      <c r="H216" s="71">
        <v>-50.418900000000001</v>
      </c>
      <c r="I216" s="71">
        <v>-71.119799999999998</v>
      </c>
      <c r="J216" s="70" t="s">
        <v>647</v>
      </c>
      <c r="K216" s="70" t="s">
        <v>48</v>
      </c>
      <c r="L216" s="74">
        <v>46037</v>
      </c>
    </row>
    <row r="217" spans="1:12" hidden="1" x14ac:dyDescent="0.25">
      <c r="A217" s="70" t="s">
        <v>911</v>
      </c>
      <c r="B217" s="70" t="s">
        <v>1078</v>
      </c>
      <c r="C217" s="70" t="s">
        <v>1079</v>
      </c>
      <c r="D217" s="70">
        <v>1521</v>
      </c>
      <c r="E217" s="70">
        <v>1</v>
      </c>
      <c r="F217" s="71">
        <v>5.1748000000000003</v>
      </c>
      <c r="G217" s="71">
        <v>21.282499999999999</v>
      </c>
      <c r="H217" s="71">
        <v>5.1748000000000003</v>
      </c>
      <c r="I217" s="71">
        <v>21.282499999999999</v>
      </c>
      <c r="J217" s="70" t="s">
        <v>647</v>
      </c>
      <c r="K217" s="70" t="s">
        <v>48</v>
      </c>
      <c r="L217" s="74">
        <v>46037</v>
      </c>
    </row>
    <row r="218" spans="1:12" hidden="1" x14ac:dyDescent="0.25">
      <c r="A218" s="70" t="s">
        <v>922</v>
      </c>
      <c r="B218" s="70" t="s">
        <v>1080</v>
      </c>
      <c r="C218" s="70" t="s">
        <v>1081</v>
      </c>
      <c r="D218" s="70">
        <v>1521</v>
      </c>
      <c r="E218" s="70">
        <v>-1</v>
      </c>
      <c r="F218" s="71">
        <v>8.2780000000000005</v>
      </c>
      <c r="G218" s="71">
        <v>23.8553</v>
      </c>
      <c r="H218" s="71">
        <v>-8.2780000000000005</v>
      </c>
      <c r="I218" s="71">
        <v>-23.8553</v>
      </c>
      <c r="J218" s="70" t="s">
        <v>647</v>
      </c>
      <c r="K218" s="70" t="s">
        <v>48</v>
      </c>
      <c r="L218" s="74">
        <v>46037</v>
      </c>
    </row>
    <row r="219" spans="1:12" hidden="1" x14ac:dyDescent="0.25">
      <c r="A219" s="70" t="s">
        <v>911</v>
      </c>
      <c r="B219" s="70" t="s">
        <v>1082</v>
      </c>
      <c r="C219" s="70" t="s">
        <v>1083</v>
      </c>
      <c r="D219" s="70">
        <v>1521</v>
      </c>
      <c r="E219" s="70">
        <v>1</v>
      </c>
      <c r="F219" s="71">
        <v>32.662100000000002</v>
      </c>
      <c r="G219" s="71">
        <v>81.297899999999998</v>
      </c>
      <c r="H219" s="71">
        <v>32.662100000000002</v>
      </c>
      <c r="I219" s="71">
        <v>81.297899999999998</v>
      </c>
      <c r="J219" s="70" t="s">
        <v>647</v>
      </c>
      <c r="K219" s="70" t="s">
        <v>48</v>
      </c>
      <c r="L219" s="74">
        <v>46037</v>
      </c>
    </row>
    <row r="220" spans="1:12" hidden="1" x14ac:dyDescent="0.25">
      <c r="A220" s="70" t="s">
        <v>922</v>
      </c>
      <c r="B220" s="70" t="s">
        <v>1084</v>
      </c>
      <c r="C220" s="70" t="s">
        <v>1085</v>
      </c>
      <c r="D220" s="70">
        <v>1521</v>
      </c>
      <c r="E220" s="70">
        <v>-1</v>
      </c>
      <c r="F220" s="71">
        <v>59.098799999999997</v>
      </c>
      <c r="G220" s="71">
        <v>82.264899999999997</v>
      </c>
      <c r="H220" s="71">
        <v>-59.098799999999997</v>
      </c>
      <c r="I220" s="71">
        <v>-82.264899999999997</v>
      </c>
      <c r="J220" s="70" t="s">
        <v>647</v>
      </c>
      <c r="K220" s="70" t="s">
        <v>48</v>
      </c>
      <c r="L220" s="74">
        <v>46037</v>
      </c>
    </row>
    <row r="221" spans="1:12" hidden="1" x14ac:dyDescent="0.25">
      <c r="A221" s="70" t="s">
        <v>911</v>
      </c>
      <c r="B221" s="70" t="s">
        <v>1086</v>
      </c>
      <c r="C221" s="70" t="s">
        <v>1087</v>
      </c>
      <c r="D221" s="70">
        <v>1521</v>
      </c>
      <c r="E221" s="70">
        <v>1</v>
      </c>
      <c r="F221" s="71">
        <v>123.51179999999999</v>
      </c>
      <c r="G221" s="71">
        <v>180.8484</v>
      </c>
      <c r="H221" s="71">
        <v>123.51179999999999</v>
      </c>
      <c r="I221" s="71">
        <v>180.8484</v>
      </c>
      <c r="J221" s="70" t="s">
        <v>647</v>
      </c>
      <c r="K221" s="70" t="s">
        <v>48</v>
      </c>
      <c r="L221" s="74">
        <v>46037</v>
      </c>
    </row>
    <row r="222" spans="1:12" hidden="1" x14ac:dyDescent="0.25">
      <c r="A222" s="70" t="s">
        <v>922</v>
      </c>
      <c r="B222" s="70" t="s">
        <v>1088</v>
      </c>
      <c r="C222" s="70" t="s">
        <v>1089</v>
      </c>
      <c r="D222" s="70">
        <v>1521</v>
      </c>
      <c r="E222" s="70">
        <v>-1</v>
      </c>
      <c r="F222" s="71">
        <v>123.51179999999999</v>
      </c>
      <c r="G222" s="71">
        <v>180.8484</v>
      </c>
      <c r="H222" s="71">
        <v>-123.51179999999999</v>
      </c>
      <c r="I222" s="71">
        <v>-180.8484</v>
      </c>
      <c r="J222" s="70" t="s">
        <v>647</v>
      </c>
      <c r="K222" s="70" t="s">
        <v>48</v>
      </c>
      <c r="L222" s="74">
        <v>46037</v>
      </c>
    </row>
    <row r="223" spans="1:12" hidden="1" x14ac:dyDescent="0.25">
      <c r="A223" s="70" t="s">
        <v>911</v>
      </c>
      <c r="B223" s="70" t="s">
        <v>1090</v>
      </c>
      <c r="C223" s="70" t="s">
        <v>1091</v>
      </c>
      <c r="D223" s="70">
        <v>1521</v>
      </c>
      <c r="E223" s="70">
        <v>1</v>
      </c>
      <c r="F223" s="71">
        <v>32.722700000000003</v>
      </c>
      <c r="G223" s="71">
        <v>80.364500000000007</v>
      </c>
      <c r="H223" s="71">
        <v>32.722700000000003</v>
      </c>
      <c r="I223" s="71">
        <v>80.364500000000007</v>
      </c>
      <c r="J223" s="70" t="s">
        <v>647</v>
      </c>
      <c r="K223" s="70" t="s">
        <v>48</v>
      </c>
      <c r="L223" s="74">
        <v>46037</v>
      </c>
    </row>
    <row r="224" spans="1:12" hidden="1" x14ac:dyDescent="0.25">
      <c r="A224" s="70" t="s">
        <v>922</v>
      </c>
      <c r="B224" s="70" t="s">
        <v>1092</v>
      </c>
      <c r="C224" s="70" t="s">
        <v>1093</v>
      </c>
      <c r="D224" s="70">
        <v>1521</v>
      </c>
      <c r="E224" s="70">
        <v>-1</v>
      </c>
      <c r="F224" s="71">
        <v>32.722700000000003</v>
      </c>
      <c r="G224" s="71">
        <v>80.364500000000007</v>
      </c>
      <c r="H224" s="71">
        <v>-32.722700000000003</v>
      </c>
      <c r="I224" s="71">
        <v>-80.364500000000007</v>
      </c>
      <c r="J224" s="70" t="s">
        <v>647</v>
      </c>
      <c r="K224" s="70" t="s">
        <v>48</v>
      </c>
      <c r="L224" s="74">
        <v>46037</v>
      </c>
    </row>
    <row r="225" spans="1:12" hidden="1" x14ac:dyDescent="0.25">
      <c r="A225" s="70" t="s">
        <v>911</v>
      </c>
      <c r="B225" s="70" t="s">
        <v>1094</v>
      </c>
      <c r="C225" s="70" t="s">
        <v>1095</v>
      </c>
      <c r="D225" s="70">
        <v>1521</v>
      </c>
      <c r="E225" s="70">
        <v>1</v>
      </c>
      <c r="F225" s="71">
        <v>19.5732</v>
      </c>
      <c r="G225" s="71">
        <v>51.142200000000003</v>
      </c>
      <c r="H225" s="71">
        <v>19.5732</v>
      </c>
      <c r="I225" s="71">
        <v>51.142200000000003</v>
      </c>
      <c r="J225" s="70" t="s">
        <v>647</v>
      </c>
      <c r="K225" s="70" t="s">
        <v>48</v>
      </c>
      <c r="L225" s="74">
        <v>46037</v>
      </c>
    </row>
    <row r="226" spans="1:12" hidden="1" x14ac:dyDescent="0.25">
      <c r="A226" s="70" t="s">
        <v>922</v>
      </c>
      <c r="B226" s="70" t="s">
        <v>1096</v>
      </c>
      <c r="C226" s="70" t="s">
        <v>1097</v>
      </c>
      <c r="D226" s="70">
        <v>1521</v>
      </c>
      <c r="E226" s="70">
        <v>-1</v>
      </c>
      <c r="F226" s="71">
        <v>19.5732</v>
      </c>
      <c r="G226" s="71">
        <v>51.142200000000003</v>
      </c>
      <c r="H226" s="71">
        <v>-19.5732</v>
      </c>
      <c r="I226" s="71">
        <v>-51.142200000000003</v>
      </c>
      <c r="J226" s="70" t="s">
        <v>647</v>
      </c>
      <c r="K226" s="70" t="s">
        <v>48</v>
      </c>
      <c r="L226" s="74">
        <v>46037</v>
      </c>
    </row>
    <row r="227" spans="1:12" hidden="1" x14ac:dyDescent="0.25">
      <c r="A227" s="70" t="s">
        <v>911</v>
      </c>
      <c r="B227" s="70" t="s">
        <v>1098</v>
      </c>
      <c r="C227" s="70" t="s">
        <v>1099</v>
      </c>
      <c r="D227" s="70">
        <v>1521</v>
      </c>
      <c r="E227" s="70">
        <v>1</v>
      </c>
      <c r="F227" s="71">
        <v>21.418600000000001</v>
      </c>
      <c r="G227" s="71">
        <v>55.731999999999999</v>
      </c>
      <c r="H227" s="71">
        <v>21.418600000000001</v>
      </c>
      <c r="I227" s="71">
        <v>55.731999999999999</v>
      </c>
      <c r="J227" s="70" t="s">
        <v>647</v>
      </c>
      <c r="K227" s="70" t="s">
        <v>48</v>
      </c>
      <c r="L227" s="74">
        <v>46037</v>
      </c>
    </row>
    <row r="228" spans="1:12" hidden="1" x14ac:dyDescent="0.25">
      <c r="A228" s="70" t="s">
        <v>922</v>
      </c>
      <c r="B228" s="70" t="s">
        <v>1100</v>
      </c>
      <c r="C228" s="70" t="s">
        <v>1101</v>
      </c>
      <c r="D228" s="70">
        <v>1521</v>
      </c>
      <c r="E228" s="70">
        <v>-1</v>
      </c>
      <c r="F228" s="71">
        <v>21.418600000000001</v>
      </c>
      <c r="G228" s="71">
        <v>55.731999999999999</v>
      </c>
      <c r="H228" s="71">
        <v>-21.418600000000001</v>
      </c>
      <c r="I228" s="71">
        <v>-55.731999999999999</v>
      </c>
      <c r="J228" s="70" t="s">
        <v>647</v>
      </c>
      <c r="K228" s="70" t="s">
        <v>48</v>
      </c>
      <c r="L228" s="74">
        <v>46037</v>
      </c>
    </row>
    <row r="229" spans="1:12" hidden="1" x14ac:dyDescent="0.25">
      <c r="A229" s="70" t="s">
        <v>911</v>
      </c>
      <c r="B229" s="70" t="s">
        <v>1102</v>
      </c>
      <c r="C229" s="70" t="s">
        <v>1103</v>
      </c>
      <c r="D229" s="70">
        <v>1521</v>
      </c>
      <c r="E229" s="70">
        <v>1</v>
      </c>
      <c r="F229" s="71">
        <v>17.22</v>
      </c>
      <c r="G229" s="71">
        <v>25.720700000000001</v>
      </c>
      <c r="H229" s="71">
        <v>17.22</v>
      </c>
      <c r="I229" s="71">
        <v>25.720700000000001</v>
      </c>
      <c r="J229" s="70" t="s">
        <v>647</v>
      </c>
      <c r="K229" s="70" t="s">
        <v>48</v>
      </c>
      <c r="L229" s="74">
        <v>46037</v>
      </c>
    </row>
    <row r="230" spans="1:12" hidden="1" x14ac:dyDescent="0.25">
      <c r="A230" s="70" t="s">
        <v>922</v>
      </c>
      <c r="B230" s="70" t="s">
        <v>1104</v>
      </c>
      <c r="C230" s="70" t="s">
        <v>1105</v>
      </c>
      <c r="D230" s="70">
        <v>1521</v>
      </c>
      <c r="E230" s="70">
        <v>-1</v>
      </c>
      <c r="F230" s="71">
        <v>17.564399999999999</v>
      </c>
      <c r="G230" s="71">
        <v>25.720700000000001</v>
      </c>
      <c r="H230" s="71">
        <v>-17.564399999999999</v>
      </c>
      <c r="I230" s="71">
        <v>-25.720700000000001</v>
      </c>
      <c r="J230" s="70" t="s">
        <v>647</v>
      </c>
      <c r="K230" s="70" t="s">
        <v>48</v>
      </c>
      <c r="L230" s="74">
        <v>46037</v>
      </c>
    </row>
    <row r="231" spans="1:12" hidden="1" x14ac:dyDescent="0.25">
      <c r="A231" s="70" t="s">
        <v>911</v>
      </c>
      <c r="B231" s="70" t="s">
        <v>1106</v>
      </c>
      <c r="C231" s="70" t="s">
        <v>1107</v>
      </c>
      <c r="D231" s="70">
        <v>1521</v>
      </c>
      <c r="E231" s="70">
        <v>2</v>
      </c>
      <c r="F231" s="71">
        <v>56.3919</v>
      </c>
      <c r="G231" s="71">
        <v>131.1951</v>
      </c>
      <c r="H231" s="71">
        <v>112.7838</v>
      </c>
      <c r="I231" s="71">
        <v>262.39019999999999</v>
      </c>
      <c r="J231" s="70" t="s">
        <v>647</v>
      </c>
      <c r="K231" s="70" t="s">
        <v>48</v>
      </c>
      <c r="L231" s="74">
        <v>46037</v>
      </c>
    </row>
    <row r="232" spans="1:12" hidden="1" x14ac:dyDescent="0.25">
      <c r="A232" s="70" t="s">
        <v>922</v>
      </c>
      <c r="B232" s="70" t="s">
        <v>1108</v>
      </c>
      <c r="C232" s="70" t="s">
        <v>1109</v>
      </c>
      <c r="D232" s="70">
        <v>1521</v>
      </c>
      <c r="E232" s="70">
        <v>-2</v>
      </c>
      <c r="F232" s="71">
        <v>60.898299999999999</v>
      </c>
      <c r="G232" s="71">
        <v>131.1951</v>
      </c>
      <c r="H232" s="71">
        <v>-121.7966</v>
      </c>
      <c r="I232" s="71">
        <v>-262.39019999999999</v>
      </c>
      <c r="J232" s="70" t="s">
        <v>647</v>
      </c>
      <c r="K232" s="70" t="s">
        <v>48</v>
      </c>
      <c r="L232" s="74">
        <v>46037</v>
      </c>
    </row>
    <row r="233" spans="1:12" hidden="1" x14ac:dyDescent="0.25">
      <c r="A233" s="70" t="s">
        <v>911</v>
      </c>
      <c r="B233" s="70" t="s">
        <v>1110</v>
      </c>
      <c r="C233" s="70" t="s">
        <v>1111</v>
      </c>
      <c r="D233" s="70">
        <v>1521</v>
      </c>
      <c r="E233" s="70">
        <v>1</v>
      </c>
      <c r="F233" s="71">
        <v>363.13</v>
      </c>
      <c r="G233" s="71">
        <v>542.34119999999996</v>
      </c>
      <c r="H233" s="71">
        <v>363.13</v>
      </c>
      <c r="I233" s="71">
        <v>542.34119999999996</v>
      </c>
      <c r="J233" s="70" t="s">
        <v>647</v>
      </c>
      <c r="K233" s="70" t="s">
        <v>48</v>
      </c>
      <c r="L233" s="74">
        <v>46037</v>
      </c>
    </row>
    <row r="234" spans="1:12" hidden="1" x14ac:dyDescent="0.25">
      <c r="A234" s="70" t="s">
        <v>922</v>
      </c>
      <c r="B234" s="70" t="s">
        <v>1112</v>
      </c>
      <c r="C234" s="70" t="s">
        <v>1113</v>
      </c>
      <c r="D234" s="70">
        <v>1521</v>
      </c>
      <c r="E234" s="70">
        <v>-1</v>
      </c>
      <c r="F234" s="71">
        <v>370.39260000000002</v>
      </c>
      <c r="G234" s="71">
        <v>542.34119999999996</v>
      </c>
      <c r="H234" s="71">
        <v>-370.39260000000002</v>
      </c>
      <c r="I234" s="71">
        <v>-542.34119999999996</v>
      </c>
      <c r="J234" s="70" t="s">
        <v>647</v>
      </c>
      <c r="K234" s="70" t="s">
        <v>48</v>
      </c>
      <c r="L234" s="74">
        <v>46037</v>
      </c>
    </row>
    <row r="235" spans="1:12" hidden="1" x14ac:dyDescent="0.25">
      <c r="A235" s="70" t="s">
        <v>911</v>
      </c>
      <c r="B235" s="70" t="s">
        <v>1015</v>
      </c>
      <c r="C235" s="70" t="s">
        <v>1016</v>
      </c>
      <c r="D235" s="70">
        <v>1521</v>
      </c>
      <c r="E235" s="70">
        <v>1</v>
      </c>
      <c r="F235" s="71">
        <v>13.764900000000001</v>
      </c>
      <c r="G235" s="71">
        <v>30.7319</v>
      </c>
      <c r="H235" s="71">
        <v>13.764900000000001</v>
      </c>
      <c r="I235" s="71">
        <v>30.7319</v>
      </c>
      <c r="J235" s="70" t="s">
        <v>647</v>
      </c>
      <c r="K235" s="70" t="s">
        <v>48</v>
      </c>
      <c r="L235" s="74">
        <v>46037</v>
      </c>
    </row>
    <row r="236" spans="1:12" hidden="1" x14ac:dyDescent="0.25">
      <c r="A236" s="70" t="s">
        <v>922</v>
      </c>
      <c r="B236" s="70" t="s">
        <v>1114</v>
      </c>
      <c r="C236" s="70" t="s">
        <v>1115</v>
      </c>
      <c r="D236" s="70">
        <v>1521</v>
      </c>
      <c r="E236" s="70">
        <v>-1</v>
      </c>
      <c r="F236" s="71">
        <v>13.764900000000001</v>
      </c>
      <c r="G236" s="71">
        <v>30.7319</v>
      </c>
      <c r="H236" s="71">
        <v>-13.764900000000001</v>
      </c>
      <c r="I236" s="71">
        <v>-30.7319</v>
      </c>
      <c r="J236" s="70" t="s">
        <v>647</v>
      </c>
      <c r="K236" s="70" t="s">
        <v>48</v>
      </c>
      <c r="L236" s="74">
        <v>46037</v>
      </c>
    </row>
    <row r="237" spans="1:12" hidden="1" x14ac:dyDescent="0.25">
      <c r="A237" s="70" t="s">
        <v>911</v>
      </c>
      <c r="B237" s="70" t="s">
        <v>1116</v>
      </c>
      <c r="C237" s="70" t="s">
        <v>1117</v>
      </c>
      <c r="D237" s="70">
        <v>1521</v>
      </c>
      <c r="E237" s="70">
        <v>1</v>
      </c>
      <c r="F237" s="71">
        <v>16.492799999999999</v>
      </c>
      <c r="G237" s="71">
        <v>24.156099999999999</v>
      </c>
      <c r="H237" s="71">
        <v>16.492799999999999</v>
      </c>
      <c r="I237" s="71">
        <v>24.156099999999999</v>
      </c>
      <c r="J237" s="70" t="s">
        <v>647</v>
      </c>
      <c r="K237" s="70" t="s">
        <v>48</v>
      </c>
      <c r="L237" s="74">
        <v>46037</v>
      </c>
    </row>
    <row r="238" spans="1:12" hidden="1" x14ac:dyDescent="0.25">
      <c r="A238" s="70" t="s">
        <v>922</v>
      </c>
      <c r="B238" s="70" t="s">
        <v>1118</v>
      </c>
      <c r="C238" s="70" t="s">
        <v>1119</v>
      </c>
      <c r="D238" s="70">
        <v>1521</v>
      </c>
      <c r="E238" s="70">
        <v>-1</v>
      </c>
      <c r="F238" s="71">
        <v>16.492799999999999</v>
      </c>
      <c r="G238" s="71">
        <v>24.156099999999999</v>
      </c>
      <c r="H238" s="71">
        <v>-16.492799999999999</v>
      </c>
      <c r="I238" s="71">
        <v>-24.156099999999999</v>
      </c>
      <c r="J238" s="70" t="s">
        <v>647</v>
      </c>
      <c r="K238" s="70" t="s">
        <v>48</v>
      </c>
      <c r="L238" s="74">
        <v>46037</v>
      </c>
    </row>
    <row r="239" spans="1:12" hidden="1" x14ac:dyDescent="0.25">
      <c r="A239" s="70" t="s">
        <v>911</v>
      </c>
      <c r="B239" s="70" t="s">
        <v>1120</v>
      </c>
      <c r="C239" s="70" t="s">
        <v>1121</v>
      </c>
      <c r="D239" s="70">
        <v>1521</v>
      </c>
      <c r="E239" s="70">
        <v>1</v>
      </c>
      <c r="F239" s="71">
        <v>6.3239999999999998</v>
      </c>
      <c r="G239" s="71">
        <v>8.9176000000000002</v>
      </c>
      <c r="H239" s="71">
        <v>6.3239999999999998</v>
      </c>
      <c r="I239" s="71">
        <v>8.9176000000000002</v>
      </c>
      <c r="J239" s="70" t="s">
        <v>647</v>
      </c>
      <c r="K239" s="70" t="s">
        <v>48</v>
      </c>
      <c r="L239" s="74">
        <v>46037</v>
      </c>
    </row>
    <row r="240" spans="1:12" hidden="1" x14ac:dyDescent="0.25">
      <c r="A240" s="70" t="s">
        <v>922</v>
      </c>
      <c r="B240" s="70" t="s">
        <v>1122</v>
      </c>
      <c r="C240" s="70" t="s">
        <v>1123</v>
      </c>
      <c r="D240" s="70">
        <v>1521</v>
      </c>
      <c r="E240" s="70">
        <v>-1</v>
      </c>
      <c r="F240" s="71">
        <v>6.3239999999999998</v>
      </c>
      <c r="G240" s="71">
        <v>8.9176000000000002</v>
      </c>
      <c r="H240" s="71">
        <v>-6.3239999999999998</v>
      </c>
      <c r="I240" s="71">
        <v>-8.9176000000000002</v>
      </c>
      <c r="J240" s="70" t="s">
        <v>647</v>
      </c>
      <c r="K240" s="70" t="s">
        <v>48</v>
      </c>
      <c r="L240" s="74">
        <v>46037</v>
      </c>
    </row>
    <row r="241" spans="1:12" hidden="1" x14ac:dyDescent="0.25">
      <c r="A241" s="70" t="s">
        <v>911</v>
      </c>
      <c r="B241" s="70" t="s">
        <v>1124</v>
      </c>
      <c r="C241" s="70" t="s">
        <v>1125</v>
      </c>
      <c r="D241" s="70">
        <v>1521</v>
      </c>
      <c r="E241" s="70">
        <v>1</v>
      </c>
      <c r="F241" s="71">
        <v>581.56230000000005</v>
      </c>
      <c r="G241" s="71">
        <v>1368.0509999999999</v>
      </c>
      <c r="H241" s="71">
        <v>581.56230000000005</v>
      </c>
      <c r="I241" s="71">
        <v>1368.0509999999999</v>
      </c>
      <c r="J241" s="70" t="s">
        <v>647</v>
      </c>
      <c r="K241" s="70" t="s">
        <v>48</v>
      </c>
      <c r="L241" s="74">
        <v>46037</v>
      </c>
    </row>
    <row r="242" spans="1:12" hidden="1" x14ac:dyDescent="0.25">
      <c r="A242" s="70" t="s">
        <v>922</v>
      </c>
      <c r="B242" s="70" t="s">
        <v>1126</v>
      </c>
      <c r="C242" s="70" t="s">
        <v>1127</v>
      </c>
      <c r="D242" s="70">
        <v>1521</v>
      </c>
      <c r="E242" s="70">
        <v>-1</v>
      </c>
      <c r="F242" s="71">
        <v>581.56230000000005</v>
      </c>
      <c r="G242" s="71">
        <v>1368.0509</v>
      </c>
      <c r="H242" s="71">
        <v>-581.56230000000005</v>
      </c>
      <c r="I242" s="71">
        <v>-1368.0509</v>
      </c>
      <c r="J242" s="70" t="s">
        <v>647</v>
      </c>
      <c r="K242" s="70" t="s">
        <v>48</v>
      </c>
      <c r="L242" s="74">
        <v>46037</v>
      </c>
    </row>
    <row r="243" spans="1:12" hidden="1" x14ac:dyDescent="0.25">
      <c r="A243" s="70" t="s">
        <v>911</v>
      </c>
      <c r="B243" s="70" t="s">
        <v>1128</v>
      </c>
      <c r="C243" s="70" t="s">
        <v>1129</v>
      </c>
      <c r="D243" s="70">
        <v>1521</v>
      </c>
      <c r="E243" s="70">
        <v>1</v>
      </c>
      <c r="F243" s="71">
        <v>9.5105000000000004</v>
      </c>
      <c r="G243" s="71">
        <v>22.4086</v>
      </c>
      <c r="H243" s="71">
        <v>9.5105000000000004</v>
      </c>
      <c r="I243" s="71">
        <v>22.4086</v>
      </c>
      <c r="J243" s="70" t="s">
        <v>647</v>
      </c>
      <c r="K243" s="70" t="s">
        <v>48</v>
      </c>
      <c r="L243" s="74">
        <v>46037</v>
      </c>
    </row>
    <row r="244" spans="1:12" hidden="1" x14ac:dyDescent="0.25">
      <c r="A244" s="70" t="s">
        <v>922</v>
      </c>
      <c r="B244" s="70" t="s">
        <v>1130</v>
      </c>
      <c r="C244" s="70" t="s">
        <v>1131</v>
      </c>
      <c r="D244" s="70">
        <v>1521</v>
      </c>
      <c r="E244" s="70">
        <v>-1</v>
      </c>
      <c r="F244" s="71">
        <v>9.3668999999999993</v>
      </c>
      <c r="G244" s="71">
        <v>22.0791</v>
      </c>
      <c r="H244" s="71">
        <v>-9.3668999999999993</v>
      </c>
      <c r="I244" s="71">
        <v>-22.0791</v>
      </c>
      <c r="J244" s="70" t="s">
        <v>647</v>
      </c>
      <c r="K244" s="70" t="s">
        <v>48</v>
      </c>
      <c r="L244" s="74">
        <v>46037</v>
      </c>
    </row>
    <row r="245" spans="1:12" hidden="1" x14ac:dyDescent="0.25">
      <c r="A245" s="70" t="s">
        <v>911</v>
      </c>
      <c r="B245" s="70" t="s">
        <v>1132</v>
      </c>
      <c r="C245" s="70" t="s">
        <v>1133</v>
      </c>
      <c r="D245" s="70">
        <v>1521</v>
      </c>
      <c r="E245" s="70">
        <v>1</v>
      </c>
      <c r="F245" s="71">
        <v>22.37</v>
      </c>
      <c r="G245" s="71">
        <v>24.357500000000002</v>
      </c>
      <c r="H245" s="71">
        <v>22.37</v>
      </c>
      <c r="I245" s="71">
        <v>24.357500000000002</v>
      </c>
      <c r="J245" s="70" t="s">
        <v>647</v>
      </c>
      <c r="K245" s="70" t="s">
        <v>48</v>
      </c>
      <c r="L245" s="74">
        <v>46037</v>
      </c>
    </row>
    <row r="246" spans="1:12" hidden="1" x14ac:dyDescent="0.25">
      <c r="A246" s="70" t="s">
        <v>922</v>
      </c>
      <c r="B246" s="70" t="s">
        <v>1134</v>
      </c>
      <c r="C246" s="70" t="s">
        <v>1135</v>
      </c>
      <c r="D246" s="70">
        <v>1521</v>
      </c>
      <c r="E246" s="70">
        <v>-1</v>
      </c>
      <c r="F246" s="71">
        <v>8.0901999999999994</v>
      </c>
      <c r="G246" s="71">
        <v>23.8553</v>
      </c>
      <c r="H246" s="71">
        <v>-8.0901999999999994</v>
      </c>
      <c r="I246" s="71">
        <v>-23.8553</v>
      </c>
      <c r="J246" s="70" t="s">
        <v>647</v>
      </c>
      <c r="K246" s="70" t="s">
        <v>48</v>
      </c>
      <c r="L246" s="74">
        <v>46037</v>
      </c>
    </row>
    <row r="247" spans="1:12" hidden="1" x14ac:dyDescent="0.25">
      <c r="A247" s="70" t="s">
        <v>911</v>
      </c>
      <c r="B247" s="70" t="s">
        <v>1136</v>
      </c>
      <c r="C247" s="70" t="s">
        <v>1137</v>
      </c>
      <c r="D247" s="70">
        <v>1521</v>
      </c>
      <c r="E247" s="70">
        <v>1</v>
      </c>
      <c r="F247" s="71">
        <v>72.930000000000007</v>
      </c>
      <c r="G247" s="71">
        <v>106.78360000000001</v>
      </c>
      <c r="H247" s="71">
        <v>72.930000000000007</v>
      </c>
      <c r="I247" s="71">
        <v>106.78360000000001</v>
      </c>
      <c r="J247" s="70" t="s">
        <v>647</v>
      </c>
      <c r="K247" s="70" t="s">
        <v>48</v>
      </c>
      <c r="L247" s="74">
        <v>46037</v>
      </c>
    </row>
    <row r="248" spans="1:12" hidden="1" x14ac:dyDescent="0.25">
      <c r="A248" s="70" t="s">
        <v>922</v>
      </c>
      <c r="B248" s="70" t="s">
        <v>1138</v>
      </c>
      <c r="C248" s="70" t="s">
        <v>1139</v>
      </c>
      <c r="D248" s="70">
        <v>1521</v>
      </c>
      <c r="E248" s="70">
        <v>-1</v>
      </c>
      <c r="F248" s="71">
        <v>72.562799999999996</v>
      </c>
      <c r="G248" s="71">
        <v>106.25149999999999</v>
      </c>
      <c r="H248" s="71">
        <v>-72.562799999999996</v>
      </c>
      <c r="I248" s="71">
        <v>-106.25149999999999</v>
      </c>
      <c r="J248" s="70" t="s">
        <v>647</v>
      </c>
      <c r="K248" s="70" t="s">
        <v>48</v>
      </c>
      <c r="L248" s="74">
        <v>46037</v>
      </c>
    </row>
    <row r="249" spans="1:12" hidden="1" x14ac:dyDescent="0.25">
      <c r="A249" s="70" t="s">
        <v>911</v>
      </c>
      <c r="B249" s="70" t="s">
        <v>1140</v>
      </c>
      <c r="C249" s="70" t="s">
        <v>1141</v>
      </c>
      <c r="D249" s="70">
        <v>1521</v>
      </c>
      <c r="E249" s="70">
        <v>1</v>
      </c>
      <c r="F249" s="71">
        <v>8.5843000000000007</v>
      </c>
      <c r="G249" s="71">
        <v>19.508600000000001</v>
      </c>
      <c r="H249" s="71">
        <v>8.5843000000000007</v>
      </c>
      <c r="I249" s="71">
        <v>19.508600000000001</v>
      </c>
      <c r="J249" s="70" t="s">
        <v>647</v>
      </c>
      <c r="K249" s="70" t="s">
        <v>48</v>
      </c>
      <c r="L249" s="74">
        <v>46037</v>
      </c>
    </row>
    <row r="250" spans="1:12" hidden="1" x14ac:dyDescent="0.25">
      <c r="A250" s="70" t="s">
        <v>922</v>
      </c>
      <c r="B250" s="70" t="s">
        <v>1142</v>
      </c>
      <c r="C250" s="70" t="s">
        <v>1143</v>
      </c>
      <c r="D250" s="70">
        <v>1521</v>
      </c>
      <c r="E250" s="70">
        <v>-1</v>
      </c>
      <c r="F250" s="71">
        <v>7.6779000000000002</v>
      </c>
      <c r="G250" s="71">
        <v>18.898900000000001</v>
      </c>
      <c r="H250" s="71">
        <v>-7.6779000000000002</v>
      </c>
      <c r="I250" s="71">
        <v>-18.898900000000001</v>
      </c>
      <c r="J250" s="70" t="s">
        <v>647</v>
      </c>
      <c r="K250" s="70" t="s">
        <v>48</v>
      </c>
      <c r="L250" s="74">
        <v>46037</v>
      </c>
    </row>
    <row r="251" spans="1:12" hidden="1" x14ac:dyDescent="0.25">
      <c r="A251" s="70" t="s">
        <v>911</v>
      </c>
      <c r="B251" s="70" t="s">
        <v>1144</v>
      </c>
      <c r="C251" s="70" t="s">
        <v>1145</v>
      </c>
      <c r="D251" s="70">
        <v>1521</v>
      </c>
      <c r="E251" s="70">
        <v>1</v>
      </c>
      <c r="F251" s="71">
        <v>10.216799999999999</v>
      </c>
      <c r="G251" s="71">
        <v>23.067900000000002</v>
      </c>
      <c r="H251" s="71">
        <v>10.216799999999999</v>
      </c>
      <c r="I251" s="71">
        <v>23.067900000000002</v>
      </c>
      <c r="J251" s="70" t="s">
        <v>647</v>
      </c>
      <c r="K251" s="70" t="s">
        <v>48</v>
      </c>
      <c r="L251" s="74">
        <v>46037</v>
      </c>
    </row>
    <row r="252" spans="1:12" hidden="1" x14ac:dyDescent="0.25">
      <c r="A252" s="70" t="s">
        <v>922</v>
      </c>
      <c r="B252" s="70" t="s">
        <v>1130</v>
      </c>
      <c r="C252" s="70" t="s">
        <v>1131</v>
      </c>
      <c r="D252" s="70">
        <v>1521</v>
      </c>
      <c r="E252" s="70">
        <v>-1</v>
      </c>
      <c r="F252" s="71">
        <v>9.3668999999999993</v>
      </c>
      <c r="G252" s="71">
        <v>22.0791</v>
      </c>
      <c r="H252" s="71">
        <v>-9.3668999999999993</v>
      </c>
      <c r="I252" s="71">
        <v>-22.0791</v>
      </c>
      <c r="J252" s="70" t="s">
        <v>647</v>
      </c>
      <c r="K252" s="70" t="s">
        <v>48</v>
      </c>
      <c r="L252" s="74">
        <v>46037</v>
      </c>
    </row>
    <row r="253" spans="1:12" hidden="1" x14ac:dyDescent="0.25">
      <c r="A253" s="70" t="s">
        <v>911</v>
      </c>
      <c r="B253" s="70" t="s">
        <v>1146</v>
      </c>
      <c r="C253" s="70" t="s">
        <v>1147</v>
      </c>
      <c r="D253" s="70">
        <v>1521</v>
      </c>
      <c r="E253" s="70">
        <v>1</v>
      </c>
      <c r="F253" s="71">
        <v>9.4613999999999994</v>
      </c>
      <c r="G253" s="71">
        <v>22.0791</v>
      </c>
      <c r="H253" s="71">
        <v>9.4613999999999994</v>
      </c>
      <c r="I253" s="71">
        <v>22.0791</v>
      </c>
      <c r="J253" s="70" t="s">
        <v>647</v>
      </c>
      <c r="K253" s="70" t="s">
        <v>48</v>
      </c>
      <c r="L253" s="74">
        <v>46037</v>
      </c>
    </row>
    <row r="254" spans="1:12" hidden="1" x14ac:dyDescent="0.25">
      <c r="A254" s="70" t="s">
        <v>922</v>
      </c>
      <c r="B254" s="70" t="s">
        <v>1148</v>
      </c>
      <c r="C254" s="70" t="s">
        <v>1149</v>
      </c>
      <c r="D254" s="70">
        <v>1521</v>
      </c>
      <c r="E254" s="70">
        <v>-1</v>
      </c>
      <c r="F254" s="71">
        <v>8.8823000000000008</v>
      </c>
      <c r="G254" s="71">
        <v>20.925899999999999</v>
      </c>
      <c r="H254" s="71">
        <v>-8.8823000000000008</v>
      </c>
      <c r="I254" s="71">
        <v>-20.925899999999999</v>
      </c>
      <c r="J254" s="70" t="s">
        <v>647</v>
      </c>
      <c r="K254" s="70" t="s">
        <v>48</v>
      </c>
      <c r="L254" s="74">
        <v>46037</v>
      </c>
    </row>
    <row r="255" spans="1:12" hidden="1" x14ac:dyDescent="0.25">
      <c r="A255" s="70" t="s">
        <v>911</v>
      </c>
      <c r="B255" s="70" t="s">
        <v>1150</v>
      </c>
      <c r="C255" s="70" t="s">
        <v>1151</v>
      </c>
      <c r="D255" s="70">
        <v>1521</v>
      </c>
      <c r="E255" s="70">
        <v>1</v>
      </c>
      <c r="F255" s="71">
        <v>99.001900000000006</v>
      </c>
      <c r="G255" s="71">
        <v>144.41220000000001</v>
      </c>
      <c r="H255" s="71">
        <v>99.001900000000006</v>
      </c>
      <c r="I255" s="71">
        <v>144.41220000000001</v>
      </c>
      <c r="J255" s="70" t="s">
        <v>647</v>
      </c>
      <c r="K255" s="70" t="s">
        <v>48</v>
      </c>
      <c r="L255" s="74">
        <v>46037</v>
      </c>
    </row>
    <row r="256" spans="1:12" hidden="1" x14ac:dyDescent="0.25">
      <c r="A256" s="70" t="s">
        <v>922</v>
      </c>
      <c r="B256" s="70" t="s">
        <v>1152</v>
      </c>
      <c r="C256" s="70" t="s">
        <v>1153</v>
      </c>
      <c r="D256" s="70">
        <v>1521</v>
      </c>
      <c r="E256" s="70">
        <v>-1</v>
      </c>
      <c r="F256" s="71">
        <v>56.0105</v>
      </c>
      <c r="G256" s="71">
        <v>143.1326</v>
      </c>
      <c r="H256" s="71">
        <v>-56.0105</v>
      </c>
      <c r="I256" s="71">
        <v>-143.1326</v>
      </c>
      <c r="J256" s="70" t="s">
        <v>647</v>
      </c>
      <c r="K256" s="70" t="s">
        <v>48</v>
      </c>
      <c r="L256" s="74">
        <v>46037</v>
      </c>
    </row>
    <row r="257" spans="1:12" hidden="1" x14ac:dyDescent="0.25">
      <c r="A257" s="70" t="s">
        <v>911</v>
      </c>
      <c r="B257" s="70" t="s">
        <v>1154</v>
      </c>
      <c r="C257" s="70" t="s">
        <v>1155</v>
      </c>
      <c r="D257" s="70">
        <v>1521</v>
      </c>
      <c r="E257" s="70">
        <v>1</v>
      </c>
      <c r="F257" s="71">
        <v>16.982500000000002</v>
      </c>
      <c r="G257" s="71">
        <v>25.363499999999998</v>
      </c>
      <c r="H257" s="71">
        <v>16.982500000000002</v>
      </c>
      <c r="I257" s="71">
        <v>25.363499999999998</v>
      </c>
      <c r="J257" s="70" t="s">
        <v>647</v>
      </c>
      <c r="K257" s="70" t="s">
        <v>48</v>
      </c>
      <c r="L257" s="74">
        <v>46037</v>
      </c>
    </row>
    <row r="258" spans="1:12" hidden="1" x14ac:dyDescent="0.25">
      <c r="A258" s="70" t="s">
        <v>922</v>
      </c>
      <c r="B258" s="70" t="s">
        <v>1156</v>
      </c>
      <c r="C258" s="70" t="s">
        <v>1157</v>
      </c>
      <c r="D258" s="70">
        <v>1521</v>
      </c>
      <c r="E258" s="70">
        <v>-1</v>
      </c>
      <c r="F258" s="71">
        <v>7.9366000000000003</v>
      </c>
      <c r="G258" s="71">
        <v>23.817</v>
      </c>
      <c r="H258" s="71">
        <v>-7.9366000000000003</v>
      </c>
      <c r="I258" s="71">
        <v>-23.817</v>
      </c>
      <c r="J258" s="70" t="s">
        <v>647</v>
      </c>
      <c r="K258" s="70" t="s">
        <v>48</v>
      </c>
      <c r="L258" s="74">
        <v>46037</v>
      </c>
    </row>
    <row r="259" spans="1:12" hidden="1" x14ac:dyDescent="0.25">
      <c r="A259" s="70" t="s">
        <v>911</v>
      </c>
      <c r="B259" s="70" t="s">
        <v>1158</v>
      </c>
      <c r="C259" s="70" t="s">
        <v>1159</v>
      </c>
      <c r="D259" s="70">
        <v>1521</v>
      </c>
      <c r="E259" s="70">
        <v>1</v>
      </c>
      <c r="F259" s="71">
        <v>4.9127999999999998</v>
      </c>
      <c r="G259" s="71">
        <v>12.6629</v>
      </c>
      <c r="H259" s="71">
        <v>4.9127999999999998</v>
      </c>
      <c r="I259" s="71">
        <v>12.6629</v>
      </c>
      <c r="J259" s="70" t="s">
        <v>647</v>
      </c>
      <c r="K259" s="70" t="s">
        <v>48</v>
      </c>
      <c r="L259" s="74">
        <v>46037</v>
      </c>
    </row>
    <row r="260" spans="1:12" hidden="1" x14ac:dyDescent="0.25">
      <c r="A260" s="70" t="s">
        <v>922</v>
      </c>
      <c r="B260" s="70" t="s">
        <v>1160</v>
      </c>
      <c r="C260" s="70" t="s">
        <v>1161</v>
      </c>
      <c r="D260" s="70">
        <v>1521</v>
      </c>
      <c r="E260" s="70">
        <v>-1</v>
      </c>
      <c r="F260" s="71">
        <v>2.8862999999999999</v>
      </c>
      <c r="G260" s="71">
        <v>7.4394999999999998</v>
      </c>
      <c r="H260" s="71">
        <v>-2.8862999999999999</v>
      </c>
      <c r="I260" s="71">
        <v>-7.4394999999999998</v>
      </c>
      <c r="J260" s="70" t="s">
        <v>647</v>
      </c>
      <c r="K260" s="70" t="s">
        <v>48</v>
      </c>
      <c r="L260" s="74">
        <v>46037</v>
      </c>
    </row>
    <row r="261" spans="1:12" hidden="1" x14ac:dyDescent="0.25">
      <c r="A261" s="70" t="s">
        <v>911</v>
      </c>
      <c r="B261" s="70" t="s">
        <v>1162</v>
      </c>
      <c r="C261" s="70" t="s">
        <v>1163</v>
      </c>
      <c r="D261" s="70">
        <v>1521</v>
      </c>
      <c r="E261" s="70">
        <v>1</v>
      </c>
      <c r="F261" s="71">
        <v>10.864699999999999</v>
      </c>
      <c r="G261" s="71">
        <v>25.4924</v>
      </c>
      <c r="H261" s="71">
        <v>10.864699999999999</v>
      </c>
      <c r="I261" s="71">
        <v>25.4924</v>
      </c>
      <c r="J261" s="70" t="s">
        <v>647</v>
      </c>
      <c r="K261" s="70" t="s">
        <v>48</v>
      </c>
      <c r="L261" s="74">
        <v>46037</v>
      </c>
    </row>
    <row r="262" spans="1:12" hidden="1" x14ac:dyDescent="0.25">
      <c r="A262" s="70" t="s">
        <v>922</v>
      </c>
      <c r="B262" s="70" t="s">
        <v>1164</v>
      </c>
      <c r="C262" s="70" t="s">
        <v>1165</v>
      </c>
      <c r="D262" s="70">
        <v>1521</v>
      </c>
      <c r="E262" s="70">
        <v>-1</v>
      </c>
      <c r="F262" s="71">
        <v>8.6404999999999994</v>
      </c>
      <c r="G262" s="71">
        <v>19.508600000000001</v>
      </c>
      <c r="H262" s="71">
        <v>-8.6404999999999994</v>
      </c>
      <c r="I262" s="71">
        <v>-19.508600000000001</v>
      </c>
      <c r="J262" s="70" t="s">
        <v>647</v>
      </c>
      <c r="K262" s="70" t="s">
        <v>48</v>
      </c>
      <c r="L262" s="74">
        <v>46037</v>
      </c>
    </row>
    <row r="263" spans="1:12" hidden="1" x14ac:dyDescent="0.25">
      <c r="A263" s="70" t="s">
        <v>911</v>
      </c>
      <c r="B263" s="70" t="s">
        <v>1166</v>
      </c>
      <c r="C263" s="70" t="s">
        <v>1167</v>
      </c>
      <c r="D263" s="70">
        <v>1521</v>
      </c>
      <c r="E263" s="70">
        <v>1</v>
      </c>
      <c r="F263" s="71">
        <v>86.465400000000002</v>
      </c>
      <c r="G263" s="71">
        <v>126.6066</v>
      </c>
      <c r="H263" s="71">
        <v>86.465400000000002</v>
      </c>
      <c r="I263" s="71">
        <v>126.6066</v>
      </c>
      <c r="J263" s="70" t="s">
        <v>647</v>
      </c>
      <c r="K263" s="70" t="s">
        <v>48</v>
      </c>
      <c r="L263" s="74">
        <v>46037</v>
      </c>
    </row>
    <row r="264" spans="1:12" hidden="1" x14ac:dyDescent="0.25">
      <c r="A264" s="70" t="s">
        <v>922</v>
      </c>
      <c r="B264" s="70" t="s">
        <v>760</v>
      </c>
      <c r="C264" s="70" t="s">
        <v>761</v>
      </c>
      <c r="D264" s="70">
        <v>1521</v>
      </c>
      <c r="E264" s="70">
        <v>-1</v>
      </c>
      <c r="F264" s="71">
        <v>85.537199999999999</v>
      </c>
      <c r="G264" s="71">
        <v>119.0594</v>
      </c>
      <c r="H264" s="71">
        <v>-85.537199999999999</v>
      </c>
      <c r="I264" s="71">
        <v>-119.0594</v>
      </c>
      <c r="J264" s="70" t="s">
        <v>647</v>
      </c>
      <c r="K264" s="70" t="s">
        <v>48</v>
      </c>
      <c r="L264" s="74">
        <v>46037</v>
      </c>
    </row>
    <row r="265" spans="1:12" hidden="1" x14ac:dyDescent="0.25">
      <c r="A265" s="70" t="s">
        <v>911</v>
      </c>
      <c r="B265" s="70" t="s">
        <v>1168</v>
      </c>
      <c r="C265" s="70" t="s">
        <v>1169</v>
      </c>
      <c r="D265" s="70">
        <v>1521</v>
      </c>
      <c r="E265" s="70">
        <v>2</v>
      </c>
      <c r="F265" s="71">
        <v>10.628299999999999</v>
      </c>
      <c r="G265" s="71">
        <v>24.880400000000002</v>
      </c>
      <c r="H265" s="71">
        <v>21.256599999999999</v>
      </c>
      <c r="I265" s="71">
        <v>49.760800000000003</v>
      </c>
      <c r="J265" s="70" t="s">
        <v>647</v>
      </c>
      <c r="K265" s="70" t="s">
        <v>48</v>
      </c>
      <c r="L265" s="74">
        <v>46037</v>
      </c>
    </row>
    <row r="266" spans="1:12" hidden="1" x14ac:dyDescent="0.25">
      <c r="A266" s="70" t="s">
        <v>922</v>
      </c>
      <c r="B266" s="70" t="s">
        <v>1170</v>
      </c>
      <c r="C266" s="70" t="s">
        <v>1171</v>
      </c>
      <c r="D266" s="70">
        <v>1521</v>
      </c>
      <c r="E266" s="70">
        <v>-2</v>
      </c>
      <c r="F266" s="71">
        <v>9.5145999999999997</v>
      </c>
      <c r="G266" s="71">
        <v>20.411100000000001</v>
      </c>
      <c r="H266" s="71">
        <v>-19.029199999999999</v>
      </c>
      <c r="I266" s="71">
        <v>-40.822200000000002</v>
      </c>
      <c r="J266" s="70" t="s">
        <v>647</v>
      </c>
      <c r="K266" s="70" t="s">
        <v>48</v>
      </c>
      <c r="L266" s="74">
        <v>46037</v>
      </c>
    </row>
    <row r="267" spans="1:12" hidden="1" x14ac:dyDescent="0.25">
      <c r="A267" s="70" t="s">
        <v>911</v>
      </c>
      <c r="B267" s="70" t="s">
        <v>1172</v>
      </c>
      <c r="C267" s="70" t="s">
        <v>1173</v>
      </c>
      <c r="D267" s="70">
        <v>1521</v>
      </c>
      <c r="E267" s="70">
        <v>1</v>
      </c>
      <c r="F267" s="71">
        <v>35.833500000000001</v>
      </c>
      <c r="G267" s="71">
        <v>89.479399999999998</v>
      </c>
      <c r="H267" s="71">
        <v>35.833500000000001</v>
      </c>
      <c r="I267" s="71">
        <v>89.479399999999998</v>
      </c>
      <c r="J267" s="70" t="s">
        <v>647</v>
      </c>
      <c r="K267" s="70" t="s">
        <v>48</v>
      </c>
      <c r="L267" s="74">
        <v>46037</v>
      </c>
    </row>
    <row r="268" spans="1:12" hidden="1" x14ac:dyDescent="0.25">
      <c r="A268" s="70" t="s">
        <v>922</v>
      </c>
      <c r="B268" s="70" t="s">
        <v>1092</v>
      </c>
      <c r="C268" s="70" t="s">
        <v>1093</v>
      </c>
      <c r="D268" s="70">
        <v>1521</v>
      </c>
      <c r="E268" s="70">
        <v>-1</v>
      </c>
      <c r="F268" s="71">
        <v>32.722700000000003</v>
      </c>
      <c r="G268" s="71">
        <v>80.364500000000007</v>
      </c>
      <c r="H268" s="71">
        <v>-32.722700000000003</v>
      </c>
      <c r="I268" s="71">
        <v>-80.364500000000007</v>
      </c>
      <c r="J268" s="70" t="s">
        <v>647</v>
      </c>
      <c r="K268" s="70" t="s">
        <v>48</v>
      </c>
      <c r="L268" s="74">
        <v>46037</v>
      </c>
    </row>
    <row r="269" spans="1:12" hidden="1" x14ac:dyDescent="0.25">
      <c r="A269" s="70" t="s">
        <v>911</v>
      </c>
      <c r="B269" s="70" t="s">
        <v>1174</v>
      </c>
      <c r="C269" s="70" t="s">
        <v>1175</v>
      </c>
      <c r="D269" s="70">
        <v>1521</v>
      </c>
      <c r="E269" s="70">
        <v>1</v>
      </c>
      <c r="F269" s="71">
        <v>101.37</v>
      </c>
      <c r="G269" s="71">
        <v>151.38990000000001</v>
      </c>
      <c r="H269" s="71">
        <v>101.37</v>
      </c>
      <c r="I269" s="71">
        <v>151.38990000000001</v>
      </c>
      <c r="J269" s="70" t="s">
        <v>647</v>
      </c>
      <c r="K269" s="70" t="s">
        <v>48</v>
      </c>
      <c r="L269" s="74">
        <v>46037</v>
      </c>
    </row>
    <row r="270" spans="1:12" hidden="1" x14ac:dyDescent="0.25">
      <c r="A270" s="70" t="s">
        <v>922</v>
      </c>
      <c r="B270" s="70" t="s">
        <v>1176</v>
      </c>
      <c r="C270" s="70" t="s">
        <v>1177</v>
      </c>
      <c r="D270" s="70">
        <v>1521</v>
      </c>
      <c r="E270" s="70">
        <v>-1</v>
      </c>
      <c r="F270" s="71">
        <v>94.921199999999999</v>
      </c>
      <c r="G270" s="71">
        <v>138.9846</v>
      </c>
      <c r="H270" s="71">
        <v>-94.921199999999999</v>
      </c>
      <c r="I270" s="71">
        <v>-138.9846</v>
      </c>
      <c r="J270" s="70" t="s">
        <v>647</v>
      </c>
      <c r="K270" s="70" t="s">
        <v>48</v>
      </c>
      <c r="L270" s="74">
        <v>46037</v>
      </c>
    </row>
    <row r="271" spans="1:12" hidden="1" x14ac:dyDescent="0.25">
      <c r="A271" s="70" t="s">
        <v>911</v>
      </c>
      <c r="B271" s="70" t="s">
        <v>1178</v>
      </c>
      <c r="C271" s="70" t="s">
        <v>1179</v>
      </c>
      <c r="D271" s="70">
        <v>1521</v>
      </c>
      <c r="E271" s="70">
        <v>1</v>
      </c>
      <c r="F271" s="71">
        <v>48.000300000000003</v>
      </c>
      <c r="G271" s="71">
        <v>92.554400000000001</v>
      </c>
      <c r="H271" s="71">
        <v>48.000300000000003</v>
      </c>
      <c r="I271" s="71">
        <v>92.554400000000001</v>
      </c>
      <c r="J271" s="70" t="s">
        <v>647</v>
      </c>
      <c r="K271" s="70" t="s">
        <v>48</v>
      </c>
      <c r="L271" s="74">
        <v>46037</v>
      </c>
    </row>
    <row r="272" spans="1:12" hidden="1" x14ac:dyDescent="0.25">
      <c r="A272" s="70" t="s">
        <v>922</v>
      </c>
      <c r="B272" s="70" t="s">
        <v>1180</v>
      </c>
      <c r="C272" s="70" t="s">
        <v>1181</v>
      </c>
      <c r="D272" s="70">
        <v>1521</v>
      </c>
      <c r="E272" s="70">
        <v>-1</v>
      </c>
      <c r="F272" s="71">
        <v>48.0002</v>
      </c>
      <c r="G272" s="71">
        <v>78.490600000000001</v>
      </c>
      <c r="H272" s="71">
        <v>-48.0002</v>
      </c>
      <c r="I272" s="71">
        <v>-78.490600000000001</v>
      </c>
      <c r="J272" s="70" t="s">
        <v>647</v>
      </c>
      <c r="K272" s="70" t="s">
        <v>48</v>
      </c>
      <c r="L272" s="74">
        <v>46037</v>
      </c>
    </row>
    <row r="273" spans="1:12" hidden="1" x14ac:dyDescent="0.25">
      <c r="A273" s="70" t="s">
        <v>911</v>
      </c>
      <c r="B273" s="70" t="s">
        <v>1182</v>
      </c>
      <c r="C273" s="70" t="s">
        <v>1183</v>
      </c>
      <c r="D273" s="70">
        <v>1521</v>
      </c>
      <c r="E273" s="70">
        <v>1</v>
      </c>
      <c r="F273" s="71">
        <v>41.541600000000003</v>
      </c>
      <c r="G273" s="71">
        <v>106.3535</v>
      </c>
      <c r="H273" s="71">
        <v>41.541600000000003</v>
      </c>
      <c r="I273" s="71">
        <v>106.3535</v>
      </c>
      <c r="J273" s="70" t="s">
        <v>647</v>
      </c>
      <c r="K273" s="70" t="s">
        <v>48</v>
      </c>
      <c r="L273" s="74">
        <v>46037</v>
      </c>
    </row>
    <row r="274" spans="1:12" hidden="1" x14ac:dyDescent="0.25">
      <c r="A274" s="70" t="s">
        <v>922</v>
      </c>
      <c r="B274" s="70" t="s">
        <v>1184</v>
      </c>
      <c r="C274" s="70" t="s">
        <v>1185</v>
      </c>
      <c r="D274" s="70">
        <v>1521</v>
      </c>
      <c r="E274" s="70">
        <v>-1</v>
      </c>
      <c r="F274" s="71">
        <v>35.695</v>
      </c>
      <c r="G274" s="71">
        <v>89.479399999999998</v>
      </c>
      <c r="H274" s="71">
        <v>-35.695</v>
      </c>
      <c r="I274" s="71">
        <v>-89.479399999999998</v>
      </c>
      <c r="J274" s="70" t="s">
        <v>647</v>
      </c>
      <c r="K274" s="70" t="s">
        <v>48</v>
      </c>
      <c r="L274" s="74">
        <v>46037</v>
      </c>
    </row>
    <row r="275" spans="1:12" hidden="1" x14ac:dyDescent="0.25">
      <c r="A275" s="70" t="s">
        <v>911</v>
      </c>
      <c r="B275" s="70" t="s">
        <v>1186</v>
      </c>
      <c r="C275" s="70" t="s">
        <v>1187</v>
      </c>
      <c r="D275" s="70">
        <v>1521</v>
      </c>
      <c r="E275" s="70">
        <v>1</v>
      </c>
      <c r="F275" s="71">
        <v>276.05549999999999</v>
      </c>
      <c r="G275" s="71">
        <v>688.49069999999995</v>
      </c>
      <c r="H275" s="71">
        <v>276.05549999999999</v>
      </c>
      <c r="I275" s="71">
        <v>688.49069999999995</v>
      </c>
      <c r="J275" s="70" t="s">
        <v>647</v>
      </c>
      <c r="K275" s="70" t="s">
        <v>48</v>
      </c>
      <c r="L275" s="74">
        <v>46037</v>
      </c>
    </row>
    <row r="276" spans="1:12" hidden="1" x14ac:dyDescent="0.25">
      <c r="A276" s="70" t="s">
        <v>922</v>
      </c>
      <c r="B276" s="70" t="s">
        <v>1188</v>
      </c>
      <c r="C276" s="70" t="s">
        <v>1189</v>
      </c>
      <c r="D276" s="70">
        <v>1521</v>
      </c>
      <c r="E276" s="70">
        <v>-1</v>
      </c>
      <c r="F276" s="71">
        <v>274.6173</v>
      </c>
      <c r="G276" s="71">
        <v>657.61929999999995</v>
      </c>
      <c r="H276" s="71">
        <v>-274.6173</v>
      </c>
      <c r="I276" s="71">
        <v>-657.61929999999995</v>
      </c>
      <c r="J276" s="70" t="s">
        <v>647</v>
      </c>
      <c r="K276" s="70" t="s">
        <v>48</v>
      </c>
      <c r="L276" s="74">
        <v>46037</v>
      </c>
    </row>
    <row r="277" spans="1:12" hidden="1" x14ac:dyDescent="0.25">
      <c r="A277" s="70" t="s">
        <v>911</v>
      </c>
      <c r="B277" s="70" t="s">
        <v>1190</v>
      </c>
      <c r="C277" s="70" t="s">
        <v>1191</v>
      </c>
      <c r="D277" s="70">
        <v>1521</v>
      </c>
      <c r="E277" s="70">
        <v>1</v>
      </c>
      <c r="F277" s="71">
        <v>16.759799999999998</v>
      </c>
      <c r="G277" s="71">
        <v>33.124099999999999</v>
      </c>
      <c r="H277" s="71">
        <v>16.759799999999998</v>
      </c>
      <c r="I277" s="71">
        <v>33.124099999999999</v>
      </c>
      <c r="J277" s="70" t="s">
        <v>647</v>
      </c>
      <c r="K277" s="70" t="s">
        <v>48</v>
      </c>
      <c r="L277" s="74">
        <v>46037</v>
      </c>
    </row>
    <row r="278" spans="1:12" hidden="1" x14ac:dyDescent="0.25">
      <c r="A278" s="70" t="s">
        <v>922</v>
      </c>
      <c r="B278" s="70" t="s">
        <v>1192</v>
      </c>
      <c r="C278" s="70" t="s">
        <v>1193</v>
      </c>
      <c r="D278" s="70">
        <v>1521</v>
      </c>
      <c r="E278" s="70">
        <v>-1</v>
      </c>
      <c r="F278" s="71">
        <v>16.759799999999998</v>
      </c>
      <c r="G278" s="71">
        <v>0</v>
      </c>
      <c r="H278" s="71">
        <v>-16.759799999999998</v>
      </c>
      <c r="I278" s="71">
        <v>0</v>
      </c>
      <c r="J278" s="70" t="s">
        <v>647</v>
      </c>
      <c r="K278" s="70" t="s">
        <v>48</v>
      </c>
      <c r="L278" s="74">
        <v>46037</v>
      </c>
    </row>
    <row r="279" spans="1:12" hidden="1" x14ac:dyDescent="0.25">
      <c r="A279" s="70" t="s">
        <v>911</v>
      </c>
      <c r="B279" s="70" t="s">
        <v>1194</v>
      </c>
      <c r="C279" s="70" t="s">
        <v>1195</v>
      </c>
      <c r="D279" s="70">
        <v>1521</v>
      </c>
      <c r="E279" s="70">
        <v>1</v>
      </c>
      <c r="F279" s="71">
        <v>120.7505</v>
      </c>
      <c r="G279" s="71">
        <v>184.8784</v>
      </c>
      <c r="H279" s="71">
        <v>120.7505</v>
      </c>
      <c r="I279" s="71">
        <v>184.8784</v>
      </c>
      <c r="J279" s="70" t="s">
        <v>647</v>
      </c>
      <c r="K279" s="70" t="s">
        <v>48</v>
      </c>
      <c r="L279" s="74">
        <v>46037</v>
      </c>
    </row>
    <row r="280" spans="1:12" hidden="1" x14ac:dyDescent="0.25">
      <c r="A280" s="70" t="s">
        <v>922</v>
      </c>
      <c r="B280" s="70" t="s">
        <v>1196</v>
      </c>
      <c r="C280" s="70" t="s">
        <v>1197</v>
      </c>
      <c r="D280" s="70">
        <v>1521</v>
      </c>
      <c r="E280" s="70">
        <v>-1</v>
      </c>
      <c r="F280" s="71">
        <v>95.908699999999996</v>
      </c>
      <c r="G280" s="71">
        <v>137.16749999999999</v>
      </c>
      <c r="H280" s="71">
        <v>-95.908699999999996</v>
      </c>
      <c r="I280" s="71">
        <v>-137.16749999999999</v>
      </c>
      <c r="J280" s="70" t="s">
        <v>647</v>
      </c>
      <c r="K280" s="70" t="s">
        <v>48</v>
      </c>
      <c r="L280" s="74">
        <v>46037</v>
      </c>
    </row>
    <row r="281" spans="1:12" hidden="1" x14ac:dyDescent="0.25">
      <c r="A281" s="70" t="s">
        <v>911</v>
      </c>
      <c r="B281" s="70" t="s">
        <v>1198</v>
      </c>
      <c r="C281" s="70" t="s">
        <v>1199</v>
      </c>
      <c r="D281" s="70">
        <v>1521</v>
      </c>
      <c r="E281" s="70">
        <v>1</v>
      </c>
      <c r="F281" s="71">
        <v>446.08679999999998</v>
      </c>
      <c r="G281" s="71">
        <v>621.01689999999996</v>
      </c>
      <c r="H281" s="71">
        <v>446.08679999999998</v>
      </c>
      <c r="I281" s="71">
        <v>621.01689999999996</v>
      </c>
      <c r="J281" s="70" t="s">
        <v>647</v>
      </c>
      <c r="K281" s="70" t="s">
        <v>48</v>
      </c>
      <c r="L281" s="74">
        <v>46037</v>
      </c>
    </row>
    <row r="282" spans="1:12" hidden="1" x14ac:dyDescent="0.25">
      <c r="A282" s="70" t="s">
        <v>922</v>
      </c>
      <c r="B282" s="70" t="s">
        <v>1200</v>
      </c>
      <c r="C282" s="70" t="s">
        <v>1201</v>
      </c>
      <c r="D282" s="70">
        <v>1521</v>
      </c>
      <c r="E282" s="70">
        <v>-1</v>
      </c>
      <c r="F282" s="71">
        <v>393.89339999999999</v>
      </c>
      <c r="G282" s="71">
        <v>548.34439999999995</v>
      </c>
      <c r="H282" s="71">
        <v>-393.89339999999999</v>
      </c>
      <c r="I282" s="71">
        <v>-548.34439999999995</v>
      </c>
      <c r="J282" s="70" t="s">
        <v>647</v>
      </c>
      <c r="K282" s="70" t="s">
        <v>48</v>
      </c>
      <c r="L282" s="74">
        <v>46037</v>
      </c>
    </row>
    <row r="283" spans="1:12" hidden="1" x14ac:dyDescent="0.25">
      <c r="A283" s="70" t="s">
        <v>877</v>
      </c>
      <c r="B283" s="70" t="s">
        <v>1202</v>
      </c>
      <c r="C283" s="70" t="s">
        <v>1203</v>
      </c>
      <c r="D283" s="70">
        <v>1715</v>
      </c>
      <c r="E283" s="70">
        <v>-4</v>
      </c>
      <c r="F283" s="71">
        <v>86.441850000000002</v>
      </c>
      <c r="G283" s="71">
        <v>0</v>
      </c>
      <c r="H283" s="71">
        <v>-345.76740000000001</v>
      </c>
      <c r="I283" s="71">
        <v>0</v>
      </c>
      <c r="J283" s="70" t="s">
        <v>416</v>
      </c>
      <c r="K283" s="70" t="s">
        <v>1204</v>
      </c>
      <c r="L283" s="74">
        <v>46035</v>
      </c>
    </row>
    <row r="284" spans="1:12" hidden="1" x14ac:dyDescent="0.25">
      <c r="A284" s="70" t="s">
        <v>877</v>
      </c>
      <c r="B284" s="70" t="s">
        <v>1205</v>
      </c>
      <c r="C284" s="70" t="s">
        <v>1206</v>
      </c>
      <c r="D284" s="70">
        <v>1715</v>
      </c>
      <c r="E284" s="70">
        <v>-5</v>
      </c>
      <c r="F284" s="71">
        <v>44.299172727272698</v>
      </c>
      <c r="G284" s="71">
        <v>0</v>
      </c>
      <c r="H284" s="71">
        <v>-221.49586363636399</v>
      </c>
      <c r="I284" s="71">
        <v>0</v>
      </c>
      <c r="J284" s="70" t="s">
        <v>416</v>
      </c>
      <c r="K284" s="70" t="s">
        <v>1204</v>
      </c>
      <c r="L284" s="74">
        <v>46035</v>
      </c>
    </row>
    <row r="285" spans="1:12" hidden="1" x14ac:dyDescent="0.25">
      <c r="A285" s="70" t="s">
        <v>877</v>
      </c>
      <c r="B285" s="70" t="s">
        <v>1207</v>
      </c>
      <c r="C285" s="70" t="s">
        <v>1208</v>
      </c>
      <c r="D285" s="70">
        <v>1715</v>
      </c>
      <c r="E285" s="70">
        <v>-1</v>
      </c>
      <c r="F285" s="71">
        <v>179.89500000000001</v>
      </c>
      <c r="G285" s="71">
        <v>0</v>
      </c>
      <c r="H285" s="71">
        <v>-179.89500000000001</v>
      </c>
      <c r="I285" s="71">
        <v>0</v>
      </c>
      <c r="J285" s="70" t="s">
        <v>416</v>
      </c>
      <c r="K285" s="70" t="s">
        <v>1204</v>
      </c>
      <c r="L285" s="74">
        <v>46035</v>
      </c>
    </row>
    <row r="286" spans="1:12" hidden="1" x14ac:dyDescent="0.25">
      <c r="A286" s="70" t="s">
        <v>877</v>
      </c>
      <c r="B286" s="70" t="s">
        <v>1209</v>
      </c>
      <c r="C286" s="70" t="s">
        <v>1210</v>
      </c>
      <c r="D286" s="70">
        <v>1715</v>
      </c>
      <c r="E286" s="70">
        <v>-2</v>
      </c>
      <c r="F286" s="71">
        <v>89.760300000000001</v>
      </c>
      <c r="G286" s="71">
        <v>0</v>
      </c>
      <c r="H286" s="71">
        <v>-179.5206</v>
      </c>
      <c r="I286" s="71">
        <v>0</v>
      </c>
      <c r="J286" s="70" t="s">
        <v>416</v>
      </c>
      <c r="K286" s="70" t="s">
        <v>1204</v>
      </c>
      <c r="L286" s="74">
        <v>46035</v>
      </c>
    </row>
    <row r="287" spans="1:12" hidden="1" x14ac:dyDescent="0.25">
      <c r="A287" s="70" t="s">
        <v>877</v>
      </c>
      <c r="B287" s="70" t="s">
        <v>1211</v>
      </c>
      <c r="C287" s="70" t="s">
        <v>1212</v>
      </c>
      <c r="D287" s="70">
        <v>1715</v>
      </c>
      <c r="E287" s="70">
        <v>-3</v>
      </c>
      <c r="F287" s="71">
        <v>46.3675</v>
      </c>
      <c r="G287" s="71">
        <v>0</v>
      </c>
      <c r="H287" s="71">
        <v>-139.10249999999999</v>
      </c>
      <c r="I287" s="71">
        <v>0</v>
      </c>
      <c r="J287" s="70" t="s">
        <v>416</v>
      </c>
      <c r="K287" s="70" t="s">
        <v>1204</v>
      </c>
      <c r="L287" s="74">
        <v>46035</v>
      </c>
    </row>
    <row r="288" spans="1:12" hidden="1" x14ac:dyDescent="0.25">
      <c r="A288" s="70" t="s">
        <v>877</v>
      </c>
      <c r="B288" s="70" t="s">
        <v>1213</v>
      </c>
      <c r="C288" s="70" t="s">
        <v>1214</v>
      </c>
      <c r="D288" s="70">
        <v>1715</v>
      </c>
      <c r="E288" s="70">
        <v>-3</v>
      </c>
      <c r="F288" s="71">
        <v>39.656999999999996</v>
      </c>
      <c r="G288" s="71">
        <v>0</v>
      </c>
      <c r="H288" s="71">
        <v>-118.971</v>
      </c>
      <c r="I288" s="71">
        <v>0</v>
      </c>
      <c r="J288" s="70" t="s">
        <v>416</v>
      </c>
      <c r="K288" s="70" t="s">
        <v>1204</v>
      </c>
      <c r="L288" s="74">
        <v>46035</v>
      </c>
    </row>
    <row r="289" spans="1:12" hidden="1" x14ac:dyDescent="0.25">
      <c r="A289" s="70" t="s">
        <v>877</v>
      </c>
      <c r="B289" s="70" t="s">
        <v>1215</v>
      </c>
      <c r="C289" s="70" t="s">
        <v>1216</v>
      </c>
      <c r="D289" s="70">
        <v>1715</v>
      </c>
      <c r="E289" s="70">
        <v>-1</v>
      </c>
      <c r="F289" s="71">
        <v>108.8548</v>
      </c>
      <c r="G289" s="71">
        <v>0</v>
      </c>
      <c r="H289" s="71">
        <v>-108.8548</v>
      </c>
      <c r="I289" s="71">
        <v>0</v>
      </c>
      <c r="J289" s="70" t="s">
        <v>416</v>
      </c>
      <c r="K289" s="70" t="s">
        <v>1204</v>
      </c>
      <c r="L289" s="74">
        <v>46035</v>
      </c>
    </row>
    <row r="290" spans="1:12" hidden="1" x14ac:dyDescent="0.25">
      <c r="A290" s="70" t="s">
        <v>877</v>
      </c>
      <c r="B290" s="70" t="s">
        <v>1217</v>
      </c>
      <c r="C290" s="70" t="s">
        <v>1218</v>
      </c>
      <c r="D290" s="70">
        <v>1715</v>
      </c>
      <c r="E290" s="70">
        <v>-3</v>
      </c>
      <c r="F290" s="71">
        <v>31.6834285714286</v>
      </c>
      <c r="G290" s="71">
        <v>0</v>
      </c>
      <c r="H290" s="71">
        <v>-95.050285714285806</v>
      </c>
      <c r="I290" s="71">
        <v>0</v>
      </c>
      <c r="J290" s="70" t="s">
        <v>416</v>
      </c>
      <c r="K290" s="70" t="s">
        <v>1204</v>
      </c>
      <c r="L290" s="74">
        <v>46035</v>
      </c>
    </row>
    <row r="291" spans="1:12" hidden="1" x14ac:dyDescent="0.25">
      <c r="A291" s="70" t="s">
        <v>877</v>
      </c>
      <c r="B291" s="70" t="s">
        <v>1219</v>
      </c>
      <c r="C291" s="70" t="s">
        <v>1220</v>
      </c>
      <c r="D291" s="70">
        <v>1715</v>
      </c>
      <c r="E291" s="70">
        <v>-1</v>
      </c>
      <c r="F291" s="71">
        <v>89.670599999999993</v>
      </c>
      <c r="G291" s="71">
        <v>0</v>
      </c>
      <c r="H291" s="71">
        <v>-89.670599999999993</v>
      </c>
      <c r="I291" s="71">
        <v>0</v>
      </c>
      <c r="J291" s="70" t="s">
        <v>416</v>
      </c>
      <c r="K291" s="70" t="s">
        <v>1204</v>
      </c>
      <c r="L291" s="74">
        <v>46035</v>
      </c>
    </row>
    <row r="292" spans="1:12" hidden="1" x14ac:dyDescent="0.25">
      <c r="A292" s="70" t="s">
        <v>877</v>
      </c>
      <c r="B292" s="70" t="s">
        <v>1221</v>
      </c>
      <c r="C292" s="70" t="s">
        <v>1222</v>
      </c>
      <c r="D292" s="70">
        <v>1715</v>
      </c>
      <c r="E292" s="70">
        <v>-1</v>
      </c>
      <c r="F292" s="71">
        <v>78.918300000000002</v>
      </c>
      <c r="G292" s="71">
        <v>0</v>
      </c>
      <c r="H292" s="71">
        <v>-78.918300000000002</v>
      </c>
      <c r="I292" s="71">
        <v>0</v>
      </c>
      <c r="J292" s="70" t="s">
        <v>416</v>
      </c>
      <c r="K292" s="70" t="s">
        <v>1204</v>
      </c>
      <c r="L292" s="74">
        <v>46035</v>
      </c>
    </row>
    <row r="293" spans="1:12" hidden="1" x14ac:dyDescent="0.25">
      <c r="A293" s="70" t="s">
        <v>877</v>
      </c>
      <c r="B293" s="70" t="s">
        <v>1223</v>
      </c>
      <c r="C293" s="70" t="s">
        <v>1224</v>
      </c>
      <c r="D293" s="70">
        <v>1715</v>
      </c>
      <c r="E293" s="70">
        <v>-2</v>
      </c>
      <c r="F293" s="71">
        <v>35.842500000000001</v>
      </c>
      <c r="G293" s="71">
        <v>0</v>
      </c>
      <c r="H293" s="71">
        <v>-71.685000000000002</v>
      </c>
      <c r="I293" s="71">
        <v>0</v>
      </c>
      <c r="J293" s="70" t="s">
        <v>416</v>
      </c>
      <c r="K293" s="70" t="s">
        <v>1204</v>
      </c>
      <c r="L293" s="74">
        <v>46035</v>
      </c>
    </row>
    <row r="294" spans="1:12" hidden="1" x14ac:dyDescent="0.25">
      <c r="A294" s="70" t="s">
        <v>877</v>
      </c>
      <c r="B294" s="70" t="s">
        <v>1225</v>
      </c>
      <c r="C294" s="70" t="s">
        <v>1226</v>
      </c>
      <c r="D294" s="70">
        <v>1715</v>
      </c>
      <c r="E294" s="70">
        <v>-1</v>
      </c>
      <c r="F294" s="71">
        <v>57.38</v>
      </c>
      <c r="G294" s="71">
        <v>0</v>
      </c>
      <c r="H294" s="71">
        <v>-57.38</v>
      </c>
      <c r="I294" s="71">
        <v>0</v>
      </c>
      <c r="J294" s="70" t="s">
        <v>416</v>
      </c>
      <c r="K294" s="70" t="s">
        <v>1204</v>
      </c>
      <c r="L294" s="74">
        <v>46035</v>
      </c>
    </row>
    <row r="295" spans="1:12" hidden="1" x14ac:dyDescent="0.25">
      <c r="A295" s="70" t="s">
        <v>877</v>
      </c>
      <c r="B295" s="70" t="s">
        <v>1227</v>
      </c>
      <c r="C295" s="70" t="s">
        <v>1228</v>
      </c>
      <c r="D295" s="70">
        <v>1715</v>
      </c>
      <c r="E295" s="70">
        <v>-1</v>
      </c>
      <c r="F295" s="71">
        <v>53.7288</v>
      </c>
      <c r="G295" s="71">
        <v>0</v>
      </c>
      <c r="H295" s="71">
        <v>-53.7288</v>
      </c>
      <c r="I295" s="71">
        <v>0</v>
      </c>
      <c r="J295" s="70" t="s">
        <v>416</v>
      </c>
      <c r="K295" s="70" t="s">
        <v>1204</v>
      </c>
      <c r="L295" s="74">
        <v>46035</v>
      </c>
    </row>
    <row r="296" spans="1:12" hidden="1" x14ac:dyDescent="0.25">
      <c r="A296" s="70" t="s">
        <v>877</v>
      </c>
      <c r="B296" s="70" t="s">
        <v>1229</v>
      </c>
      <c r="C296" s="70" t="s">
        <v>1230</v>
      </c>
      <c r="D296" s="70">
        <v>1715</v>
      </c>
      <c r="E296" s="70">
        <v>-1</v>
      </c>
      <c r="F296" s="71">
        <v>53.499099999999999</v>
      </c>
      <c r="G296" s="71">
        <v>0</v>
      </c>
      <c r="H296" s="71">
        <v>-53.499099999999999</v>
      </c>
      <c r="I296" s="71">
        <v>0</v>
      </c>
      <c r="J296" s="70" t="s">
        <v>416</v>
      </c>
      <c r="K296" s="70" t="s">
        <v>1204</v>
      </c>
      <c r="L296" s="74">
        <v>46035</v>
      </c>
    </row>
    <row r="297" spans="1:12" hidden="1" x14ac:dyDescent="0.25">
      <c r="A297" s="70" t="s">
        <v>877</v>
      </c>
      <c r="B297" s="70" t="s">
        <v>1231</v>
      </c>
      <c r="C297" s="70" t="s">
        <v>1232</v>
      </c>
      <c r="D297" s="70">
        <v>1715</v>
      </c>
      <c r="E297" s="70">
        <v>-5</v>
      </c>
      <c r="F297" s="71">
        <v>10.3132</v>
      </c>
      <c r="G297" s="71">
        <v>0</v>
      </c>
      <c r="H297" s="71">
        <v>-51.566000000000003</v>
      </c>
      <c r="I297" s="71">
        <v>0</v>
      </c>
      <c r="J297" s="70" t="s">
        <v>416</v>
      </c>
      <c r="K297" s="70" t="s">
        <v>1204</v>
      </c>
      <c r="L297" s="74">
        <v>46035</v>
      </c>
    </row>
    <row r="298" spans="1:12" hidden="1" x14ac:dyDescent="0.25">
      <c r="A298" s="70" t="s">
        <v>877</v>
      </c>
      <c r="B298" s="70" t="s">
        <v>1233</v>
      </c>
      <c r="C298" s="70" t="s">
        <v>1234</v>
      </c>
      <c r="D298" s="70">
        <v>1715</v>
      </c>
      <c r="E298" s="70">
        <v>-3</v>
      </c>
      <c r="F298" s="71">
        <v>14.531040000000001</v>
      </c>
      <c r="G298" s="71">
        <v>0</v>
      </c>
      <c r="H298" s="71">
        <v>-43.593119999999999</v>
      </c>
      <c r="I298" s="71">
        <v>0</v>
      </c>
      <c r="J298" s="70" t="s">
        <v>416</v>
      </c>
      <c r="K298" s="70" t="s">
        <v>1204</v>
      </c>
      <c r="L298" s="74">
        <v>46035</v>
      </c>
    </row>
    <row r="299" spans="1:12" hidden="1" x14ac:dyDescent="0.25">
      <c r="A299" s="70" t="s">
        <v>877</v>
      </c>
      <c r="B299" s="70" t="s">
        <v>1235</v>
      </c>
      <c r="C299" s="70" t="s">
        <v>1236</v>
      </c>
      <c r="D299" s="70">
        <v>1715</v>
      </c>
      <c r="E299" s="70">
        <v>-1</v>
      </c>
      <c r="F299" s="71">
        <v>43.151060000000001</v>
      </c>
      <c r="G299" s="71">
        <v>0</v>
      </c>
      <c r="H299" s="71">
        <v>-43.151060000000001</v>
      </c>
      <c r="I299" s="71">
        <v>0</v>
      </c>
      <c r="J299" s="70" t="s">
        <v>416</v>
      </c>
      <c r="K299" s="70" t="s">
        <v>1204</v>
      </c>
      <c r="L299" s="74">
        <v>46035</v>
      </c>
    </row>
    <row r="300" spans="1:12" hidden="1" x14ac:dyDescent="0.25">
      <c r="A300" s="70" t="s">
        <v>877</v>
      </c>
      <c r="B300" s="70" t="s">
        <v>1237</v>
      </c>
      <c r="C300" s="70" t="s">
        <v>1238</v>
      </c>
      <c r="D300" s="70">
        <v>1715</v>
      </c>
      <c r="E300" s="70">
        <v>-3.9299999999999802</v>
      </c>
      <c r="F300" s="71">
        <v>10.7162218152218</v>
      </c>
      <c r="G300" s="71">
        <v>0</v>
      </c>
      <c r="H300" s="71">
        <v>-42.1147517338215</v>
      </c>
      <c r="I300" s="71">
        <v>0</v>
      </c>
      <c r="J300" s="70" t="s">
        <v>416</v>
      </c>
      <c r="K300" s="70" t="s">
        <v>1204</v>
      </c>
      <c r="L300" s="74">
        <v>46035</v>
      </c>
    </row>
    <row r="301" spans="1:12" hidden="1" x14ac:dyDescent="0.25">
      <c r="A301" s="70" t="s">
        <v>877</v>
      </c>
      <c r="B301" s="70" t="s">
        <v>1239</v>
      </c>
      <c r="C301" s="70" t="s">
        <v>1240</v>
      </c>
      <c r="D301" s="70">
        <v>1715</v>
      </c>
      <c r="E301" s="70">
        <v>-4</v>
      </c>
      <c r="F301" s="71">
        <v>10.2425</v>
      </c>
      <c r="G301" s="71">
        <v>0</v>
      </c>
      <c r="H301" s="71">
        <v>-40.97</v>
      </c>
      <c r="I301" s="71">
        <v>0</v>
      </c>
      <c r="J301" s="70" t="s">
        <v>416</v>
      </c>
      <c r="K301" s="70" t="s">
        <v>1204</v>
      </c>
      <c r="L301" s="74">
        <v>46035</v>
      </c>
    </row>
    <row r="302" spans="1:12" hidden="1" x14ac:dyDescent="0.25">
      <c r="A302" s="70" t="s">
        <v>877</v>
      </c>
      <c r="B302" s="70" t="s">
        <v>1241</v>
      </c>
      <c r="C302" s="70" t="s">
        <v>1242</v>
      </c>
      <c r="D302" s="70">
        <v>1715</v>
      </c>
      <c r="E302" s="70">
        <v>-2</v>
      </c>
      <c r="F302" s="71">
        <v>19.6814</v>
      </c>
      <c r="G302" s="71">
        <v>0</v>
      </c>
      <c r="H302" s="71">
        <v>-39.3628</v>
      </c>
      <c r="I302" s="71">
        <v>0</v>
      </c>
      <c r="J302" s="70" t="s">
        <v>416</v>
      </c>
      <c r="K302" s="70" t="s">
        <v>1204</v>
      </c>
      <c r="L302" s="74">
        <v>46035</v>
      </c>
    </row>
    <row r="303" spans="1:12" hidden="1" x14ac:dyDescent="0.25">
      <c r="A303" s="70" t="s">
        <v>877</v>
      </c>
      <c r="B303" s="70" t="s">
        <v>1243</v>
      </c>
      <c r="C303" s="70" t="s">
        <v>1244</v>
      </c>
      <c r="D303" s="70">
        <v>1715</v>
      </c>
      <c r="E303" s="70">
        <v>-2</v>
      </c>
      <c r="F303" s="71">
        <v>18.363959999999999</v>
      </c>
      <c r="G303" s="71">
        <v>0</v>
      </c>
      <c r="H303" s="71">
        <v>-36.727919999999997</v>
      </c>
      <c r="I303" s="71">
        <v>0</v>
      </c>
      <c r="J303" s="70" t="s">
        <v>416</v>
      </c>
      <c r="K303" s="70" t="s">
        <v>1204</v>
      </c>
      <c r="L303" s="74">
        <v>46035</v>
      </c>
    </row>
    <row r="304" spans="1:12" hidden="1" x14ac:dyDescent="0.25">
      <c r="A304" s="70" t="s">
        <v>877</v>
      </c>
      <c r="B304" s="70" t="s">
        <v>1245</v>
      </c>
      <c r="C304" s="70" t="s">
        <v>1246</v>
      </c>
      <c r="D304" s="70">
        <v>1715</v>
      </c>
      <c r="E304" s="70">
        <v>-2</v>
      </c>
      <c r="F304" s="71">
        <v>18.362500000000001</v>
      </c>
      <c r="G304" s="71">
        <v>0</v>
      </c>
      <c r="H304" s="71">
        <v>-36.725000000000001</v>
      </c>
      <c r="I304" s="71">
        <v>0</v>
      </c>
      <c r="J304" s="70" t="s">
        <v>416</v>
      </c>
      <c r="K304" s="70" t="s">
        <v>1204</v>
      </c>
      <c r="L304" s="74">
        <v>46035</v>
      </c>
    </row>
    <row r="305" spans="1:12" hidden="1" x14ac:dyDescent="0.25">
      <c r="A305" s="70" t="s">
        <v>877</v>
      </c>
      <c r="B305" s="70" t="s">
        <v>1247</v>
      </c>
      <c r="C305" s="70" t="s">
        <v>1248</v>
      </c>
      <c r="D305" s="70">
        <v>1715</v>
      </c>
      <c r="E305" s="70">
        <v>-2</v>
      </c>
      <c r="F305" s="71">
        <v>16.552379999999999</v>
      </c>
      <c r="G305" s="71">
        <v>0</v>
      </c>
      <c r="H305" s="71">
        <v>-33.104759999999999</v>
      </c>
      <c r="I305" s="71">
        <v>0</v>
      </c>
      <c r="J305" s="70" t="s">
        <v>416</v>
      </c>
      <c r="K305" s="70" t="s">
        <v>1204</v>
      </c>
      <c r="L305" s="74">
        <v>46035</v>
      </c>
    </row>
    <row r="306" spans="1:12" hidden="1" x14ac:dyDescent="0.25">
      <c r="A306" s="70" t="s">
        <v>877</v>
      </c>
      <c r="B306" s="70" t="s">
        <v>1249</v>
      </c>
      <c r="C306" s="70" t="s">
        <v>1250</v>
      </c>
      <c r="D306" s="70">
        <v>1715</v>
      </c>
      <c r="E306" s="70">
        <v>-1</v>
      </c>
      <c r="F306" s="71">
        <v>31.348666666666698</v>
      </c>
      <c r="G306" s="71">
        <v>0</v>
      </c>
      <c r="H306" s="71">
        <v>-31.348666666666698</v>
      </c>
      <c r="I306" s="71">
        <v>0</v>
      </c>
      <c r="J306" s="70" t="s">
        <v>416</v>
      </c>
      <c r="K306" s="70" t="s">
        <v>1204</v>
      </c>
      <c r="L306" s="74">
        <v>46035</v>
      </c>
    </row>
    <row r="307" spans="1:12" hidden="1" x14ac:dyDescent="0.25">
      <c r="A307" s="70" t="s">
        <v>877</v>
      </c>
      <c r="B307" s="70" t="s">
        <v>1251</v>
      </c>
      <c r="C307" s="70" t="s">
        <v>1252</v>
      </c>
      <c r="D307" s="70">
        <v>1715</v>
      </c>
      <c r="E307" s="70">
        <v>-2</v>
      </c>
      <c r="F307" s="71">
        <v>15.5815</v>
      </c>
      <c r="G307" s="71">
        <v>0</v>
      </c>
      <c r="H307" s="71">
        <v>-31.163</v>
      </c>
      <c r="I307" s="71">
        <v>0</v>
      </c>
      <c r="J307" s="70" t="s">
        <v>416</v>
      </c>
      <c r="K307" s="70" t="s">
        <v>1204</v>
      </c>
      <c r="L307" s="74">
        <v>46035</v>
      </c>
    </row>
    <row r="308" spans="1:12" hidden="1" x14ac:dyDescent="0.25">
      <c r="A308" s="70" t="s">
        <v>877</v>
      </c>
      <c r="B308" s="70" t="s">
        <v>1253</v>
      </c>
      <c r="C308" s="70" t="s">
        <v>1254</v>
      </c>
      <c r="D308" s="70">
        <v>1715</v>
      </c>
      <c r="E308" s="70">
        <v>-1</v>
      </c>
      <c r="F308" s="71">
        <v>27.4984</v>
      </c>
      <c r="G308" s="71">
        <v>0</v>
      </c>
      <c r="H308" s="71">
        <v>-27.4984</v>
      </c>
      <c r="I308" s="71">
        <v>0</v>
      </c>
      <c r="J308" s="70" t="s">
        <v>416</v>
      </c>
      <c r="K308" s="70" t="s">
        <v>1204</v>
      </c>
      <c r="L308" s="74">
        <v>46035</v>
      </c>
    </row>
    <row r="309" spans="1:12" hidden="1" x14ac:dyDescent="0.25">
      <c r="A309" s="70" t="s">
        <v>877</v>
      </c>
      <c r="B309" s="70" t="s">
        <v>1255</v>
      </c>
      <c r="C309" s="70" t="s">
        <v>1256</v>
      </c>
      <c r="D309" s="70">
        <v>1715</v>
      </c>
      <c r="E309" s="70">
        <v>-2</v>
      </c>
      <c r="F309" s="71">
        <v>12.8</v>
      </c>
      <c r="G309" s="71">
        <v>0</v>
      </c>
      <c r="H309" s="71">
        <v>-25.6</v>
      </c>
      <c r="I309" s="71">
        <v>0</v>
      </c>
      <c r="J309" s="70" t="s">
        <v>416</v>
      </c>
      <c r="K309" s="70" t="s">
        <v>1204</v>
      </c>
      <c r="L309" s="74">
        <v>46035</v>
      </c>
    </row>
    <row r="310" spans="1:12" hidden="1" x14ac:dyDescent="0.25">
      <c r="A310" s="70" t="s">
        <v>877</v>
      </c>
      <c r="B310" s="70" t="s">
        <v>1257</v>
      </c>
      <c r="C310" s="70" t="s">
        <v>1258</v>
      </c>
      <c r="D310" s="70">
        <v>1715</v>
      </c>
      <c r="E310" s="70">
        <v>-1</v>
      </c>
      <c r="F310" s="71">
        <v>24.472000000000001</v>
      </c>
      <c r="G310" s="71">
        <v>0</v>
      </c>
      <c r="H310" s="71">
        <v>-24.472000000000001</v>
      </c>
      <c r="I310" s="71">
        <v>0</v>
      </c>
      <c r="J310" s="70" t="s">
        <v>416</v>
      </c>
      <c r="K310" s="70" t="s">
        <v>1204</v>
      </c>
      <c r="L310" s="74">
        <v>46035</v>
      </c>
    </row>
    <row r="311" spans="1:12" hidden="1" x14ac:dyDescent="0.25">
      <c r="A311" s="70" t="s">
        <v>877</v>
      </c>
      <c r="B311" s="70" t="s">
        <v>1259</v>
      </c>
      <c r="C311" s="70" t="s">
        <v>1260</v>
      </c>
      <c r="D311" s="70">
        <v>1715</v>
      </c>
      <c r="E311" s="70">
        <v>-1</v>
      </c>
      <c r="F311" s="71">
        <v>21.166</v>
      </c>
      <c r="G311" s="71">
        <v>0</v>
      </c>
      <c r="H311" s="71">
        <v>-21.166</v>
      </c>
      <c r="I311" s="71">
        <v>0</v>
      </c>
      <c r="J311" s="70" t="s">
        <v>416</v>
      </c>
      <c r="K311" s="70" t="s">
        <v>1204</v>
      </c>
      <c r="L311" s="74">
        <v>46035</v>
      </c>
    </row>
    <row r="312" spans="1:12" hidden="1" x14ac:dyDescent="0.25">
      <c r="A312" s="70" t="s">
        <v>877</v>
      </c>
      <c r="B312" s="70" t="s">
        <v>1261</v>
      </c>
      <c r="C312" s="70" t="s">
        <v>1262</v>
      </c>
      <c r="D312" s="70">
        <v>1715</v>
      </c>
      <c r="E312" s="70">
        <v>-1</v>
      </c>
      <c r="F312" s="71">
        <v>20.392299999999999</v>
      </c>
      <c r="G312" s="71">
        <v>0</v>
      </c>
      <c r="H312" s="71">
        <v>-20.392299999999999</v>
      </c>
      <c r="I312" s="71">
        <v>0</v>
      </c>
      <c r="J312" s="70" t="s">
        <v>416</v>
      </c>
      <c r="K312" s="70" t="s">
        <v>1204</v>
      </c>
      <c r="L312" s="74">
        <v>46035</v>
      </c>
    </row>
    <row r="313" spans="1:12" hidden="1" x14ac:dyDescent="0.25">
      <c r="A313" s="70" t="s">
        <v>877</v>
      </c>
      <c r="B313" s="70" t="s">
        <v>1263</v>
      </c>
      <c r="C313" s="70" t="s">
        <v>1264</v>
      </c>
      <c r="D313" s="70">
        <v>1715</v>
      </c>
      <c r="E313" s="70">
        <v>-78</v>
      </c>
      <c r="F313" s="71">
        <v>0.2465</v>
      </c>
      <c r="G313" s="71">
        <v>0</v>
      </c>
      <c r="H313" s="71">
        <v>-19.227</v>
      </c>
      <c r="I313" s="71">
        <v>0</v>
      </c>
      <c r="J313" s="70" t="s">
        <v>416</v>
      </c>
      <c r="K313" s="70" t="s">
        <v>1204</v>
      </c>
      <c r="L313" s="74">
        <v>46035</v>
      </c>
    </row>
    <row r="314" spans="1:12" hidden="1" x14ac:dyDescent="0.25">
      <c r="A314" s="70" t="s">
        <v>877</v>
      </c>
      <c r="B314" s="70" t="s">
        <v>1265</v>
      </c>
      <c r="C314" s="70" t="s">
        <v>1266</v>
      </c>
      <c r="D314" s="70">
        <v>1715</v>
      </c>
      <c r="E314" s="70">
        <v>-1</v>
      </c>
      <c r="F314" s="71">
        <v>18.802399999999999</v>
      </c>
      <c r="G314" s="71">
        <v>0</v>
      </c>
      <c r="H314" s="71">
        <v>-18.802399999999999</v>
      </c>
      <c r="I314" s="71">
        <v>0</v>
      </c>
      <c r="J314" s="70" t="s">
        <v>416</v>
      </c>
      <c r="K314" s="70" t="s">
        <v>1204</v>
      </c>
      <c r="L314" s="74">
        <v>46035</v>
      </c>
    </row>
    <row r="315" spans="1:12" hidden="1" x14ac:dyDescent="0.25">
      <c r="A315" s="70" t="s">
        <v>877</v>
      </c>
      <c r="B315" s="70" t="s">
        <v>1267</v>
      </c>
      <c r="C315" s="70" t="s">
        <v>1268</v>
      </c>
      <c r="D315" s="70">
        <v>1715</v>
      </c>
      <c r="E315" s="70">
        <v>-1</v>
      </c>
      <c r="F315" s="71">
        <v>17.954999999999998</v>
      </c>
      <c r="G315" s="71">
        <v>0</v>
      </c>
      <c r="H315" s="71">
        <v>-17.954999999999998</v>
      </c>
      <c r="I315" s="71">
        <v>0</v>
      </c>
      <c r="J315" s="70" t="s">
        <v>416</v>
      </c>
      <c r="K315" s="70" t="s">
        <v>1204</v>
      </c>
      <c r="L315" s="74">
        <v>46035</v>
      </c>
    </row>
    <row r="316" spans="1:12" hidden="1" x14ac:dyDescent="0.25">
      <c r="A316" s="70" t="s">
        <v>877</v>
      </c>
      <c r="B316" s="70" t="s">
        <v>1269</v>
      </c>
      <c r="C316" s="70" t="s">
        <v>1270</v>
      </c>
      <c r="D316" s="70">
        <v>1715</v>
      </c>
      <c r="E316" s="70">
        <v>-9.6300000000000008</v>
      </c>
      <c r="F316" s="71">
        <v>1.7250000000000001</v>
      </c>
      <c r="G316" s="71">
        <v>0</v>
      </c>
      <c r="H316" s="71">
        <v>-16.611750000000001</v>
      </c>
      <c r="I316" s="71">
        <v>0</v>
      </c>
      <c r="J316" s="70" t="s">
        <v>416</v>
      </c>
      <c r="K316" s="70" t="s">
        <v>1204</v>
      </c>
      <c r="L316" s="74">
        <v>46035</v>
      </c>
    </row>
    <row r="317" spans="1:12" hidden="1" x14ac:dyDescent="0.25">
      <c r="A317" s="70" t="s">
        <v>877</v>
      </c>
      <c r="B317" s="70" t="s">
        <v>1271</v>
      </c>
      <c r="C317" s="70" t="s">
        <v>1272</v>
      </c>
      <c r="D317" s="70">
        <v>1715</v>
      </c>
      <c r="E317" s="70">
        <v>-4.13</v>
      </c>
      <c r="F317" s="71">
        <v>3.526246875</v>
      </c>
      <c r="G317" s="71">
        <v>0</v>
      </c>
      <c r="H317" s="71">
        <v>-14.563399593750001</v>
      </c>
      <c r="I317" s="71">
        <v>0</v>
      </c>
      <c r="J317" s="70" t="s">
        <v>416</v>
      </c>
      <c r="K317" s="70" t="s">
        <v>1204</v>
      </c>
      <c r="L317" s="74">
        <v>46035</v>
      </c>
    </row>
    <row r="318" spans="1:12" hidden="1" x14ac:dyDescent="0.25">
      <c r="A318" s="70" t="s">
        <v>877</v>
      </c>
      <c r="B318" s="70" t="s">
        <v>1273</v>
      </c>
      <c r="C318" s="70" t="s">
        <v>1274</v>
      </c>
      <c r="D318" s="70">
        <v>1715</v>
      </c>
      <c r="E318" s="70">
        <v>-1</v>
      </c>
      <c r="F318" s="71">
        <v>14.355499999999999</v>
      </c>
      <c r="G318" s="71">
        <v>0</v>
      </c>
      <c r="H318" s="71">
        <v>-14.355499999999999</v>
      </c>
      <c r="I318" s="71">
        <v>0</v>
      </c>
      <c r="J318" s="70" t="s">
        <v>416</v>
      </c>
      <c r="K318" s="70" t="s">
        <v>1204</v>
      </c>
      <c r="L318" s="74">
        <v>46035</v>
      </c>
    </row>
    <row r="319" spans="1:12" hidden="1" x14ac:dyDescent="0.25">
      <c r="A319" s="70" t="s">
        <v>877</v>
      </c>
      <c r="B319" s="70" t="s">
        <v>1275</v>
      </c>
      <c r="C319" s="70" t="s">
        <v>1276</v>
      </c>
      <c r="D319" s="70">
        <v>1715</v>
      </c>
      <c r="E319" s="70">
        <v>-66</v>
      </c>
      <c r="F319" s="71">
        <v>0.21249999999999999</v>
      </c>
      <c r="G319" s="71">
        <v>0</v>
      </c>
      <c r="H319" s="71">
        <v>-14.025</v>
      </c>
      <c r="I319" s="71">
        <v>0</v>
      </c>
      <c r="J319" s="70" t="s">
        <v>416</v>
      </c>
      <c r="K319" s="70" t="s">
        <v>1204</v>
      </c>
      <c r="L319" s="74">
        <v>46035</v>
      </c>
    </row>
    <row r="320" spans="1:12" hidden="1" x14ac:dyDescent="0.25">
      <c r="A320" s="70" t="s">
        <v>877</v>
      </c>
      <c r="B320" s="70" t="s">
        <v>1277</v>
      </c>
      <c r="C320" s="70" t="s">
        <v>1278</v>
      </c>
      <c r="D320" s="70">
        <v>1715</v>
      </c>
      <c r="E320" s="70">
        <v>-7.8600000000000101</v>
      </c>
      <c r="F320" s="71">
        <v>1.7219996454529301</v>
      </c>
      <c r="G320" s="71">
        <v>0</v>
      </c>
      <c r="H320" s="71">
        <v>-13.534917213260099</v>
      </c>
      <c r="I320" s="71">
        <v>0</v>
      </c>
      <c r="J320" s="70" t="s">
        <v>416</v>
      </c>
      <c r="K320" s="70" t="s">
        <v>1204</v>
      </c>
      <c r="L320" s="74">
        <v>46035</v>
      </c>
    </row>
    <row r="321" spans="1:12" hidden="1" x14ac:dyDescent="0.25">
      <c r="A321" s="70" t="s">
        <v>877</v>
      </c>
      <c r="B321" s="70" t="s">
        <v>1279</v>
      </c>
      <c r="C321" s="70" t="s">
        <v>1280</v>
      </c>
      <c r="D321" s="70">
        <v>1715</v>
      </c>
      <c r="E321" s="70">
        <v>-1</v>
      </c>
      <c r="F321" s="71">
        <v>13.173085714285699</v>
      </c>
      <c r="G321" s="71">
        <v>0</v>
      </c>
      <c r="H321" s="71">
        <v>-13.173085714285699</v>
      </c>
      <c r="I321" s="71">
        <v>0</v>
      </c>
      <c r="J321" s="70" t="s">
        <v>416</v>
      </c>
      <c r="K321" s="70" t="s">
        <v>1204</v>
      </c>
      <c r="L321" s="74">
        <v>46035</v>
      </c>
    </row>
    <row r="322" spans="1:12" hidden="1" x14ac:dyDescent="0.25">
      <c r="A322" s="70" t="s">
        <v>877</v>
      </c>
      <c r="B322" s="70" t="s">
        <v>1281</v>
      </c>
      <c r="C322" s="70" t="s">
        <v>1282</v>
      </c>
      <c r="D322" s="70">
        <v>1715</v>
      </c>
      <c r="E322" s="70">
        <v>-2</v>
      </c>
      <c r="F322" s="71">
        <v>6.2700333333333296</v>
      </c>
      <c r="G322" s="71">
        <v>0</v>
      </c>
      <c r="H322" s="71">
        <v>-12.5400666666667</v>
      </c>
      <c r="I322" s="71">
        <v>0</v>
      </c>
      <c r="J322" s="70" t="s">
        <v>416</v>
      </c>
      <c r="K322" s="70" t="s">
        <v>1204</v>
      </c>
      <c r="L322" s="74">
        <v>46035</v>
      </c>
    </row>
    <row r="323" spans="1:12" hidden="1" x14ac:dyDescent="0.25">
      <c r="A323" s="70" t="s">
        <v>877</v>
      </c>
      <c r="B323" s="70" t="s">
        <v>1283</v>
      </c>
      <c r="C323" s="70" t="s">
        <v>1284</v>
      </c>
      <c r="D323" s="70">
        <v>1715</v>
      </c>
      <c r="E323" s="70">
        <v>-1</v>
      </c>
      <c r="F323" s="71">
        <v>12.096589473684199</v>
      </c>
      <c r="G323" s="71">
        <v>0</v>
      </c>
      <c r="H323" s="71">
        <v>-12.096589473684199</v>
      </c>
      <c r="I323" s="71">
        <v>0</v>
      </c>
      <c r="J323" s="70" t="s">
        <v>416</v>
      </c>
      <c r="K323" s="70" t="s">
        <v>1204</v>
      </c>
      <c r="L323" s="74">
        <v>46035</v>
      </c>
    </row>
    <row r="324" spans="1:12" hidden="1" x14ac:dyDescent="0.25">
      <c r="A324" s="70" t="s">
        <v>877</v>
      </c>
      <c r="B324" s="70" t="s">
        <v>1285</v>
      </c>
      <c r="C324" s="70" t="s">
        <v>1286</v>
      </c>
      <c r="D324" s="70">
        <v>1715</v>
      </c>
      <c r="E324" s="70">
        <v>-48</v>
      </c>
      <c r="F324" s="71">
        <v>0.22950000000000001</v>
      </c>
      <c r="G324" s="71">
        <v>0</v>
      </c>
      <c r="H324" s="71">
        <v>-11.016</v>
      </c>
      <c r="I324" s="71">
        <v>0</v>
      </c>
      <c r="J324" s="70" t="s">
        <v>416</v>
      </c>
      <c r="K324" s="70" t="s">
        <v>1204</v>
      </c>
      <c r="L324" s="74">
        <v>46035</v>
      </c>
    </row>
    <row r="325" spans="1:12" hidden="1" x14ac:dyDescent="0.25">
      <c r="A325" s="70" t="s">
        <v>877</v>
      </c>
      <c r="B325" s="70" t="s">
        <v>1287</v>
      </c>
      <c r="C325" s="70" t="s">
        <v>1288</v>
      </c>
      <c r="D325" s="70">
        <v>1715</v>
      </c>
      <c r="E325" s="70">
        <v>-2</v>
      </c>
      <c r="F325" s="71">
        <v>5.2387333333333297</v>
      </c>
      <c r="G325" s="71">
        <v>0</v>
      </c>
      <c r="H325" s="71">
        <v>-10.4774666666667</v>
      </c>
      <c r="I325" s="71">
        <v>0</v>
      </c>
      <c r="J325" s="70" t="s">
        <v>416</v>
      </c>
      <c r="K325" s="70" t="s">
        <v>1204</v>
      </c>
      <c r="L325" s="74">
        <v>46035</v>
      </c>
    </row>
    <row r="326" spans="1:12" hidden="1" x14ac:dyDescent="0.25">
      <c r="A326" s="70" t="s">
        <v>877</v>
      </c>
      <c r="B326" s="70" t="s">
        <v>1289</v>
      </c>
      <c r="C326" s="70" t="s">
        <v>1290</v>
      </c>
      <c r="D326" s="70">
        <v>1715</v>
      </c>
      <c r="E326" s="70">
        <v>-1</v>
      </c>
      <c r="F326" s="71">
        <v>8.8811999999999998</v>
      </c>
      <c r="G326" s="71">
        <v>0</v>
      </c>
      <c r="H326" s="71">
        <v>-8.8811999999999998</v>
      </c>
      <c r="I326" s="71">
        <v>0</v>
      </c>
      <c r="J326" s="70" t="s">
        <v>416</v>
      </c>
      <c r="K326" s="70" t="s">
        <v>1204</v>
      </c>
      <c r="L326" s="74">
        <v>46035</v>
      </c>
    </row>
    <row r="327" spans="1:12" hidden="1" x14ac:dyDescent="0.25">
      <c r="A327" s="70" t="s">
        <v>877</v>
      </c>
      <c r="B327" s="70" t="s">
        <v>1291</v>
      </c>
      <c r="C327" s="70" t="s">
        <v>1292</v>
      </c>
      <c r="D327" s="70">
        <v>1715</v>
      </c>
      <c r="E327" s="70">
        <v>-1</v>
      </c>
      <c r="F327" s="71">
        <v>7.5389999999999997</v>
      </c>
      <c r="G327" s="71">
        <v>0</v>
      </c>
      <c r="H327" s="71">
        <v>-7.5389999999999997</v>
      </c>
      <c r="I327" s="71">
        <v>0</v>
      </c>
      <c r="J327" s="70" t="s">
        <v>416</v>
      </c>
      <c r="K327" s="70" t="s">
        <v>1204</v>
      </c>
      <c r="L327" s="74">
        <v>46035</v>
      </c>
    </row>
    <row r="328" spans="1:12" hidden="1" x14ac:dyDescent="0.25">
      <c r="A328" s="70" t="s">
        <v>877</v>
      </c>
      <c r="B328" s="70" t="s">
        <v>1293</v>
      </c>
      <c r="C328" s="70" t="s">
        <v>1294</v>
      </c>
      <c r="D328" s="70">
        <v>1715</v>
      </c>
      <c r="E328" s="70">
        <v>-1</v>
      </c>
      <c r="F328" s="71">
        <v>6.641</v>
      </c>
      <c r="G328" s="71">
        <v>0</v>
      </c>
      <c r="H328" s="71">
        <v>-6.641</v>
      </c>
      <c r="I328" s="71">
        <v>0</v>
      </c>
      <c r="J328" s="70" t="s">
        <v>416</v>
      </c>
      <c r="K328" s="70" t="s">
        <v>1204</v>
      </c>
      <c r="L328" s="74">
        <v>46035</v>
      </c>
    </row>
    <row r="329" spans="1:12" hidden="1" x14ac:dyDescent="0.25">
      <c r="A329" s="70" t="s">
        <v>877</v>
      </c>
      <c r="B329" s="70" t="s">
        <v>1295</v>
      </c>
      <c r="C329" s="70" t="s">
        <v>1296</v>
      </c>
      <c r="D329" s="70">
        <v>1715</v>
      </c>
      <c r="E329" s="70">
        <v>-1</v>
      </c>
      <c r="F329" s="71">
        <v>5.24</v>
      </c>
      <c r="G329" s="71">
        <v>0</v>
      </c>
      <c r="H329" s="71">
        <v>-5.24</v>
      </c>
      <c r="I329" s="71">
        <v>0</v>
      </c>
      <c r="J329" s="70" t="s">
        <v>416</v>
      </c>
      <c r="K329" s="70" t="s">
        <v>1204</v>
      </c>
      <c r="L329" s="74">
        <v>46035</v>
      </c>
    </row>
    <row r="330" spans="1:12" hidden="1" x14ac:dyDescent="0.25">
      <c r="A330" s="70" t="s">
        <v>877</v>
      </c>
      <c r="B330" s="70" t="s">
        <v>1297</v>
      </c>
      <c r="C330" s="70" t="s">
        <v>1298</v>
      </c>
      <c r="D330" s="70">
        <v>1715</v>
      </c>
      <c r="E330" s="70">
        <v>-1</v>
      </c>
      <c r="F330" s="71">
        <v>4.66</v>
      </c>
      <c r="G330" s="71">
        <v>0</v>
      </c>
      <c r="H330" s="71">
        <v>-4.66</v>
      </c>
      <c r="I330" s="71">
        <v>0</v>
      </c>
      <c r="J330" s="70" t="s">
        <v>416</v>
      </c>
      <c r="K330" s="70" t="s">
        <v>1204</v>
      </c>
      <c r="L330" s="74">
        <v>46035</v>
      </c>
    </row>
    <row r="331" spans="1:12" hidden="1" x14ac:dyDescent="0.25">
      <c r="A331" s="70" t="s">
        <v>877</v>
      </c>
      <c r="B331" s="70" t="s">
        <v>1299</v>
      </c>
      <c r="C331" s="70" t="s">
        <v>1300</v>
      </c>
      <c r="D331" s="70">
        <v>1715</v>
      </c>
      <c r="E331" s="70">
        <v>-2</v>
      </c>
      <c r="F331" s="71">
        <v>2.28545</v>
      </c>
      <c r="G331" s="71">
        <v>0</v>
      </c>
      <c r="H331" s="71">
        <v>-4.5709</v>
      </c>
      <c r="I331" s="71">
        <v>0</v>
      </c>
      <c r="J331" s="70" t="s">
        <v>416</v>
      </c>
      <c r="K331" s="70" t="s">
        <v>1204</v>
      </c>
      <c r="L331" s="74">
        <v>46035</v>
      </c>
    </row>
    <row r="332" spans="1:12" hidden="1" x14ac:dyDescent="0.25">
      <c r="A332" s="70" t="s">
        <v>877</v>
      </c>
      <c r="B332" s="70" t="s">
        <v>1301</v>
      </c>
      <c r="C332" s="70" t="s">
        <v>1302</v>
      </c>
      <c r="D332" s="70">
        <v>1715</v>
      </c>
      <c r="E332" s="70">
        <v>-1</v>
      </c>
      <c r="F332" s="71">
        <v>4.4449333333333296</v>
      </c>
      <c r="G332" s="71">
        <v>0</v>
      </c>
      <c r="H332" s="71">
        <v>-4.4449333333333296</v>
      </c>
      <c r="I332" s="71">
        <v>0</v>
      </c>
      <c r="J332" s="70" t="s">
        <v>416</v>
      </c>
      <c r="K332" s="70" t="s">
        <v>1204</v>
      </c>
      <c r="L332" s="74">
        <v>46035</v>
      </c>
    </row>
    <row r="333" spans="1:12" hidden="1" x14ac:dyDescent="0.25">
      <c r="A333" s="70" t="s">
        <v>877</v>
      </c>
      <c r="B333" s="70" t="s">
        <v>1303</v>
      </c>
      <c r="C333" s="70" t="s">
        <v>1304</v>
      </c>
      <c r="D333" s="70">
        <v>1715</v>
      </c>
      <c r="E333" s="70">
        <v>-1</v>
      </c>
      <c r="F333" s="71">
        <v>4.21</v>
      </c>
      <c r="G333" s="71">
        <v>0</v>
      </c>
      <c r="H333" s="71">
        <v>-4.21</v>
      </c>
      <c r="I333" s="71">
        <v>0</v>
      </c>
      <c r="J333" s="70" t="s">
        <v>416</v>
      </c>
      <c r="K333" s="70" t="s">
        <v>1204</v>
      </c>
      <c r="L333" s="74">
        <v>46035</v>
      </c>
    </row>
    <row r="334" spans="1:12" hidden="1" x14ac:dyDescent="0.25">
      <c r="A334" s="70" t="s">
        <v>877</v>
      </c>
      <c r="B334" s="70" t="s">
        <v>1305</v>
      </c>
      <c r="C334" s="70" t="s">
        <v>1306</v>
      </c>
      <c r="D334" s="70">
        <v>1715</v>
      </c>
      <c r="E334" s="70">
        <v>-1</v>
      </c>
      <c r="F334" s="71">
        <v>3.8563999999999998</v>
      </c>
      <c r="G334" s="71">
        <v>0</v>
      </c>
      <c r="H334" s="71">
        <v>-3.8563999999999998</v>
      </c>
      <c r="I334" s="71">
        <v>0</v>
      </c>
      <c r="J334" s="70" t="s">
        <v>416</v>
      </c>
      <c r="K334" s="70" t="s">
        <v>1204</v>
      </c>
      <c r="L334" s="74">
        <v>46035</v>
      </c>
    </row>
    <row r="335" spans="1:12" hidden="1" x14ac:dyDescent="0.25">
      <c r="A335" s="70" t="s">
        <v>877</v>
      </c>
      <c r="B335" s="70" t="s">
        <v>1307</v>
      </c>
      <c r="C335" s="70" t="s">
        <v>1308</v>
      </c>
      <c r="D335" s="70">
        <v>1715</v>
      </c>
      <c r="E335" s="70">
        <v>-1</v>
      </c>
      <c r="F335" s="71">
        <v>2.75</v>
      </c>
      <c r="G335" s="71">
        <v>0</v>
      </c>
      <c r="H335" s="71">
        <v>-2.75</v>
      </c>
      <c r="I335" s="71">
        <v>0</v>
      </c>
      <c r="J335" s="70" t="s">
        <v>416</v>
      </c>
      <c r="K335" s="70" t="s">
        <v>1204</v>
      </c>
      <c r="L335" s="74">
        <v>46035</v>
      </c>
    </row>
    <row r="336" spans="1:12" hidden="1" x14ac:dyDescent="0.25">
      <c r="A336" s="70" t="s">
        <v>877</v>
      </c>
      <c r="B336" s="70" t="s">
        <v>1309</v>
      </c>
      <c r="C336" s="70" t="s">
        <v>1310</v>
      </c>
      <c r="D336" s="70">
        <v>1715</v>
      </c>
      <c r="E336" s="70">
        <v>-1</v>
      </c>
      <c r="F336" s="71">
        <v>2.7</v>
      </c>
      <c r="G336" s="71">
        <v>0</v>
      </c>
      <c r="H336" s="71">
        <v>-2.7</v>
      </c>
      <c r="I336" s="71">
        <v>0</v>
      </c>
      <c r="J336" s="70" t="s">
        <v>416</v>
      </c>
      <c r="K336" s="70" t="s">
        <v>1204</v>
      </c>
      <c r="L336" s="74">
        <v>46035</v>
      </c>
    </row>
    <row r="337" spans="1:12" hidden="1" x14ac:dyDescent="0.25">
      <c r="A337" s="70" t="s">
        <v>877</v>
      </c>
      <c r="B337" s="70" t="s">
        <v>1311</v>
      </c>
      <c r="C337" s="70" t="s">
        <v>1312</v>
      </c>
      <c r="D337" s="70">
        <v>1715</v>
      </c>
      <c r="E337" s="70">
        <v>-13</v>
      </c>
      <c r="F337" s="71">
        <v>0.120066666666667</v>
      </c>
      <c r="G337" s="71">
        <v>0</v>
      </c>
      <c r="H337" s="71">
        <v>-1.56086666666667</v>
      </c>
      <c r="I337" s="71">
        <v>0</v>
      </c>
      <c r="J337" s="70" t="s">
        <v>416</v>
      </c>
      <c r="K337" s="70" t="s">
        <v>1204</v>
      </c>
      <c r="L337" s="74">
        <v>46035</v>
      </c>
    </row>
    <row r="338" spans="1:12" hidden="1" x14ac:dyDescent="0.25">
      <c r="A338" s="70" t="s">
        <v>877</v>
      </c>
      <c r="B338" s="70" t="s">
        <v>1313</v>
      </c>
      <c r="C338" s="70" t="s">
        <v>1314</v>
      </c>
      <c r="D338" s="70">
        <v>1715</v>
      </c>
      <c r="E338" s="70">
        <v>-1</v>
      </c>
      <c r="F338" s="71">
        <v>1.2756000000000001</v>
      </c>
      <c r="G338" s="71">
        <v>0</v>
      </c>
      <c r="H338" s="71">
        <v>-1.2756000000000001</v>
      </c>
      <c r="I338" s="71">
        <v>0</v>
      </c>
      <c r="J338" s="70" t="s">
        <v>416</v>
      </c>
      <c r="K338" s="70" t="s">
        <v>1204</v>
      </c>
      <c r="L338" s="74">
        <v>46035</v>
      </c>
    </row>
    <row r="339" spans="1:12" hidden="1" x14ac:dyDescent="0.25">
      <c r="A339" s="70" t="s">
        <v>877</v>
      </c>
      <c r="B339" s="70" t="s">
        <v>1315</v>
      </c>
      <c r="C339" s="70" t="s">
        <v>1316</v>
      </c>
      <c r="D339" s="70">
        <v>1715</v>
      </c>
      <c r="E339" s="70">
        <v>-1</v>
      </c>
      <c r="F339" s="71">
        <v>1.2004999999999999</v>
      </c>
      <c r="G339" s="71">
        <v>0</v>
      </c>
      <c r="H339" s="71">
        <v>-1.2004999999999999</v>
      </c>
      <c r="I339" s="71">
        <v>0</v>
      </c>
      <c r="J339" s="70" t="s">
        <v>416</v>
      </c>
      <c r="K339" s="70" t="s">
        <v>1204</v>
      </c>
      <c r="L339" s="74">
        <v>46035</v>
      </c>
    </row>
    <row r="340" spans="1:12" hidden="1" x14ac:dyDescent="0.25">
      <c r="A340" s="70" t="s">
        <v>877</v>
      </c>
      <c r="B340" s="70" t="s">
        <v>1317</v>
      </c>
      <c r="C340" s="70" t="s">
        <v>1318</v>
      </c>
      <c r="D340" s="70">
        <v>1715</v>
      </c>
      <c r="E340" s="70">
        <v>-1</v>
      </c>
      <c r="F340" s="71">
        <v>1.19</v>
      </c>
      <c r="G340" s="71">
        <v>0</v>
      </c>
      <c r="H340" s="71">
        <v>-1.19</v>
      </c>
      <c r="I340" s="71">
        <v>0</v>
      </c>
      <c r="J340" s="70" t="s">
        <v>416</v>
      </c>
      <c r="K340" s="70" t="s">
        <v>1204</v>
      </c>
      <c r="L340" s="74">
        <v>46035</v>
      </c>
    </row>
    <row r="341" spans="1:12" hidden="1" x14ac:dyDescent="0.25">
      <c r="A341" s="70" t="s">
        <v>877</v>
      </c>
      <c r="B341" s="70" t="s">
        <v>1319</v>
      </c>
      <c r="C341" s="70" t="s">
        <v>1320</v>
      </c>
      <c r="D341" s="70">
        <v>1715</v>
      </c>
      <c r="E341" s="70">
        <v>-2</v>
      </c>
      <c r="F341" s="71">
        <v>0.41220000000000001</v>
      </c>
      <c r="G341" s="71">
        <v>0</v>
      </c>
      <c r="H341" s="71">
        <v>-0.82440000000000002</v>
      </c>
      <c r="I341" s="71">
        <v>0</v>
      </c>
      <c r="J341" s="70" t="s">
        <v>416</v>
      </c>
      <c r="K341" s="70" t="s">
        <v>1204</v>
      </c>
      <c r="L341" s="74">
        <v>46035</v>
      </c>
    </row>
    <row r="342" spans="1:12" hidden="1" x14ac:dyDescent="0.25">
      <c r="A342" s="70" t="s">
        <v>877</v>
      </c>
      <c r="B342" s="70" t="s">
        <v>1321</v>
      </c>
      <c r="C342" s="70" t="s">
        <v>1322</v>
      </c>
      <c r="D342" s="70">
        <v>1715</v>
      </c>
      <c r="E342" s="70">
        <v>-2</v>
      </c>
      <c r="F342" s="71">
        <v>1.3100000000000001E-2</v>
      </c>
      <c r="G342" s="71">
        <v>0</v>
      </c>
      <c r="H342" s="71">
        <v>-2.6200000000000001E-2</v>
      </c>
      <c r="I342" s="71">
        <v>0</v>
      </c>
      <c r="J342" s="70" t="s">
        <v>416</v>
      </c>
      <c r="K342" s="70" t="s">
        <v>1204</v>
      </c>
      <c r="L342" s="74">
        <v>46035</v>
      </c>
    </row>
    <row r="343" spans="1:12" hidden="1" x14ac:dyDescent="0.25">
      <c r="A343" s="70" t="s">
        <v>898</v>
      </c>
      <c r="B343" s="70" t="s">
        <v>1323</v>
      </c>
      <c r="C343" s="70" t="s">
        <v>1324</v>
      </c>
      <c r="D343" s="70">
        <v>1715</v>
      </c>
      <c r="E343" s="70">
        <v>1</v>
      </c>
      <c r="F343" s="71">
        <v>149.4127</v>
      </c>
      <c r="G343" s="71">
        <v>0</v>
      </c>
      <c r="H343" s="71">
        <v>149.4127</v>
      </c>
      <c r="I343" s="71">
        <v>0</v>
      </c>
      <c r="J343" s="70" t="s">
        <v>416</v>
      </c>
      <c r="K343" s="70" t="s">
        <v>1204</v>
      </c>
      <c r="L343" s="74">
        <v>46035</v>
      </c>
    </row>
    <row r="344" spans="1:12" hidden="1" x14ac:dyDescent="0.25">
      <c r="A344" s="70" t="s">
        <v>898</v>
      </c>
      <c r="B344" s="70" t="s">
        <v>1325</v>
      </c>
      <c r="C344" s="70" t="s">
        <v>1326</v>
      </c>
      <c r="D344" s="70">
        <v>1715</v>
      </c>
      <c r="E344" s="70">
        <v>1</v>
      </c>
      <c r="F344" s="71">
        <v>89.397499999999994</v>
      </c>
      <c r="G344" s="71">
        <v>0</v>
      </c>
      <c r="H344" s="71">
        <v>89.397499999999994</v>
      </c>
      <c r="I344" s="71">
        <v>0</v>
      </c>
      <c r="J344" s="70" t="s">
        <v>416</v>
      </c>
      <c r="K344" s="70" t="s">
        <v>1204</v>
      </c>
      <c r="L344" s="74">
        <v>46035</v>
      </c>
    </row>
    <row r="345" spans="1:12" hidden="1" x14ac:dyDescent="0.25">
      <c r="A345" s="70" t="s">
        <v>898</v>
      </c>
      <c r="B345" s="70" t="s">
        <v>1327</v>
      </c>
      <c r="C345" s="70" t="s">
        <v>1328</v>
      </c>
      <c r="D345" s="70">
        <v>1715</v>
      </c>
      <c r="E345" s="70">
        <v>1</v>
      </c>
      <c r="F345" s="71">
        <v>49.809100000000001</v>
      </c>
      <c r="G345" s="71">
        <v>0</v>
      </c>
      <c r="H345" s="71">
        <v>49.809100000000001</v>
      </c>
      <c r="I345" s="71">
        <v>0</v>
      </c>
      <c r="J345" s="70" t="s">
        <v>416</v>
      </c>
      <c r="K345" s="70" t="s">
        <v>1204</v>
      </c>
      <c r="L345" s="74">
        <v>46035</v>
      </c>
    </row>
    <row r="346" spans="1:12" hidden="1" x14ac:dyDescent="0.25">
      <c r="A346" s="70" t="s">
        <v>898</v>
      </c>
      <c r="B346" s="70" t="s">
        <v>1329</v>
      </c>
      <c r="C346" s="70" t="s">
        <v>1330</v>
      </c>
      <c r="D346" s="70">
        <v>1715</v>
      </c>
      <c r="E346" s="70">
        <v>3</v>
      </c>
      <c r="F346" s="71">
        <v>16.3828</v>
      </c>
      <c r="G346" s="71">
        <v>0</v>
      </c>
      <c r="H346" s="71">
        <v>49.148400000000002</v>
      </c>
      <c r="I346" s="71">
        <v>0</v>
      </c>
      <c r="J346" s="70" t="s">
        <v>416</v>
      </c>
      <c r="K346" s="70" t="s">
        <v>1204</v>
      </c>
      <c r="L346" s="74">
        <v>46035</v>
      </c>
    </row>
    <row r="347" spans="1:12" hidden="1" x14ac:dyDescent="0.25">
      <c r="A347" s="70" t="s">
        <v>898</v>
      </c>
      <c r="B347" s="70" t="s">
        <v>1331</v>
      </c>
      <c r="C347" s="70" t="s">
        <v>1332</v>
      </c>
      <c r="D347" s="70">
        <v>1715</v>
      </c>
      <c r="E347" s="70">
        <v>1</v>
      </c>
      <c r="F347" s="71">
        <v>38.380699999999997</v>
      </c>
      <c r="G347" s="71">
        <v>0</v>
      </c>
      <c r="H347" s="71">
        <v>38.380699999999997</v>
      </c>
      <c r="I347" s="71">
        <v>0</v>
      </c>
      <c r="J347" s="70" t="s">
        <v>416</v>
      </c>
      <c r="K347" s="70" t="s">
        <v>1204</v>
      </c>
      <c r="L347" s="74">
        <v>46035</v>
      </c>
    </row>
    <row r="348" spans="1:12" hidden="1" x14ac:dyDescent="0.25">
      <c r="A348" s="70" t="s">
        <v>898</v>
      </c>
      <c r="B348" s="70" t="s">
        <v>1333</v>
      </c>
      <c r="C348" s="70" t="s">
        <v>1334</v>
      </c>
      <c r="D348" s="70">
        <v>1715</v>
      </c>
      <c r="E348" s="70">
        <v>1</v>
      </c>
      <c r="F348" s="71">
        <v>26.866299999999999</v>
      </c>
      <c r="G348" s="71">
        <v>0</v>
      </c>
      <c r="H348" s="71">
        <v>26.866299999999999</v>
      </c>
      <c r="I348" s="71">
        <v>0</v>
      </c>
      <c r="J348" s="70" t="s">
        <v>416</v>
      </c>
      <c r="K348" s="70" t="s">
        <v>1204</v>
      </c>
      <c r="L348" s="74">
        <v>46035</v>
      </c>
    </row>
    <row r="349" spans="1:12" hidden="1" x14ac:dyDescent="0.25">
      <c r="A349" s="70" t="s">
        <v>898</v>
      </c>
      <c r="B349" s="70" t="s">
        <v>1335</v>
      </c>
      <c r="C349" s="70" t="s">
        <v>1336</v>
      </c>
      <c r="D349" s="70">
        <v>1715</v>
      </c>
      <c r="E349" s="70">
        <v>1</v>
      </c>
      <c r="F349" s="71">
        <v>26.437000000000001</v>
      </c>
      <c r="G349" s="71">
        <v>0</v>
      </c>
      <c r="H349" s="71">
        <v>26.437000000000001</v>
      </c>
      <c r="I349" s="71">
        <v>0</v>
      </c>
      <c r="J349" s="70" t="s">
        <v>416</v>
      </c>
      <c r="K349" s="70" t="s">
        <v>1204</v>
      </c>
      <c r="L349" s="74">
        <v>46035</v>
      </c>
    </row>
    <row r="350" spans="1:12" hidden="1" x14ac:dyDescent="0.25">
      <c r="A350" s="70" t="s">
        <v>898</v>
      </c>
      <c r="B350" s="70" t="s">
        <v>1337</v>
      </c>
      <c r="C350" s="70" t="s">
        <v>1338</v>
      </c>
      <c r="D350" s="70">
        <v>1715</v>
      </c>
      <c r="E350" s="70">
        <v>1</v>
      </c>
      <c r="F350" s="71">
        <v>24.720961538461498</v>
      </c>
      <c r="G350" s="71">
        <v>0</v>
      </c>
      <c r="H350" s="71">
        <v>24.720961538461498</v>
      </c>
      <c r="I350" s="71">
        <v>0</v>
      </c>
      <c r="J350" s="70" t="s">
        <v>416</v>
      </c>
      <c r="K350" s="70" t="s">
        <v>1204</v>
      </c>
      <c r="L350" s="74">
        <v>46035</v>
      </c>
    </row>
    <row r="351" spans="1:12" hidden="1" x14ac:dyDescent="0.25">
      <c r="A351" s="70" t="s">
        <v>898</v>
      </c>
      <c r="B351" s="70" t="s">
        <v>1339</v>
      </c>
      <c r="C351" s="70" t="s">
        <v>1274</v>
      </c>
      <c r="D351" s="70">
        <v>1715</v>
      </c>
      <c r="E351" s="70">
        <v>1</v>
      </c>
      <c r="F351" s="71">
        <v>17.303000000000001</v>
      </c>
      <c r="G351" s="71">
        <v>0</v>
      </c>
      <c r="H351" s="71">
        <v>17.303000000000001</v>
      </c>
      <c r="I351" s="71">
        <v>0</v>
      </c>
      <c r="J351" s="70" t="s">
        <v>416</v>
      </c>
      <c r="K351" s="70" t="s">
        <v>1204</v>
      </c>
      <c r="L351" s="74">
        <v>46035</v>
      </c>
    </row>
    <row r="352" spans="1:12" hidden="1" x14ac:dyDescent="0.25">
      <c r="A352" s="70" t="s">
        <v>898</v>
      </c>
      <c r="B352" s="70" t="s">
        <v>1340</v>
      </c>
      <c r="C352" s="70" t="s">
        <v>1341</v>
      </c>
      <c r="D352" s="70">
        <v>1715</v>
      </c>
      <c r="E352" s="70">
        <v>4.2727272727272698</v>
      </c>
      <c r="F352" s="71">
        <v>4.0040666666666702</v>
      </c>
      <c r="G352" s="71">
        <v>0</v>
      </c>
      <c r="H352" s="71">
        <v>17.108284848484899</v>
      </c>
      <c r="I352" s="71">
        <v>0</v>
      </c>
      <c r="J352" s="70" t="s">
        <v>416</v>
      </c>
      <c r="K352" s="70" t="s">
        <v>1204</v>
      </c>
      <c r="L352" s="74">
        <v>46035</v>
      </c>
    </row>
    <row r="353" spans="1:12" hidden="1" x14ac:dyDescent="0.25">
      <c r="A353" s="70" t="s">
        <v>898</v>
      </c>
      <c r="B353" s="70" t="s">
        <v>1342</v>
      </c>
      <c r="C353" s="70" t="s">
        <v>1343</v>
      </c>
      <c r="D353" s="70">
        <v>1715</v>
      </c>
      <c r="E353" s="70">
        <v>1</v>
      </c>
      <c r="F353" s="71">
        <v>14.8248</v>
      </c>
      <c r="G353" s="71">
        <v>0</v>
      </c>
      <c r="H353" s="71">
        <v>14.8248</v>
      </c>
      <c r="I353" s="71">
        <v>0</v>
      </c>
      <c r="J353" s="70" t="s">
        <v>416</v>
      </c>
      <c r="K353" s="70" t="s">
        <v>1204</v>
      </c>
      <c r="L353" s="74">
        <v>46035</v>
      </c>
    </row>
    <row r="354" spans="1:12" hidden="1" x14ac:dyDescent="0.25">
      <c r="A354" s="70" t="s">
        <v>898</v>
      </c>
      <c r="B354" s="70" t="s">
        <v>1344</v>
      </c>
      <c r="C354" s="70" t="s">
        <v>1345</v>
      </c>
      <c r="D354" s="70">
        <v>1715</v>
      </c>
      <c r="E354" s="70">
        <v>1</v>
      </c>
      <c r="F354" s="71">
        <v>12.706476923076901</v>
      </c>
      <c r="G354" s="71">
        <v>0</v>
      </c>
      <c r="H354" s="71">
        <v>12.706476923076901</v>
      </c>
      <c r="I354" s="71">
        <v>0</v>
      </c>
      <c r="J354" s="70" t="s">
        <v>416</v>
      </c>
      <c r="K354" s="70" t="s">
        <v>1204</v>
      </c>
      <c r="L354" s="74">
        <v>46035</v>
      </c>
    </row>
    <row r="355" spans="1:12" hidden="1" x14ac:dyDescent="0.25">
      <c r="A355" s="70" t="s">
        <v>898</v>
      </c>
      <c r="B355" s="70" t="s">
        <v>1346</v>
      </c>
      <c r="C355" s="70" t="s">
        <v>1347</v>
      </c>
      <c r="D355" s="70">
        <v>1715</v>
      </c>
      <c r="E355" s="70">
        <v>1</v>
      </c>
      <c r="F355" s="71">
        <v>8.9752399999999994</v>
      </c>
      <c r="G355" s="71">
        <v>0</v>
      </c>
      <c r="H355" s="71">
        <v>8.9752399999999994</v>
      </c>
      <c r="I355" s="71">
        <v>0</v>
      </c>
      <c r="J355" s="70" t="s">
        <v>416</v>
      </c>
      <c r="K355" s="70" t="s">
        <v>1204</v>
      </c>
      <c r="L355" s="74">
        <v>46035</v>
      </c>
    </row>
    <row r="356" spans="1:12" hidden="1" x14ac:dyDescent="0.25">
      <c r="A356" s="70" t="s">
        <v>898</v>
      </c>
      <c r="B356" s="70" t="s">
        <v>1348</v>
      </c>
      <c r="C356" s="70" t="s">
        <v>1349</v>
      </c>
      <c r="D356" s="70">
        <v>1715</v>
      </c>
      <c r="E356" s="70">
        <v>2.06</v>
      </c>
      <c r="F356" s="71">
        <v>3.7183498497278902</v>
      </c>
      <c r="G356" s="71">
        <v>0</v>
      </c>
      <c r="H356" s="71">
        <v>7.6598006904394502</v>
      </c>
      <c r="I356" s="71">
        <v>0</v>
      </c>
      <c r="J356" s="70" t="s">
        <v>416</v>
      </c>
      <c r="K356" s="70" t="s">
        <v>1204</v>
      </c>
      <c r="L356" s="74">
        <v>46035</v>
      </c>
    </row>
    <row r="357" spans="1:12" hidden="1" x14ac:dyDescent="0.25">
      <c r="A357" s="70" t="s">
        <v>898</v>
      </c>
      <c r="B357" s="70" t="s">
        <v>1350</v>
      </c>
      <c r="C357" s="70" t="s">
        <v>1351</v>
      </c>
      <c r="D357" s="70">
        <v>1715</v>
      </c>
      <c r="E357" s="70">
        <v>1</v>
      </c>
      <c r="F357" s="71">
        <v>7.3265000000000002</v>
      </c>
      <c r="G357" s="71">
        <v>0</v>
      </c>
      <c r="H357" s="71">
        <v>7.3265000000000002</v>
      </c>
      <c r="I357" s="71">
        <v>0</v>
      </c>
      <c r="J357" s="70" t="s">
        <v>416</v>
      </c>
      <c r="K357" s="70" t="s">
        <v>1204</v>
      </c>
      <c r="L357" s="74">
        <v>46035</v>
      </c>
    </row>
    <row r="358" spans="1:12" hidden="1" x14ac:dyDescent="0.25">
      <c r="A358" s="70" t="s">
        <v>898</v>
      </c>
      <c r="B358" s="70" t="s">
        <v>1352</v>
      </c>
      <c r="C358" s="70" t="s">
        <v>1351</v>
      </c>
      <c r="D358" s="70">
        <v>1715</v>
      </c>
      <c r="E358" s="70">
        <v>1</v>
      </c>
      <c r="F358" s="71">
        <v>7.3265000000000002</v>
      </c>
      <c r="G358" s="71">
        <v>0</v>
      </c>
      <c r="H358" s="71">
        <v>7.3265000000000002</v>
      </c>
      <c r="I358" s="71">
        <v>0</v>
      </c>
      <c r="J358" s="70" t="s">
        <v>416</v>
      </c>
      <c r="K358" s="70" t="s">
        <v>1204</v>
      </c>
      <c r="L358" s="74">
        <v>46035</v>
      </c>
    </row>
    <row r="359" spans="1:12" hidden="1" x14ac:dyDescent="0.25">
      <c r="A359" s="70" t="s">
        <v>898</v>
      </c>
      <c r="B359" s="70" t="s">
        <v>1353</v>
      </c>
      <c r="C359" s="70" t="s">
        <v>1354</v>
      </c>
      <c r="D359" s="70">
        <v>1715</v>
      </c>
      <c r="E359" s="70">
        <v>1</v>
      </c>
      <c r="F359" s="71">
        <v>6.9020000000000001</v>
      </c>
      <c r="G359" s="71">
        <v>0</v>
      </c>
      <c r="H359" s="71">
        <v>6.9020000000000001</v>
      </c>
      <c r="I359" s="71">
        <v>0</v>
      </c>
      <c r="J359" s="70" t="s">
        <v>416</v>
      </c>
      <c r="K359" s="70" t="s">
        <v>1204</v>
      </c>
      <c r="L359" s="74">
        <v>46035</v>
      </c>
    </row>
    <row r="360" spans="1:12" hidden="1" x14ac:dyDescent="0.25">
      <c r="A360" s="70" t="s">
        <v>898</v>
      </c>
      <c r="B360" s="70" t="s">
        <v>1355</v>
      </c>
      <c r="C360" s="70" t="s">
        <v>1356</v>
      </c>
      <c r="D360" s="70">
        <v>1715</v>
      </c>
      <c r="E360" s="70">
        <v>1.8199999999999901</v>
      </c>
      <c r="F360" s="71">
        <v>3.6276999999999999</v>
      </c>
      <c r="G360" s="71">
        <v>0</v>
      </c>
      <c r="H360" s="71">
        <v>6.6024139999999596</v>
      </c>
      <c r="I360" s="71">
        <v>0</v>
      </c>
      <c r="J360" s="70" t="s">
        <v>416</v>
      </c>
      <c r="K360" s="70" t="s">
        <v>1204</v>
      </c>
      <c r="L360" s="74">
        <v>46035</v>
      </c>
    </row>
    <row r="361" spans="1:12" hidden="1" x14ac:dyDescent="0.25">
      <c r="A361" s="70" t="s">
        <v>898</v>
      </c>
      <c r="B361" s="70" t="s">
        <v>1357</v>
      </c>
      <c r="C361" s="70" t="s">
        <v>1358</v>
      </c>
      <c r="D361" s="70">
        <v>1715</v>
      </c>
      <c r="E361" s="70">
        <v>1</v>
      </c>
      <c r="F361" s="71">
        <v>4.84</v>
      </c>
      <c r="G361" s="71">
        <v>0</v>
      </c>
      <c r="H361" s="71">
        <v>4.84</v>
      </c>
      <c r="I361" s="71">
        <v>0</v>
      </c>
      <c r="J361" s="70" t="s">
        <v>416</v>
      </c>
      <c r="K361" s="70" t="s">
        <v>1204</v>
      </c>
      <c r="L361" s="74">
        <v>46035</v>
      </c>
    </row>
    <row r="362" spans="1:12" hidden="1" x14ac:dyDescent="0.25">
      <c r="A362" s="70" t="s">
        <v>898</v>
      </c>
      <c r="B362" s="70" t="s">
        <v>1359</v>
      </c>
      <c r="C362" s="70" t="s">
        <v>1360</v>
      </c>
      <c r="D362" s="70">
        <v>1715</v>
      </c>
      <c r="E362" s="70">
        <v>2</v>
      </c>
      <c r="F362" s="71">
        <v>2.2860999999999998</v>
      </c>
      <c r="G362" s="71">
        <v>0</v>
      </c>
      <c r="H362" s="71">
        <v>4.5721999999999996</v>
      </c>
      <c r="I362" s="71">
        <v>0</v>
      </c>
      <c r="J362" s="70" t="s">
        <v>416</v>
      </c>
      <c r="K362" s="70" t="s">
        <v>1204</v>
      </c>
      <c r="L362" s="74">
        <v>46035</v>
      </c>
    </row>
    <row r="363" spans="1:12" hidden="1" x14ac:dyDescent="0.25">
      <c r="A363" s="70" t="s">
        <v>898</v>
      </c>
      <c r="B363" s="70" t="s">
        <v>1361</v>
      </c>
      <c r="C363" s="70" t="s">
        <v>1362</v>
      </c>
      <c r="D363" s="70">
        <v>1715</v>
      </c>
      <c r="E363" s="70">
        <v>1.1399999999999899</v>
      </c>
      <c r="F363" s="71">
        <v>3.6404182144997002</v>
      </c>
      <c r="G363" s="71">
        <v>0</v>
      </c>
      <c r="H363" s="71">
        <v>4.1500767645296204</v>
      </c>
      <c r="I363" s="71">
        <v>0</v>
      </c>
      <c r="J363" s="70" t="s">
        <v>416</v>
      </c>
      <c r="K363" s="70" t="s">
        <v>1204</v>
      </c>
      <c r="L363" s="74">
        <v>46035</v>
      </c>
    </row>
    <row r="364" spans="1:12" hidden="1" x14ac:dyDescent="0.25">
      <c r="A364" s="70" t="s">
        <v>898</v>
      </c>
      <c r="B364" s="70" t="s">
        <v>1363</v>
      </c>
      <c r="C364" s="70" t="s">
        <v>1364</v>
      </c>
      <c r="D364" s="70">
        <v>1715</v>
      </c>
      <c r="E364" s="70">
        <v>1</v>
      </c>
      <c r="F364" s="71">
        <v>1.27</v>
      </c>
      <c r="G364" s="71">
        <v>0</v>
      </c>
      <c r="H364" s="71">
        <v>1.27</v>
      </c>
      <c r="I364" s="71">
        <v>0</v>
      </c>
      <c r="J364" s="70" t="s">
        <v>416</v>
      </c>
      <c r="K364" s="70" t="s">
        <v>1204</v>
      </c>
      <c r="L364" s="74">
        <v>46035</v>
      </c>
    </row>
    <row r="365" spans="1:12" hidden="1" x14ac:dyDescent="0.25">
      <c r="A365" s="70" t="s">
        <v>898</v>
      </c>
      <c r="B365" s="70" t="s">
        <v>1365</v>
      </c>
      <c r="C365" s="70" t="s">
        <v>1366</v>
      </c>
      <c r="D365" s="70">
        <v>1715</v>
      </c>
      <c r="E365" s="70">
        <v>5</v>
      </c>
      <c r="F365" s="71">
        <v>0</v>
      </c>
      <c r="G365" s="71">
        <v>0</v>
      </c>
      <c r="H365" s="71">
        <v>0</v>
      </c>
      <c r="I365" s="71">
        <v>0</v>
      </c>
      <c r="J365" s="70" t="s">
        <v>416</v>
      </c>
      <c r="K365" s="70" t="s">
        <v>1204</v>
      </c>
      <c r="L365" s="74">
        <v>46035</v>
      </c>
    </row>
    <row r="366" spans="1:12" hidden="1" x14ac:dyDescent="0.25">
      <c r="A366" s="70" t="s">
        <v>1367</v>
      </c>
      <c r="B366" s="70" t="s">
        <v>1368</v>
      </c>
      <c r="C366" s="70" t="s">
        <v>1369</v>
      </c>
      <c r="D366" s="70">
        <v>1715</v>
      </c>
      <c r="E366" s="70">
        <v>-1</v>
      </c>
      <c r="F366" s="71">
        <v>47.5</v>
      </c>
      <c r="G366" s="71">
        <v>0</v>
      </c>
      <c r="H366" s="71">
        <v>-47.5</v>
      </c>
      <c r="I366" s="71">
        <v>0</v>
      </c>
      <c r="J366" s="70" t="s">
        <v>416</v>
      </c>
      <c r="K366" s="70" t="s">
        <v>1204</v>
      </c>
      <c r="L366" s="74">
        <v>46035</v>
      </c>
    </row>
    <row r="367" spans="1:12" hidden="1" x14ac:dyDescent="0.25">
      <c r="A367" s="70" t="s">
        <v>877</v>
      </c>
      <c r="B367" s="70" t="s">
        <v>1370</v>
      </c>
      <c r="C367" s="70" t="s">
        <v>1371</v>
      </c>
      <c r="D367" s="70">
        <v>1742</v>
      </c>
      <c r="E367" s="70">
        <v>-2</v>
      </c>
      <c r="F367" s="71">
        <v>18.767233333333301</v>
      </c>
      <c r="G367" s="71">
        <v>62.44</v>
      </c>
      <c r="H367" s="71">
        <v>-37.534466666666603</v>
      </c>
      <c r="I367" s="71">
        <v>-124.88</v>
      </c>
      <c r="J367" s="70" t="s">
        <v>436</v>
      </c>
      <c r="K367" s="70" t="s">
        <v>48</v>
      </c>
      <c r="L367" s="74">
        <v>46049</v>
      </c>
    </row>
    <row r="368" spans="1:12" hidden="1" x14ac:dyDescent="0.25">
      <c r="A368" s="70" t="s">
        <v>877</v>
      </c>
      <c r="B368" s="70" t="s">
        <v>1372</v>
      </c>
      <c r="C368" s="70" t="s">
        <v>1373</v>
      </c>
      <c r="D368" s="70">
        <v>1742</v>
      </c>
      <c r="E368" s="70">
        <v>-1</v>
      </c>
      <c r="F368" s="71">
        <v>39.205300000000001</v>
      </c>
      <c r="G368" s="71">
        <v>99.3</v>
      </c>
      <c r="H368" s="71">
        <v>-39.205300000000001</v>
      </c>
      <c r="I368" s="71">
        <v>-99.3</v>
      </c>
      <c r="J368" s="70" t="s">
        <v>436</v>
      </c>
      <c r="K368" s="70" t="s">
        <v>48</v>
      </c>
      <c r="L368" s="74">
        <v>46049</v>
      </c>
    </row>
    <row r="369" spans="1:12" hidden="1" x14ac:dyDescent="0.25">
      <c r="A369" s="70" t="s">
        <v>877</v>
      </c>
      <c r="B369" s="70" t="s">
        <v>1374</v>
      </c>
      <c r="C369" s="70" t="s">
        <v>1375</v>
      </c>
      <c r="D369" s="70">
        <v>1742</v>
      </c>
      <c r="E369" s="70">
        <v>-1</v>
      </c>
      <c r="F369" s="71">
        <v>61.5</v>
      </c>
      <c r="G369" s="71">
        <v>88.75</v>
      </c>
      <c r="H369" s="71">
        <v>-61.5</v>
      </c>
      <c r="I369" s="71">
        <v>-88.75</v>
      </c>
      <c r="J369" s="70" t="s">
        <v>436</v>
      </c>
      <c r="K369" s="70" t="s">
        <v>48</v>
      </c>
      <c r="L369" s="74">
        <v>46049</v>
      </c>
    </row>
    <row r="370" spans="1:12" hidden="1" x14ac:dyDescent="0.25">
      <c r="A370" s="70" t="s">
        <v>877</v>
      </c>
      <c r="B370" s="70" t="s">
        <v>1376</v>
      </c>
      <c r="C370" s="70" t="s">
        <v>1377</v>
      </c>
      <c r="D370" s="70">
        <v>1742</v>
      </c>
      <c r="E370" s="70">
        <v>-1</v>
      </c>
      <c r="F370" s="71">
        <v>13.436299999999999</v>
      </c>
      <c r="G370" s="71">
        <v>44.7</v>
      </c>
      <c r="H370" s="71">
        <v>-13.436299999999999</v>
      </c>
      <c r="I370" s="71">
        <v>-44.7</v>
      </c>
      <c r="J370" s="70" t="s">
        <v>436</v>
      </c>
      <c r="K370" s="70" t="s">
        <v>48</v>
      </c>
      <c r="L370" s="74">
        <v>46049</v>
      </c>
    </row>
    <row r="371" spans="1:12" hidden="1" x14ac:dyDescent="0.25">
      <c r="A371" s="70" t="s">
        <v>877</v>
      </c>
      <c r="B371" s="70" t="s">
        <v>1378</v>
      </c>
      <c r="C371" s="70" t="s">
        <v>1379</v>
      </c>
      <c r="D371" s="70">
        <v>1742</v>
      </c>
      <c r="E371" s="70">
        <v>-1</v>
      </c>
      <c r="F371" s="71">
        <v>11.8954</v>
      </c>
      <c r="G371" s="71">
        <v>19.149999999999999</v>
      </c>
      <c r="H371" s="71">
        <v>-11.8954</v>
      </c>
      <c r="I371" s="71">
        <v>-19.149999999999999</v>
      </c>
      <c r="J371" s="70" t="s">
        <v>436</v>
      </c>
      <c r="K371" s="70" t="s">
        <v>48</v>
      </c>
      <c r="L371" s="74">
        <v>46049</v>
      </c>
    </row>
    <row r="372" spans="1:12" hidden="1" x14ac:dyDescent="0.25">
      <c r="A372" s="70" t="s">
        <v>877</v>
      </c>
      <c r="B372" s="70" t="s">
        <v>1380</v>
      </c>
      <c r="C372" s="70" t="s">
        <v>1381</v>
      </c>
      <c r="D372" s="70">
        <v>1742</v>
      </c>
      <c r="E372" s="70">
        <v>-1</v>
      </c>
      <c r="F372" s="71">
        <v>8.8680000000000003</v>
      </c>
      <c r="G372" s="71">
        <v>12.59</v>
      </c>
      <c r="H372" s="71">
        <v>-8.8680000000000003</v>
      </c>
      <c r="I372" s="71">
        <v>-12.59</v>
      </c>
      <c r="J372" s="70" t="s">
        <v>436</v>
      </c>
      <c r="K372" s="70" t="s">
        <v>48</v>
      </c>
      <c r="L372" s="74">
        <v>46049</v>
      </c>
    </row>
    <row r="373" spans="1:12" hidden="1" x14ac:dyDescent="0.25">
      <c r="A373" s="70" t="s">
        <v>877</v>
      </c>
      <c r="B373" s="70" t="s">
        <v>1382</v>
      </c>
      <c r="C373" s="70" t="s">
        <v>1383</v>
      </c>
      <c r="D373" s="70">
        <v>1742</v>
      </c>
      <c r="E373" s="70">
        <v>-1</v>
      </c>
      <c r="F373" s="71">
        <v>2.9888499999999998</v>
      </c>
      <c r="G373" s="71">
        <v>7.17</v>
      </c>
      <c r="H373" s="71">
        <v>-2.9888499999999998</v>
      </c>
      <c r="I373" s="71">
        <v>-7.17</v>
      </c>
      <c r="J373" s="70" t="s">
        <v>436</v>
      </c>
      <c r="K373" s="70" t="s">
        <v>48</v>
      </c>
      <c r="L373" s="74">
        <v>46049</v>
      </c>
    </row>
    <row r="374" spans="1:12" hidden="1" x14ac:dyDescent="0.25">
      <c r="A374" s="70" t="s">
        <v>898</v>
      </c>
      <c r="B374" s="70" t="s">
        <v>1384</v>
      </c>
      <c r="C374" s="70" t="s">
        <v>1385</v>
      </c>
      <c r="D374" s="70">
        <v>1742</v>
      </c>
      <c r="E374" s="70">
        <v>1</v>
      </c>
      <c r="F374" s="71">
        <v>39.035899999999998</v>
      </c>
      <c r="G374" s="71">
        <v>103.39</v>
      </c>
      <c r="H374" s="71">
        <v>39.035899999999998</v>
      </c>
      <c r="I374" s="71">
        <v>103.39</v>
      </c>
      <c r="J374" s="70" t="s">
        <v>436</v>
      </c>
      <c r="K374" s="70" t="s">
        <v>48</v>
      </c>
      <c r="L374" s="74">
        <v>46049</v>
      </c>
    </row>
    <row r="375" spans="1:12" hidden="1" x14ac:dyDescent="0.25">
      <c r="A375" s="70" t="s">
        <v>898</v>
      </c>
      <c r="B375" s="70" t="s">
        <v>1386</v>
      </c>
      <c r="C375" s="70" t="s">
        <v>1387</v>
      </c>
      <c r="D375" s="70">
        <v>1742</v>
      </c>
      <c r="E375" s="70">
        <v>1</v>
      </c>
      <c r="F375" s="71">
        <v>0.53400000000000003</v>
      </c>
      <c r="G375" s="71">
        <v>0.81</v>
      </c>
      <c r="H375" s="71">
        <v>0.53400000000000003</v>
      </c>
      <c r="I375" s="71">
        <v>0.81</v>
      </c>
      <c r="J375" s="70" t="s">
        <v>436</v>
      </c>
      <c r="K375" s="70" t="s">
        <v>48</v>
      </c>
      <c r="L375" s="74">
        <v>46049</v>
      </c>
    </row>
    <row r="376" spans="1:12" hidden="1" x14ac:dyDescent="0.25">
      <c r="A376" s="70" t="s">
        <v>911</v>
      </c>
      <c r="B376" s="70" t="s">
        <v>1388</v>
      </c>
      <c r="C376" s="70" t="s">
        <v>1389</v>
      </c>
      <c r="D376" s="70">
        <v>1742</v>
      </c>
      <c r="E376" s="70">
        <v>1</v>
      </c>
      <c r="F376" s="71">
        <v>422.70249999999999</v>
      </c>
      <c r="G376" s="71">
        <v>580.54</v>
      </c>
      <c r="H376" s="71">
        <v>422.70249999999999</v>
      </c>
      <c r="I376" s="71">
        <v>580.54</v>
      </c>
      <c r="J376" s="70" t="s">
        <v>436</v>
      </c>
      <c r="K376" s="70" t="s">
        <v>48</v>
      </c>
      <c r="L376" s="74">
        <v>46049</v>
      </c>
    </row>
    <row r="377" spans="1:12" hidden="1" x14ac:dyDescent="0.25">
      <c r="A377" s="70" t="s">
        <v>922</v>
      </c>
      <c r="B377" s="70" t="s">
        <v>1390</v>
      </c>
      <c r="C377" s="70" t="s">
        <v>1391</v>
      </c>
      <c r="D377" s="70">
        <v>1742</v>
      </c>
      <c r="E377" s="70">
        <v>-1</v>
      </c>
      <c r="F377" s="71">
        <v>278.0444</v>
      </c>
      <c r="G377" s="71">
        <v>499.82</v>
      </c>
      <c r="H377" s="71">
        <v>-278.0444</v>
      </c>
      <c r="I377" s="71">
        <v>-499.82</v>
      </c>
      <c r="J377" s="70" t="s">
        <v>436</v>
      </c>
      <c r="K377" s="70" t="s">
        <v>48</v>
      </c>
      <c r="L377" s="74">
        <v>46049</v>
      </c>
    </row>
    <row r="378" spans="1:12" hidden="1" x14ac:dyDescent="0.25">
      <c r="A378" s="70" t="s">
        <v>911</v>
      </c>
      <c r="B378" s="70" t="s">
        <v>1392</v>
      </c>
      <c r="C378" s="70" t="s">
        <v>1393</v>
      </c>
      <c r="D378" s="70">
        <v>1742</v>
      </c>
      <c r="E378" s="70">
        <v>1</v>
      </c>
      <c r="F378" s="71">
        <v>0.57399999999999995</v>
      </c>
      <c r="G378" s="71">
        <v>0.88</v>
      </c>
      <c r="H378" s="71">
        <v>0.57399999999999995</v>
      </c>
      <c r="I378" s="71">
        <v>0.88</v>
      </c>
      <c r="J378" s="70" t="s">
        <v>436</v>
      </c>
      <c r="K378" s="70" t="s">
        <v>48</v>
      </c>
      <c r="L378" s="74">
        <v>46049</v>
      </c>
    </row>
    <row r="379" spans="1:12" hidden="1" x14ac:dyDescent="0.25">
      <c r="A379" s="70" t="s">
        <v>922</v>
      </c>
      <c r="B379" s="70" t="s">
        <v>1394</v>
      </c>
      <c r="C379" s="70" t="s">
        <v>1395</v>
      </c>
      <c r="D379" s="70">
        <v>1742</v>
      </c>
      <c r="E379" s="70">
        <v>-1</v>
      </c>
      <c r="F379" s="71">
        <v>0.57399999999999995</v>
      </c>
      <c r="G379" s="71">
        <v>0.88</v>
      </c>
      <c r="H379" s="71">
        <v>-0.57399999999999995</v>
      </c>
      <c r="I379" s="71">
        <v>-0.88</v>
      </c>
      <c r="J379" s="70" t="s">
        <v>436</v>
      </c>
      <c r="K379" s="70" t="s">
        <v>48</v>
      </c>
      <c r="L379" s="74">
        <v>46049</v>
      </c>
    </row>
    <row r="380" spans="1:12" hidden="1" x14ac:dyDescent="0.25">
      <c r="A380" s="70" t="s">
        <v>911</v>
      </c>
      <c r="B380" s="70" t="s">
        <v>1396</v>
      </c>
      <c r="C380" s="70" t="s">
        <v>1397</v>
      </c>
      <c r="D380" s="70">
        <v>1742</v>
      </c>
      <c r="E380" s="70">
        <v>1</v>
      </c>
      <c r="F380" s="71">
        <v>2.4500000000000002</v>
      </c>
      <c r="G380" s="71">
        <v>3.76</v>
      </c>
      <c r="H380" s="71">
        <v>2.4500000000000002</v>
      </c>
      <c r="I380" s="71">
        <v>3.76</v>
      </c>
      <c r="J380" s="70" t="s">
        <v>436</v>
      </c>
      <c r="K380" s="70" t="s">
        <v>48</v>
      </c>
      <c r="L380" s="74">
        <v>46049</v>
      </c>
    </row>
    <row r="381" spans="1:12" hidden="1" x14ac:dyDescent="0.25">
      <c r="A381" s="70" t="s">
        <v>922</v>
      </c>
      <c r="B381" s="70" t="s">
        <v>1398</v>
      </c>
      <c r="C381" s="70" t="s">
        <v>1399</v>
      </c>
      <c r="D381" s="70">
        <v>1742</v>
      </c>
      <c r="E381" s="70">
        <v>-1</v>
      </c>
      <c r="F381" s="71">
        <v>2.7</v>
      </c>
      <c r="G381" s="71">
        <v>4.1399999999999997</v>
      </c>
      <c r="H381" s="71">
        <v>-2.7</v>
      </c>
      <c r="I381" s="71">
        <v>-4.1399999999999997</v>
      </c>
      <c r="J381" s="70" t="s">
        <v>436</v>
      </c>
      <c r="K381" s="70" t="s">
        <v>48</v>
      </c>
      <c r="L381" s="74">
        <v>46049</v>
      </c>
    </row>
    <row r="382" spans="1:12" hidden="1" x14ac:dyDescent="0.25">
      <c r="A382" s="70" t="s">
        <v>911</v>
      </c>
      <c r="B382" s="70" t="s">
        <v>1400</v>
      </c>
      <c r="C382" s="70" t="s">
        <v>1401</v>
      </c>
      <c r="D382" s="70">
        <v>1742</v>
      </c>
      <c r="E382" s="70">
        <v>1</v>
      </c>
      <c r="F382" s="71">
        <v>7.2994000000000003</v>
      </c>
      <c r="G382" s="71">
        <v>9.31</v>
      </c>
      <c r="H382" s="71">
        <v>7.2994000000000003</v>
      </c>
      <c r="I382" s="71">
        <v>9.31</v>
      </c>
      <c r="J382" s="70" t="s">
        <v>436</v>
      </c>
      <c r="K382" s="70" t="s">
        <v>48</v>
      </c>
      <c r="L382" s="74">
        <v>46049</v>
      </c>
    </row>
    <row r="383" spans="1:12" hidden="1" x14ac:dyDescent="0.25">
      <c r="A383" s="70" t="s">
        <v>922</v>
      </c>
      <c r="B383" s="70" t="s">
        <v>1402</v>
      </c>
      <c r="C383" s="70" t="s">
        <v>1403</v>
      </c>
      <c r="D383" s="70">
        <v>1742</v>
      </c>
      <c r="E383" s="70">
        <v>-1</v>
      </c>
      <c r="F383" s="71">
        <v>6.28663333333333</v>
      </c>
      <c r="G383" s="71">
        <v>11.11</v>
      </c>
      <c r="H383" s="71">
        <v>-6.28663333333333</v>
      </c>
      <c r="I383" s="71">
        <v>-11.11</v>
      </c>
      <c r="J383" s="70" t="s">
        <v>436</v>
      </c>
      <c r="K383" s="70" t="s">
        <v>48</v>
      </c>
      <c r="L383" s="74">
        <v>46049</v>
      </c>
    </row>
    <row r="384" spans="1:12" hidden="1" x14ac:dyDescent="0.25">
      <c r="A384" s="70" t="s">
        <v>877</v>
      </c>
      <c r="B384" s="70" t="s">
        <v>1404</v>
      </c>
      <c r="C384" s="70" t="s">
        <v>1405</v>
      </c>
      <c r="D384" s="70">
        <v>1704</v>
      </c>
      <c r="E384" s="70">
        <v>-1</v>
      </c>
      <c r="F384" s="71">
        <v>15.461600000000001</v>
      </c>
      <c r="G384" s="71">
        <v>37.18</v>
      </c>
      <c r="H384" s="71">
        <v>-15.461600000000001</v>
      </c>
      <c r="I384" s="71">
        <v>-37.18</v>
      </c>
      <c r="J384" s="70" t="s">
        <v>450</v>
      </c>
      <c r="K384" s="70" t="s">
        <v>48</v>
      </c>
      <c r="L384" s="74">
        <v>46058</v>
      </c>
    </row>
    <row r="385" spans="1:12" hidden="1" x14ac:dyDescent="0.25">
      <c r="A385" s="70" t="s">
        <v>877</v>
      </c>
      <c r="B385" s="70" t="s">
        <v>1406</v>
      </c>
      <c r="C385" s="70" t="s">
        <v>1407</v>
      </c>
      <c r="D385" s="70">
        <v>1704</v>
      </c>
      <c r="E385" s="70">
        <v>-1</v>
      </c>
      <c r="F385" s="71">
        <v>5.1281428571428602</v>
      </c>
      <c r="G385" s="71">
        <v>8.43</v>
      </c>
      <c r="H385" s="71">
        <v>-5.1281428571428602</v>
      </c>
      <c r="I385" s="71">
        <v>-8.43</v>
      </c>
      <c r="J385" s="70" t="s">
        <v>450</v>
      </c>
      <c r="K385" s="70" t="s">
        <v>48</v>
      </c>
      <c r="L385" s="74">
        <v>46058</v>
      </c>
    </row>
    <row r="386" spans="1:12" hidden="1" x14ac:dyDescent="0.25">
      <c r="A386" s="70" t="s">
        <v>877</v>
      </c>
      <c r="B386" s="70" t="s">
        <v>1408</v>
      </c>
      <c r="C386" s="70" t="s">
        <v>1409</v>
      </c>
      <c r="D386" s="70">
        <v>1704</v>
      </c>
      <c r="E386" s="70">
        <v>-1</v>
      </c>
      <c r="F386" s="71">
        <v>1.3742111111111099</v>
      </c>
      <c r="G386" s="71">
        <v>5.71</v>
      </c>
      <c r="H386" s="71">
        <v>-1.3742111111111099</v>
      </c>
      <c r="I386" s="71">
        <v>-5.71</v>
      </c>
      <c r="J386" s="70" t="s">
        <v>450</v>
      </c>
      <c r="K386" s="70" t="s">
        <v>48</v>
      </c>
      <c r="L386" s="74">
        <v>46058</v>
      </c>
    </row>
    <row r="387" spans="1:12" hidden="1" x14ac:dyDescent="0.25">
      <c r="A387" s="70" t="s">
        <v>877</v>
      </c>
      <c r="B387" s="70" t="s">
        <v>1410</v>
      </c>
      <c r="C387" s="70" t="s">
        <v>1411</v>
      </c>
      <c r="D387" s="70">
        <v>1704</v>
      </c>
      <c r="E387" s="70">
        <v>-1</v>
      </c>
      <c r="F387" s="71">
        <v>3.3767499999999999</v>
      </c>
      <c r="G387" s="71">
        <v>4.96</v>
      </c>
      <c r="H387" s="71">
        <v>-3.3767499999999999</v>
      </c>
      <c r="I387" s="71">
        <v>-4.96</v>
      </c>
      <c r="J387" s="70" t="s">
        <v>450</v>
      </c>
      <c r="K387" s="70" t="s">
        <v>48</v>
      </c>
      <c r="L387" s="74">
        <v>46058</v>
      </c>
    </row>
    <row r="388" spans="1:12" hidden="1" x14ac:dyDescent="0.25">
      <c r="A388" s="70" t="s">
        <v>877</v>
      </c>
      <c r="B388" s="70" t="s">
        <v>1412</v>
      </c>
      <c r="C388" s="70" t="s">
        <v>1413</v>
      </c>
      <c r="D388" s="70">
        <v>1704</v>
      </c>
      <c r="E388" s="70">
        <v>-1</v>
      </c>
      <c r="F388" s="71">
        <v>2.1726999999999999</v>
      </c>
      <c r="G388" s="71">
        <v>3</v>
      </c>
      <c r="H388" s="71">
        <v>-2.1726999999999999</v>
      </c>
      <c r="I388" s="71">
        <v>-3</v>
      </c>
      <c r="J388" s="70" t="s">
        <v>450</v>
      </c>
      <c r="K388" s="70" t="s">
        <v>48</v>
      </c>
      <c r="L388" s="74">
        <v>46058</v>
      </c>
    </row>
    <row r="389" spans="1:12" hidden="1" x14ac:dyDescent="0.25">
      <c r="A389" s="70" t="s">
        <v>877</v>
      </c>
      <c r="B389" s="70" t="s">
        <v>1414</v>
      </c>
      <c r="C389" s="70" t="s">
        <v>1415</v>
      </c>
      <c r="D389" s="70">
        <v>1704</v>
      </c>
      <c r="E389" s="70">
        <v>-1</v>
      </c>
      <c r="F389" s="71">
        <v>0.70250000000000001</v>
      </c>
      <c r="G389" s="71">
        <v>1</v>
      </c>
      <c r="H389" s="71">
        <v>-0.70250000000000001</v>
      </c>
      <c r="I389" s="71">
        <v>-1</v>
      </c>
      <c r="J389" s="70" t="s">
        <v>450</v>
      </c>
      <c r="K389" s="70" t="s">
        <v>48</v>
      </c>
      <c r="L389" s="74">
        <v>46058</v>
      </c>
    </row>
    <row r="390" spans="1:12" hidden="1" x14ac:dyDescent="0.25">
      <c r="A390" s="70" t="s">
        <v>898</v>
      </c>
      <c r="B390" s="70" t="s">
        <v>1416</v>
      </c>
      <c r="C390" s="70" t="s">
        <v>1417</v>
      </c>
      <c r="D390" s="70">
        <v>1704</v>
      </c>
      <c r="E390" s="70">
        <v>1</v>
      </c>
      <c r="F390" s="71">
        <v>13.6625</v>
      </c>
      <c r="G390" s="71">
        <v>19.39</v>
      </c>
      <c r="H390" s="71">
        <v>13.6625</v>
      </c>
      <c r="I390" s="71">
        <v>19.39</v>
      </c>
      <c r="J390" s="70" t="s">
        <v>450</v>
      </c>
      <c r="K390" s="70" t="s">
        <v>48</v>
      </c>
      <c r="L390" s="74">
        <v>46058</v>
      </c>
    </row>
    <row r="391" spans="1:12" hidden="1" x14ac:dyDescent="0.25">
      <c r="A391" s="70" t="s">
        <v>911</v>
      </c>
      <c r="B391" s="70" t="s">
        <v>1418</v>
      </c>
      <c r="C391" s="70" t="s">
        <v>1419</v>
      </c>
      <c r="D391" s="70">
        <v>1704</v>
      </c>
      <c r="E391" s="70">
        <v>1</v>
      </c>
      <c r="F391" s="71">
        <v>28.848299999999998</v>
      </c>
      <c r="G391" s="71">
        <v>79.97</v>
      </c>
      <c r="H391" s="71">
        <v>28.848299999999998</v>
      </c>
      <c r="I391" s="71">
        <v>79.97</v>
      </c>
      <c r="J391" s="70" t="s">
        <v>450</v>
      </c>
      <c r="K391" s="70" t="s">
        <v>48</v>
      </c>
      <c r="L391" s="74">
        <v>46058</v>
      </c>
    </row>
    <row r="392" spans="1:12" hidden="1" x14ac:dyDescent="0.25">
      <c r="A392" s="70" t="s">
        <v>922</v>
      </c>
      <c r="B392" s="70" t="s">
        <v>1372</v>
      </c>
      <c r="C392" s="70" t="s">
        <v>1373</v>
      </c>
      <c r="D392" s="70">
        <v>1704</v>
      </c>
      <c r="E392" s="70">
        <v>-1</v>
      </c>
      <c r="F392" s="71">
        <v>39.082500000000003</v>
      </c>
      <c r="G392" s="71">
        <v>99.29</v>
      </c>
      <c r="H392" s="71">
        <v>-39.082500000000003</v>
      </c>
      <c r="I392" s="71">
        <v>-99.29</v>
      </c>
      <c r="J392" s="70" t="s">
        <v>450</v>
      </c>
      <c r="K392" s="70" t="s">
        <v>48</v>
      </c>
      <c r="L392" s="74">
        <v>46058</v>
      </c>
    </row>
    <row r="393" spans="1:12" hidden="1" x14ac:dyDescent="0.25">
      <c r="A393" s="70" t="s">
        <v>911</v>
      </c>
      <c r="B393" s="70" t="s">
        <v>1420</v>
      </c>
      <c r="C393" s="70" t="s">
        <v>1421</v>
      </c>
      <c r="D393" s="70">
        <v>1704</v>
      </c>
      <c r="E393" s="70">
        <v>1</v>
      </c>
      <c r="F393" s="71">
        <v>6.6719999999999997</v>
      </c>
      <c r="G393" s="71">
        <v>11.65</v>
      </c>
      <c r="H393" s="71">
        <v>6.6719999999999997</v>
      </c>
      <c r="I393" s="71">
        <v>11.65</v>
      </c>
      <c r="J393" s="70" t="s">
        <v>450</v>
      </c>
      <c r="K393" s="70" t="s">
        <v>48</v>
      </c>
      <c r="L393" s="74">
        <v>46058</v>
      </c>
    </row>
    <row r="394" spans="1:12" hidden="1" x14ac:dyDescent="0.25">
      <c r="A394" s="70" t="s">
        <v>922</v>
      </c>
      <c r="B394" s="70" t="s">
        <v>1422</v>
      </c>
      <c r="C394" s="70" t="s">
        <v>1423</v>
      </c>
      <c r="D394" s="70">
        <v>1704</v>
      </c>
      <c r="E394" s="70">
        <v>-1</v>
      </c>
      <c r="F394" s="71">
        <v>6.6719999999999997</v>
      </c>
      <c r="G394" s="71">
        <v>11.65</v>
      </c>
      <c r="H394" s="71">
        <v>-6.6719999999999997</v>
      </c>
      <c r="I394" s="71">
        <v>-11.65</v>
      </c>
      <c r="J394" s="70" t="s">
        <v>450</v>
      </c>
      <c r="K394" s="70" t="s">
        <v>48</v>
      </c>
      <c r="L394" s="74">
        <v>46058</v>
      </c>
    </row>
    <row r="395" spans="1:12" hidden="1" x14ac:dyDescent="0.25">
      <c r="A395" s="70" t="s">
        <v>911</v>
      </c>
      <c r="B395" s="70" t="s">
        <v>1424</v>
      </c>
      <c r="C395" s="70" t="s">
        <v>1425</v>
      </c>
      <c r="D395" s="70">
        <v>1704</v>
      </c>
      <c r="E395" s="70">
        <v>1</v>
      </c>
      <c r="F395" s="71">
        <v>3.89</v>
      </c>
      <c r="G395" s="71">
        <v>5.97</v>
      </c>
      <c r="H395" s="71">
        <v>3.89</v>
      </c>
      <c r="I395" s="71">
        <v>5.97</v>
      </c>
      <c r="J395" s="70" t="s">
        <v>450</v>
      </c>
      <c r="K395" s="70" t="s">
        <v>48</v>
      </c>
      <c r="L395" s="74">
        <v>46058</v>
      </c>
    </row>
    <row r="396" spans="1:12" hidden="1" x14ac:dyDescent="0.25">
      <c r="A396" s="70" t="s">
        <v>922</v>
      </c>
      <c r="B396" s="70" t="s">
        <v>1426</v>
      </c>
      <c r="C396" s="70" t="s">
        <v>1427</v>
      </c>
      <c r="D396" s="70">
        <v>1704</v>
      </c>
      <c r="E396" s="70">
        <v>-1</v>
      </c>
      <c r="F396" s="71">
        <v>2.93</v>
      </c>
      <c r="G396" s="71">
        <v>4.5</v>
      </c>
      <c r="H396" s="71">
        <v>-2.93</v>
      </c>
      <c r="I396" s="71">
        <v>-4.5</v>
      </c>
      <c r="J396" s="70" t="s">
        <v>450</v>
      </c>
      <c r="K396" s="70" t="s">
        <v>48</v>
      </c>
      <c r="L396" s="74">
        <v>46058</v>
      </c>
    </row>
    <row r="397" spans="1:12" hidden="1" x14ac:dyDescent="0.25">
      <c r="A397" s="70" t="s">
        <v>911</v>
      </c>
      <c r="B397" s="70" t="s">
        <v>1428</v>
      </c>
      <c r="C397" s="70" t="s">
        <v>1429</v>
      </c>
      <c r="D397" s="70">
        <v>1704</v>
      </c>
      <c r="E397" s="70">
        <v>1</v>
      </c>
      <c r="F397" s="71">
        <v>101.27375000000001</v>
      </c>
      <c r="G397" s="71">
        <v>145.05000000000001</v>
      </c>
      <c r="H397" s="71">
        <v>101.27375000000001</v>
      </c>
      <c r="I397" s="71">
        <v>145.05000000000001</v>
      </c>
      <c r="J397" s="70" t="s">
        <v>450</v>
      </c>
      <c r="K397" s="70" t="s">
        <v>48</v>
      </c>
      <c r="L397" s="74">
        <v>46058</v>
      </c>
    </row>
    <row r="398" spans="1:12" hidden="1" x14ac:dyDescent="0.25">
      <c r="A398" s="70" t="s">
        <v>922</v>
      </c>
      <c r="B398" s="70" t="s">
        <v>1430</v>
      </c>
      <c r="C398" s="70" t="s">
        <v>1431</v>
      </c>
      <c r="D398" s="70">
        <v>1704</v>
      </c>
      <c r="E398" s="70">
        <v>-1</v>
      </c>
      <c r="F398" s="71">
        <v>102.83320000000001</v>
      </c>
      <c r="G398" s="71">
        <v>137.03</v>
      </c>
      <c r="H398" s="71">
        <v>-102.83320000000001</v>
      </c>
      <c r="I398" s="71">
        <v>-137.03</v>
      </c>
      <c r="J398" s="70" t="s">
        <v>450</v>
      </c>
      <c r="K398" s="70" t="s">
        <v>48</v>
      </c>
      <c r="L398" s="74">
        <v>46058</v>
      </c>
    </row>
    <row r="399" spans="1:12" hidden="1" x14ac:dyDescent="0.25">
      <c r="A399" s="70" t="s">
        <v>911</v>
      </c>
      <c r="B399" s="70" t="s">
        <v>1432</v>
      </c>
      <c r="C399" s="70" t="s">
        <v>1433</v>
      </c>
      <c r="D399" s="70">
        <v>1707</v>
      </c>
      <c r="E399" s="70">
        <v>1</v>
      </c>
      <c r="F399" s="71">
        <v>162.59389999999999</v>
      </c>
      <c r="G399" s="71">
        <v>327.95</v>
      </c>
      <c r="H399" s="71">
        <v>162.59389999999999</v>
      </c>
      <c r="I399" s="71">
        <v>327.95</v>
      </c>
      <c r="J399" s="70" t="s">
        <v>466</v>
      </c>
      <c r="K399" s="70" t="s">
        <v>48</v>
      </c>
      <c r="L399" s="74">
        <v>46076</v>
      </c>
    </row>
    <row r="400" spans="1:12" hidden="1" x14ac:dyDescent="0.25">
      <c r="A400" s="70" t="s">
        <v>922</v>
      </c>
      <c r="B400" s="70" t="s">
        <v>1434</v>
      </c>
      <c r="C400" s="70" t="s">
        <v>1435</v>
      </c>
      <c r="D400" s="70">
        <v>1707</v>
      </c>
      <c r="E400" s="70">
        <v>-1</v>
      </c>
      <c r="F400" s="71">
        <v>195.50183999999999</v>
      </c>
      <c r="G400" s="71">
        <v>391.22</v>
      </c>
      <c r="H400" s="71">
        <v>-195.50183999999999</v>
      </c>
      <c r="I400" s="71">
        <v>-391.22</v>
      </c>
      <c r="J400" s="70" t="s">
        <v>466</v>
      </c>
      <c r="K400" s="70" t="s">
        <v>48</v>
      </c>
      <c r="L400" s="74">
        <v>46076</v>
      </c>
    </row>
    <row r="401" spans="1:12" hidden="1" x14ac:dyDescent="0.25">
      <c r="A401" s="70" t="s">
        <v>911</v>
      </c>
      <c r="B401" s="70" t="s">
        <v>1436</v>
      </c>
      <c r="C401" s="70" t="s">
        <v>1437</v>
      </c>
      <c r="D401" s="70">
        <v>1707</v>
      </c>
      <c r="E401" s="70">
        <v>1</v>
      </c>
      <c r="F401" s="71">
        <v>87.111400000000003</v>
      </c>
      <c r="G401" s="71">
        <v>130.5</v>
      </c>
      <c r="H401" s="71">
        <v>87.111400000000003</v>
      </c>
      <c r="I401" s="71">
        <v>130.5</v>
      </c>
      <c r="J401" s="70" t="s">
        <v>466</v>
      </c>
      <c r="K401" s="70" t="s">
        <v>48</v>
      </c>
      <c r="L401" s="74">
        <v>46076</v>
      </c>
    </row>
    <row r="402" spans="1:12" hidden="1" x14ac:dyDescent="0.25">
      <c r="A402" s="70" t="s">
        <v>922</v>
      </c>
      <c r="B402" s="70" t="s">
        <v>1438</v>
      </c>
      <c r="C402" s="70" t="s">
        <v>1439</v>
      </c>
      <c r="D402" s="70">
        <v>1707</v>
      </c>
      <c r="E402" s="70">
        <v>-1</v>
      </c>
      <c r="F402" s="71">
        <v>117.3</v>
      </c>
      <c r="G402" s="71">
        <v>174.84</v>
      </c>
      <c r="H402" s="71">
        <v>-117.3</v>
      </c>
      <c r="I402" s="71">
        <v>-174.84</v>
      </c>
      <c r="J402" s="70" t="s">
        <v>466</v>
      </c>
      <c r="K402" s="70" t="s">
        <v>48</v>
      </c>
      <c r="L402" s="74">
        <v>46076</v>
      </c>
    </row>
    <row r="403" spans="1:12" hidden="1" x14ac:dyDescent="0.25">
      <c r="A403" s="70" t="s">
        <v>911</v>
      </c>
      <c r="B403" s="70" t="s">
        <v>1440</v>
      </c>
      <c r="C403" s="70" t="s">
        <v>1441</v>
      </c>
      <c r="D403" s="70">
        <v>1707</v>
      </c>
      <c r="E403" s="70">
        <v>1</v>
      </c>
      <c r="F403" s="71">
        <v>18.855399999999999</v>
      </c>
      <c r="G403" s="71">
        <v>39.979999999999997</v>
      </c>
      <c r="H403" s="71">
        <v>18.855399999999999</v>
      </c>
      <c r="I403" s="71">
        <v>39.979999999999997</v>
      </c>
      <c r="J403" s="70" t="s">
        <v>466</v>
      </c>
      <c r="K403" s="70" t="s">
        <v>48</v>
      </c>
      <c r="L403" s="74">
        <v>46076</v>
      </c>
    </row>
    <row r="404" spans="1:12" hidden="1" x14ac:dyDescent="0.25">
      <c r="A404" s="70" t="s">
        <v>922</v>
      </c>
      <c r="B404" s="70" t="s">
        <v>1442</v>
      </c>
      <c r="C404" s="70" t="s">
        <v>1443</v>
      </c>
      <c r="D404" s="70">
        <v>1707</v>
      </c>
      <c r="E404" s="70">
        <v>-1</v>
      </c>
      <c r="F404" s="71">
        <v>29.2</v>
      </c>
      <c r="G404" s="71">
        <v>48.32</v>
      </c>
      <c r="H404" s="71">
        <v>-29.2</v>
      </c>
      <c r="I404" s="71">
        <v>-48.32</v>
      </c>
      <c r="J404" s="70" t="s">
        <v>466</v>
      </c>
      <c r="K404" s="70" t="s">
        <v>48</v>
      </c>
      <c r="L404" s="74">
        <v>46076</v>
      </c>
    </row>
    <row r="405" spans="1:12" hidden="1" x14ac:dyDescent="0.25">
      <c r="A405" s="70" t="s">
        <v>911</v>
      </c>
      <c r="B405" s="70" t="s">
        <v>1444</v>
      </c>
      <c r="C405" s="70" t="s">
        <v>1445</v>
      </c>
      <c r="D405" s="70">
        <v>1707</v>
      </c>
      <c r="E405" s="70">
        <v>1</v>
      </c>
      <c r="F405" s="71">
        <v>0.57845000000000002</v>
      </c>
      <c r="G405" s="71">
        <v>0.68</v>
      </c>
      <c r="H405" s="71">
        <v>0.57845000000000002</v>
      </c>
      <c r="I405" s="71">
        <v>0.68</v>
      </c>
      <c r="J405" s="70" t="s">
        <v>466</v>
      </c>
      <c r="K405" s="70" t="s">
        <v>48</v>
      </c>
      <c r="L405" s="74">
        <v>46076</v>
      </c>
    </row>
    <row r="406" spans="1:12" hidden="1" x14ac:dyDescent="0.25">
      <c r="A406" s="70" t="s">
        <v>922</v>
      </c>
      <c r="B406" s="70" t="s">
        <v>1446</v>
      </c>
      <c r="C406" s="70" t="s">
        <v>1447</v>
      </c>
      <c r="D406" s="70">
        <v>1707</v>
      </c>
      <c r="E406" s="70">
        <v>-1</v>
      </c>
      <c r="F406" s="71">
        <v>0.51459999999999995</v>
      </c>
      <c r="G406" s="71">
        <v>0.57999999999999996</v>
      </c>
      <c r="H406" s="71">
        <v>-0.51459999999999995</v>
      </c>
      <c r="I406" s="71">
        <v>-0.57999999999999996</v>
      </c>
      <c r="J406" s="70" t="s">
        <v>466</v>
      </c>
      <c r="K406" s="70" t="s">
        <v>48</v>
      </c>
      <c r="L406" s="74">
        <v>46076</v>
      </c>
    </row>
    <row r="407" spans="1:12" hidden="1" x14ac:dyDescent="0.25">
      <c r="A407" s="70" t="s">
        <v>911</v>
      </c>
      <c r="B407" s="70" t="s">
        <v>1448</v>
      </c>
      <c r="C407" s="70" t="s">
        <v>1449</v>
      </c>
      <c r="D407" s="70">
        <v>1707</v>
      </c>
      <c r="E407" s="70">
        <v>1</v>
      </c>
      <c r="F407" s="71">
        <v>1.59</v>
      </c>
      <c r="G407" s="71">
        <v>1.71</v>
      </c>
      <c r="H407" s="71">
        <v>1.59</v>
      </c>
      <c r="I407" s="71">
        <v>1.71</v>
      </c>
      <c r="J407" s="70" t="s">
        <v>466</v>
      </c>
      <c r="K407" s="70" t="s">
        <v>48</v>
      </c>
      <c r="L407" s="74">
        <v>46076</v>
      </c>
    </row>
    <row r="408" spans="1:12" hidden="1" x14ac:dyDescent="0.25">
      <c r="A408" s="70" t="s">
        <v>922</v>
      </c>
      <c r="B408" s="70" t="s">
        <v>1450</v>
      </c>
      <c r="C408" s="70" t="s">
        <v>1451</v>
      </c>
      <c r="D408" s="70">
        <v>1707</v>
      </c>
      <c r="E408" s="70">
        <v>-1</v>
      </c>
      <c r="F408" s="71">
        <v>1.29</v>
      </c>
      <c r="G408" s="71">
        <v>1.38</v>
      </c>
      <c r="H408" s="71">
        <v>-1.29</v>
      </c>
      <c r="I408" s="71">
        <v>-1.38</v>
      </c>
      <c r="J408" s="70" t="s">
        <v>466</v>
      </c>
      <c r="K408" s="70" t="s">
        <v>48</v>
      </c>
      <c r="L408" s="74">
        <v>46076</v>
      </c>
    </row>
    <row r="409" spans="1:12" hidden="1" x14ac:dyDescent="0.25">
      <c r="A409" s="70" t="s">
        <v>911</v>
      </c>
      <c r="B409" s="70" t="s">
        <v>1452</v>
      </c>
      <c r="C409" s="70" t="s">
        <v>1453</v>
      </c>
      <c r="D409" s="70">
        <v>1707</v>
      </c>
      <c r="E409" s="70">
        <v>1</v>
      </c>
      <c r="F409" s="71">
        <v>25.90335</v>
      </c>
      <c r="G409" s="71">
        <v>36.78</v>
      </c>
      <c r="H409" s="71">
        <v>25.90335</v>
      </c>
      <c r="I409" s="71">
        <v>36.78</v>
      </c>
      <c r="J409" s="70" t="s">
        <v>466</v>
      </c>
      <c r="K409" s="70" t="s">
        <v>48</v>
      </c>
      <c r="L409" s="74">
        <v>46076</v>
      </c>
    </row>
    <row r="410" spans="1:12" hidden="1" x14ac:dyDescent="0.25">
      <c r="A410" s="70" t="s">
        <v>922</v>
      </c>
      <c r="B410" s="70" t="s">
        <v>1454</v>
      </c>
      <c r="C410" s="70" t="s">
        <v>1455</v>
      </c>
      <c r="D410" s="70">
        <v>1707</v>
      </c>
      <c r="E410" s="70">
        <v>-1</v>
      </c>
      <c r="F410" s="71">
        <v>25.34</v>
      </c>
      <c r="G410" s="71">
        <v>35.979999999999997</v>
      </c>
      <c r="H410" s="71">
        <v>-25.34</v>
      </c>
      <c r="I410" s="71">
        <v>-35.979999999999997</v>
      </c>
      <c r="J410" s="70" t="s">
        <v>466</v>
      </c>
      <c r="K410" s="70" t="s">
        <v>48</v>
      </c>
      <c r="L410" s="74">
        <v>46076</v>
      </c>
    </row>
    <row r="411" spans="1:12" hidden="1" x14ac:dyDescent="0.25">
      <c r="A411" s="70" t="s">
        <v>911</v>
      </c>
      <c r="B411" s="70" t="s">
        <v>1456</v>
      </c>
      <c r="C411" s="70" t="s">
        <v>1457</v>
      </c>
      <c r="D411" s="70">
        <v>1707</v>
      </c>
      <c r="E411" s="70">
        <v>1</v>
      </c>
      <c r="F411" s="71">
        <v>6.3849999999999998</v>
      </c>
      <c r="G411" s="71">
        <v>10.08</v>
      </c>
      <c r="H411" s="71">
        <v>6.3849999999999998</v>
      </c>
      <c r="I411" s="71">
        <v>10.08</v>
      </c>
      <c r="J411" s="70" t="s">
        <v>466</v>
      </c>
      <c r="K411" s="70" t="s">
        <v>48</v>
      </c>
      <c r="L411" s="74">
        <v>46076</v>
      </c>
    </row>
    <row r="412" spans="1:12" hidden="1" x14ac:dyDescent="0.25">
      <c r="A412" s="70" t="s">
        <v>922</v>
      </c>
      <c r="B412" s="70" t="s">
        <v>1458</v>
      </c>
      <c r="C412" s="70" t="s">
        <v>1459</v>
      </c>
      <c r="D412" s="70">
        <v>1707</v>
      </c>
      <c r="E412" s="70">
        <v>-1</v>
      </c>
      <c r="F412" s="71">
        <v>4.6749999999999998</v>
      </c>
      <c r="G412" s="71">
        <v>6.72</v>
      </c>
      <c r="H412" s="71">
        <v>-4.6749999999999998</v>
      </c>
      <c r="I412" s="71">
        <v>-6.72</v>
      </c>
      <c r="J412" s="70" t="s">
        <v>466</v>
      </c>
      <c r="K412" s="70" t="s">
        <v>48</v>
      </c>
      <c r="L412" s="74">
        <v>46076</v>
      </c>
    </row>
    <row r="413" spans="1:12" hidden="1" x14ac:dyDescent="0.25">
      <c r="A413" s="70" t="s">
        <v>911</v>
      </c>
      <c r="B413" s="70" t="s">
        <v>1460</v>
      </c>
      <c r="C413" s="70" t="s">
        <v>1461</v>
      </c>
      <c r="D413" s="70">
        <v>1707</v>
      </c>
      <c r="E413" s="70">
        <v>1</v>
      </c>
      <c r="F413" s="71">
        <v>117.05294285714299</v>
      </c>
      <c r="G413" s="71">
        <v>239.16</v>
      </c>
      <c r="H413" s="71">
        <v>117.05294285714299</v>
      </c>
      <c r="I413" s="71">
        <v>239.16</v>
      </c>
      <c r="J413" s="70" t="s">
        <v>466</v>
      </c>
      <c r="K413" s="70" t="s">
        <v>48</v>
      </c>
      <c r="L413" s="74">
        <v>46076</v>
      </c>
    </row>
    <row r="414" spans="1:12" hidden="1" x14ac:dyDescent="0.25">
      <c r="A414" s="70" t="s">
        <v>922</v>
      </c>
      <c r="B414" s="70" t="s">
        <v>1462</v>
      </c>
      <c r="C414" s="70" t="s">
        <v>1463</v>
      </c>
      <c r="D414" s="70">
        <v>1707</v>
      </c>
      <c r="E414" s="70">
        <v>-1</v>
      </c>
      <c r="F414" s="71">
        <v>114.10290000000001</v>
      </c>
      <c r="G414" s="71">
        <v>233.93</v>
      </c>
      <c r="H414" s="71">
        <v>-114.10290000000001</v>
      </c>
      <c r="I414" s="71">
        <v>-233.93</v>
      </c>
      <c r="J414" s="70" t="s">
        <v>466</v>
      </c>
      <c r="K414" s="70" t="s">
        <v>48</v>
      </c>
      <c r="L414" s="74">
        <v>46076</v>
      </c>
    </row>
    <row r="415" spans="1:12" hidden="1" x14ac:dyDescent="0.25">
      <c r="A415" s="70" t="s">
        <v>911</v>
      </c>
      <c r="B415" s="70" t="s">
        <v>1464</v>
      </c>
      <c r="C415" s="70" t="s">
        <v>1465</v>
      </c>
      <c r="D415" s="70">
        <v>1707</v>
      </c>
      <c r="E415" s="70">
        <v>1</v>
      </c>
      <c r="F415" s="71">
        <v>78.096599999999995</v>
      </c>
      <c r="G415" s="71">
        <v>110.88</v>
      </c>
      <c r="H415" s="71">
        <v>78.096599999999995</v>
      </c>
      <c r="I415" s="71">
        <v>110.88</v>
      </c>
      <c r="J415" s="70" t="s">
        <v>466</v>
      </c>
      <c r="K415" s="70" t="s">
        <v>48</v>
      </c>
      <c r="L415" s="74">
        <v>46076</v>
      </c>
    </row>
    <row r="416" spans="1:12" hidden="1" x14ac:dyDescent="0.25">
      <c r="A416" s="70" t="s">
        <v>922</v>
      </c>
      <c r="B416" s="70" t="s">
        <v>1466</v>
      </c>
      <c r="C416" s="70" t="s">
        <v>1467</v>
      </c>
      <c r="D416" s="70">
        <v>1707</v>
      </c>
      <c r="E416" s="70">
        <v>-1</v>
      </c>
      <c r="F416" s="71">
        <v>71.086633333333296</v>
      </c>
      <c r="G416" s="71">
        <v>100.91</v>
      </c>
      <c r="H416" s="71">
        <v>-71.086633333333296</v>
      </c>
      <c r="I416" s="71">
        <v>-100.91</v>
      </c>
      <c r="J416" s="70" t="s">
        <v>466</v>
      </c>
      <c r="K416" s="70" t="s">
        <v>48</v>
      </c>
      <c r="L416" s="74">
        <v>46076</v>
      </c>
    </row>
    <row r="417" spans="1:12" hidden="1" x14ac:dyDescent="0.25">
      <c r="A417" s="70" t="s">
        <v>1468</v>
      </c>
      <c r="B417" s="70" t="s">
        <v>1469</v>
      </c>
      <c r="C417" s="70" t="s">
        <v>1470</v>
      </c>
      <c r="D417" s="70">
        <v>1707</v>
      </c>
      <c r="E417" s="70">
        <v>-2</v>
      </c>
      <c r="F417" s="71">
        <v>225.65</v>
      </c>
      <c r="G417" s="71">
        <v>320.37</v>
      </c>
      <c r="H417" s="71">
        <v>-451.3</v>
      </c>
      <c r="I417" s="71">
        <v>-640.74</v>
      </c>
      <c r="J417" s="70" t="s">
        <v>466</v>
      </c>
      <c r="K417" s="70" t="s">
        <v>48</v>
      </c>
      <c r="L417" s="74">
        <v>46076</v>
      </c>
    </row>
    <row r="418" spans="1:12" hidden="1" x14ac:dyDescent="0.25">
      <c r="A418" s="70" t="s">
        <v>1367</v>
      </c>
      <c r="B418" s="70" t="s">
        <v>1471</v>
      </c>
      <c r="C418" s="70" t="s">
        <v>1472</v>
      </c>
      <c r="D418" s="70">
        <v>1707</v>
      </c>
      <c r="E418" s="70">
        <v>-1</v>
      </c>
      <c r="F418" s="71">
        <v>5.8044000000000002</v>
      </c>
      <c r="G418" s="71">
        <v>13.69</v>
      </c>
      <c r="H418" s="71">
        <v>-5.8044000000000002</v>
      </c>
      <c r="I418" s="71">
        <v>-13.69</v>
      </c>
      <c r="J418" s="70" t="s">
        <v>466</v>
      </c>
      <c r="K418" s="70" t="s">
        <v>48</v>
      </c>
      <c r="L418" s="74">
        <v>46076</v>
      </c>
    </row>
    <row r="419" spans="1:12" hidden="1" x14ac:dyDescent="0.25">
      <c r="A419" s="70" t="s">
        <v>1468</v>
      </c>
      <c r="B419" s="70" t="s">
        <v>1473</v>
      </c>
      <c r="C419" s="70" t="s">
        <v>1474</v>
      </c>
      <c r="D419" s="70">
        <v>1700</v>
      </c>
      <c r="E419" s="70">
        <v>-1</v>
      </c>
      <c r="F419" s="71">
        <v>52.69</v>
      </c>
      <c r="G419" s="71">
        <v>74.8</v>
      </c>
      <c r="H419" s="71">
        <v>-52.69</v>
      </c>
      <c r="I419" s="71">
        <v>-74.8</v>
      </c>
      <c r="J419" s="70" t="s">
        <v>464</v>
      </c>
      <c r="K419" s="70" t="s">
        <v>48</v>
      </c>
      <c r="L419" s="74">
        <v>46072</v>
      </c>
    </row>
    <row r="420" spans="1:12" hidden="1" x14ac:dyDescent="0.25">
      <c r="A420" s="70" t="s">
        <v>1468</v>
      </c>
      <c r="B420" s="70" t="s">
        <v>1475</v>
      </c>
      <c r="C420" s="70" t="s">
        <v>1476</v>
      </c>
      <c r="D420" s="70">
        <v>1700</v>
      </c>
      <c r="E420" s="70">
        <v>-1</v>
      </c>
      <c r="F420" s="71">
        <v>805.6</v>
      </c>
      <c r="G420" s="71">
        <v>722.77</v>
      </c>
      <c r="H420" s="71">
        <v>-805.6</v>
      </c>
      <c r="I420" s="71">
        <v>-722.77</v>
      </c>
      <c r="J420" s="70" t="s">
        <v>464</v>
      </c>
      <c r="K420" s="70" t="s">
        <v>48</v>
      </c>
      <c r="L420" s="74">
        <v>46072</v>
      </c>
    </row>
    <row r="421" spans="1:12" hidden="1" x14ac:dyDescent="0.25">
      <c r="A421" s="70" t="s">
        <v>1468</v>
      </c>
      <c r="B421" s="70" t="s">
        <v>1477</v>
      </c>
      <c r="C421" s="70" t="s">
        <v>1478</v>
      </c>
      <c r="D421" s="70">
        <v>1700</v>
      </c>
      <c r="E421" s="70">
        <v>-1</v>
      </c>
      <c r="F421" s="71">
        <v>194.13</v>
      </c>
      <c r="G421" s="71">
        <v>251.86</v>
      </c>
      <c r="H421" s="71">
        <v>-194.13</v>
      </c>
      <c r="I421" s="71">
        <v>-251.86</v>
      </c>
      <c r="J421" s="70" t="s">
        <v>464</v>
      </c>
      <c r="K421" s="70" t="s">
        <v>48</v>
      </c>
      <c r="L421" s="74">
        <v>46072</v>
      </c>
    </row>
    <row r="422" spans="1:12" hidden="1" x14ac:dyDescent="0.25">
      <c r="A422" s="70" t="s">
        <v>877</v>
      </c>
      <c r="B422" s="70" t="s">
        <v>1479</v>
      </c>
      <c r="C422" s="70" t="s">
        <v>1480</v>
      </c>
      <c r="D422" s="70">
        <v>1726</v>
      </c>
      <c r="E422" s="70">
        <v>-1</v>
      </c>
      <c r="F422" s="71">
        <v>386.89819999999997</v>
      </c>
      <c r="G422" s="71">
        <v>550.11500000000001</v>
      </c>
      <c r="H422" s="71">
        <v>-386.89819999999997</v>
      </c>
      <c r="I422" s="71">
        <v>-550.11500000000001</v>
      </c>
      <c r="J422" s="70" t="s">
        <v>438</v>
      </c>
      <c r="K422" s="70" t="s">
        <v>48</v>
      </c>
      <c r="L422" s="74">
        <v>46052</v>
      </c>
    </row>
    <row r="423" spans="1:12" hidden="1" x14ac:dyDescent="0.25">
      <c r="A423" s="70" t="s">
        <v>877</v>
      </c>
      <c r="B423" s="70" t="s">
        <v>1481</v>
      </c>
      <c r="C423" s="70" t="s">
        <v>1482</v>
      </c>
      <c r="D423" s="70">
        <v>1726</v>
      </c>
      <c r="E423" s="70">
        <v>-1</v>
      </c>
      <c r="F423" s="71">
        <v>65.809600000000003</v>
      </c>
      <c r="G423" s="71">
        <v>153.5051</v>
      </c>
      <c r="H423" s="71">
        <v>-65.809600000000003</v>
      </c>
      <c r="I423" s="71">
        <v>-153.5051</v>
      </c>
      <c r="J423" s="70" t="s">
        <v>438</v>
      </c>
      <c r="K423" s="70" t="s">
        <v>48</v>
      </c>
      <c r="L423" s="74">
        <v>46052</v>
      </c>
    </row>
    <row r="424" spans="1:12" hidden="1" x14ac:dyDescent="0.25">
      <c r="A424" s="70" t="s">
        <v>877</v>
      </c>
      <c r="B424" s="70" t="s">
        <v>1483</v>
      </c>
      <c r="C424" s="70" t="s">
        <v>1484</v>
      </c>
      <c r="D424" s="70">
        <v>1726</v>
      </c>
      <c r="E424" s="70">
        <v>-1</v>
      </c>
      <c r="F424" s="71">
        <v>5.7577999999999996</v>
      </c>
      <c r="G424" s="71">
        <v>12.48</v>
      </c>
      <c r="H424" s="71">
        <v>-5.7577999999999996</v>
      </c>
      <c r="I424" s="71">
        <v>-12.48</v>
      </c>
      <c r="J424" s="70" t="s">
        <v>438</v>
      </c>
      <c r="K424" s="70" t="s">
        <v>48</v>
      </c>
      <c r="L424" s="74">
        <v>46052</v>
      </c>
    </row>
    <row r="425" spans="1:12" hidden="1" x14ac:dyDescent="0.25">
      <c r="A425" s="70" t="s">
        <v>877</v>
      </c>
      <c r="B425" s="70" t="s">
        <v>1485</v>
      </c>
      <c r="C425" s="70" t="s">
        <v>1486</v>
      </c>
      <c r="D425" s="70">
        <v>1726</v>
      </c>
      <c r="E425" s="70">
        <v>-3</v>
      </c>
      <c r="F425" s="71">
        <v>1.1013666666666699</v>
      </c>
      <c r="G425" s="71">
        <v>1.5215000000000001</v>
      </c>
      <c r="H425" s="71">
        <v>-3.3041000000000098</v>
      </c>
      <c r="I425" s="71">
        <v>-4.5644999999999998</v>
      </c>
      <c r="J425" s="70" t="s">
        <v>438</v>
      </c>
      <c r="K425" s="70" t="s">
        <v>48</v>
      </c>
      <c r="L425" s="74">
        <v>46052</v>
      </c>
    </row>
    <row r="426" spans="1:12" hidden="1" x14ac:dyDescent="0.25">
      <c r="A426" s="70" t="s">
        <v>898</v>
      </c>
      <c r="B426" s="70" t="s">
        <v>1487</v>
      </c>
      <c r="C426" s="70" t="s">
        <v>1488</v>
      </c>
      <c r="D426" s="70">
        <v>1726</v>
      </c>
      <c r="E426" s="70">
        <v>1</v>
      </c>
      <c r="F426" s="71">
        <v>2.27</v>
      </c>
      <c r="G426" s="71">
        <v>5.54</v>
      </c>
      <c r="H426" s="71">
        <v>2.27</v>
      </c>
      <c r="I426" s="71">
        <v>5.54</v>
      </c>
      <c r="J426" s="70" t="s">
        <v>438</v>
      </c>
      <c r="K426" s="70" t="s">
        <v>48</v>
      </c>
      <c r="L426" s="74">
        <v>46052</v>
      </c>
    </row>
    <row r="427" spans="1:12" hidden="1" x14ac:dyDescent="0.25">
      <c r="A427" s="70" t="s">
        <v>911</v>
      </c>
      <c r="B427" s="70" t="s">
        <v>1489</v>
      </c>
      <c r="C427" s="70" t="s">
        <v>1490</v>
      </c>
      <c r="D427" s="70">
        <v>1726</v>
      </c>
      <c r="E427" s="70">
        <v>1</v>
      </c>
      <c r="F427" s="71">
        <v>20.746600000000001</v>
      </c>
      <c r="G427" s="71">
        <v>29.4574</v>
      </c>
      <c r="H427" s="71">
        <v>20.746600000000001</v>
      </c>
      <c r="I427" s="71">
        <v>29.4574</v>
      </c>
      <c r="J427" s="70" t="s">
        <v>438</v>
      </c>
      <c r="K427" s="70" t="s">
        <v>48</v>
      </c>
      <c r="L427" s="74">
        <v>46052</v>
      </c>
    </row>
    <row r="428" spans="1:12" hidden="1" x14ac:dyDescent="0.25">
      <c r="A428" s="70" t="s">
        <v>922</v>
      </c>
      <c r="B428" s="70" t="s">
        <v>1491</v>
      </c>
      <c r="C428" s="70" t="s">
        <v>1492</v>
      </c>
      <c r="D428" s="70">
        <v>1726</v>
      </c>
      <c r="E428" s="70">
        <v>-1</v>
      </c>
      <c r="F428" s="71">
        <v>42.715000000000003</v>
      </c>
      <c r="G428" s="71">
        <v>60.653500000000001</v>
      </c>
      <c r="H428" s="71">
        <v>-42.715000000000003</v>
      </c>
      <c r="I428" s="71">
        <v>-60.653500000000001</v>
      </c>
      <c r="J428" s="70" t="s">
        <v>438</v>
      </c>
      <c r="K428" s="70" t="s">
        <v>48</v>
      </c>
      <c r="L428" s="74">
        <v>46052</v>
      </c>
    </row>
    <row r="429" spans="1:12" hidden="1" x14ac:dyDescent="0.25">
      <c r="A429" s="70" t="s">
        <v>911</v>
      </c>
      <c r="B429" s="70" t="s">
        <v>1493</v>
      </c>
      <c r="C429" s="70" t="s">
        <v>1494</v>
      </c>
      <c r="D429" s="70">
        <v>1726</v>
      </c>
      <c r="E429" s="70">
        <v>1</v>
      </c>
      <c r="F429" s="71">
        <v>17.835000000000001</v>
      </c>
      <c r="G429" s="71">
        <v>25.110900000000001</v>
      </c>
      <c r="H429" s="71">
        <v>17.835000000000001</v>
      </c>
      <c r="I429" s="71">
        <v>25.110900000000001</v>
      </c>
      <c r="J429" s="70" t="s">
        <v>438</v>
      </c>
      <c r="K429" s="70" t="s">
        <v>48</v>
      </c>
      <c r="L429" s="74">
        <v>46052</v>
      </c>
    </row>
    <row r="430" spans="1:12" hidden="1" x14ac:dyDescent="0.25">
      <c r="A430" s="70" t="s">
        <v>922</v>
      </c>
      <c r="B430" s="70" t="s">
        <v>1495</v>
      </c>
      <c r="C430" s="70" t="s">
        <v>1496</v>
      </c>
      <c r="D430" s="70">
        <v>1726</v>
      </c>
      <c r="E430" s="70">
        <v>-1</v>
      </c>
      <c r="F430" s="71">
        <v>20.58</v>
      </c>
      <c r="G430" s="71">
        <v>30.7319</v>
      </c>
      <c r="H430" s="71">
        <v>-20.58</v>
      </c>
      <c r="I430" s="71">
        <v>-30.7319</v>
      </c>
      <c r="J430" s="70" t="s">
        <v>438</v>
      </c>
      <c r="K430" s="70" t="s">
        <v>48</v>
      </c>
      <c r="L430" s="74">
        <v>46052</v>
      </c>
    </row>
    <row r="431" spans="1:12" hidden="1" x14ac:dyDescent="0.25">
      <c r="A431" s="70" t="s">
        <v>911</v>
      </c>
      <c r="B431" s="70" t="s">
        <v>1497</v>
      </c>
      <c r="C431" s="70" t="s">
        <v>1498</v>
      </c>
      <c r="D431" s="70">
        <v>1726</v>
      </c>
      <c r="E431" s="70">
        <v>1</v>
      </c>
      <c r="F431" s="71">
        <v>60.1</v>
      </c>
      <c r="G431" s="71">
        <v>105.3116</v>
      </c>
      <c r="H431" s="71">
        <v>60.1</v>
      </c>
      <c r="I431" s="71">
        <v>105.3116</v>
      </c>
      <c r="J431" s="70" t="s">
        <v>438</v>
      </c>
      <c r="K431" s="70" t="s">
        <v>48</v>
      </c>
      <c r="L431" s="74">
        <v>46052</v>
      </c>
    </row>
    <row r="432" spans="1:12" hidden="1" x14ac:dyDescent="0.25">
      <c r="A432" s="70" t="s">
        <v>922</v>
      </c>
      <c r="B432" s="70" t="s">
        <v>1499</v>
      </c>
      <c r="C432" s="70" t="s">
        <v>1500</v>
      </c>
      <c r="D432" s="70">
        <v>1726</v>
      </c>
      <c r="E432" s="70">
        <v>-1</v>
      </c>
      <c r="F432" s="71">
        <v>60.1</v>
      </c>
      <c r="G432" s="71">
        <v>105.3116</v>
      </c>
      <c r="H432" s="71">
        <v>-60.1</v>
      </c>
      <c r="I432" s="71">
        <v>-105.3116</v>
      </c>
      <c r="J432" s="70" t="s">
        <v>438</v>
      </c>
      <c r="K432" s="70" t="s">
        <v>48</v>
      </c>
      <c r="L432" s="74">
        <v>46052</v>
      </c>
    </row>
    <row r="433" spans="1:12" hidden="1" x14ac:dyDescent="0.25">
      <c r="A433" s="70" t="s">
        <v>877</v>
      </c>
      <c r="B433" s="70" t="s">
        <v>1501</v>
      </c>
      <c r="C433" s="70" t="s">
        <v>1502</v>
      </c>
      <c r="D433" s="70">
        <v>3040</v>
      </c>
      <c r="E433" s="70">
        <v>-2</v>
      </c>
      <c r="F433" s="71">
        <v>30.214093333333299</v>
      </c>
      <c r="G433" s="71">
        <v>47.15</v>
      </c>
      <c r="H433" s="71">
        <v>-60.428186666666598</v>
      </c>
      <c r="I433" s="71">
        <v>-94.3</v>
      </c>
      <c r="J433" s="70" t="s">
        <v>459</v>
      </c>
      <c r="K433" s="70" t="s">
        <v>48</v>
      </c>
      <c r="L433" s="74">
        <v>46065</v>
      </c>
    </row>
    <row r="434" spans="1:12" hidden="1" x14ac:dyDescent="0.25">
      <c r="A434" s="70" t="s">
        <v>877</v>
      </c>
      <c r="B434" s="70" t="s">
        <v>1503</v>
      </c>
      <c r="C434" s="70" t="s">
        <v>1504</v>
      </c>
      <c r="D434" s="70">
        <v>3040</v>
      </c>
      <c r="E434" s="70">
        <v>-1</v>
      </c>
      <c r="F434" s="71">
        <v>16.212499999999999</v>
      </c>
      <c r="G434" s="71">
        <v>25.3</v>
      </c>
      <c r="H434" s="71">
        <v>-16.212499999999999</v>
      </c>
      <c r="I434" s="71">
        <v>-25.3</v>
      </c>
      <c r="J434" s="70" t="s">
        <v>459</v>
      </c>
      <c r="K434" s="70" t="s">
        <v>48</v>
      </c>
      <c r="L434" s="74">
        <v>46065</v>
      </c>
    </row>
    <row r="435" spans="1:12" hidden="1" x14ac:dyDescent="0.25">
      <c r="A435" s="70" t="s">
        <v>877</v>
      </c>
      <c r="B435" s="70" t="s">
        <v>1505</v>
      </c>
      <c r="C435" s="70" t="s">
        <v>1506</v>
      </c>
      <c r="D435" s="70">
        <v>3040</v>
      </c>
      <c r="E435" s="70">
        <v>-1</v>
      </c>
      <c r="F435" s="71">
        <v>16.212</v>
      </c>
      <c r="G435" s="71">
        <v>24.22</v>
      </c>
      <c r="H435" s="71">
        <v>-16.212</v>
      </c>
      <c r="I435" s="71">
        <v>-24.22</v>
      </c>
      <c r="J435" s="70" t="s">
        <v>459</v>
      </c>
      <c r="K435" s="70" t="s">
        <v>48</v>
      </c>
      <c r="L435" s="74">
        <v>46065</v>
      </c>
    </row>
    <row r="436" spans="1:12" hidden="1" x14ac:dyDescent="0.25">
      <c r="A436" s="70" t="s">
        <v>877</v>
      </c>
      <c r="B436" s="70" t="s">
        <v>1507</v>
      </c>
      <c r="C436" s="70" t="s">
        <v>1508</v>
      </c>
      <c r="D436" s="70">
        <v>3040</v>
      </c>
      <c r="E436" s="70">
        <v>-1</v>
      </c>
      <c r="F436" s="71">
        <v>8.9819999999999993</v>
      </c>
      <c r="G436" s="71">
        <v>17.77</v>
      </c>
      <c r="H436" s="71">
        <v>-8.9819999999999993</v>
      </c>
      <c r="I436" s="71">
        <v>-17.77</v>
      </c>
      <c r="J436" s="70" t="s">
        <v>459</v>
      </c>
      <c r="K436" s="70" t="s">
        <v>48</v>
      </c>
      <c r="L436" s="74">
        <v>46065</v>
      </c>
    </row>
    <row r="437" spans="1:12" hidden="1" x14ac:dyDescent="0.25">
      <c r="A437" s="70" t="s">
        <v>877</v>
      </c>
      <c r="B437" s="70" t="s">
        <v>1509</v>
      </c>
      <c r="C437" s="70" t="s">
        <v>1510</v>
      </c>
      <c r="D437" s="70">
        <v>3040</v>
      </c>
      <c r="E437" s="70">
        <v>-2</v>
      </c>
      <c r="F437" s="71">
        <v>1.77</v>
      </c>
      <c r="G437" s="71">
        <v>7.1</v>
      </c>
      <c r="H437" s="71">
        <v>-3.54</v>
      </c>
      <c r="I437" s="71">
        <v>-14.2</v>
      </c>
      <c r="J437" s="70" t="s">
        <v>459</v>
      </c>
      <c r="K437" s="70" t="s">
        <v>48</v>
      </c>
      <c r="L437" s="74">
        <v>46065</v>
      </c>
    </row>
    <row r="438" spans="1:12" hidden="1" x14ac:dyDescent="0.25">
      <c r="A438" s="70" t="s">
        <v>877</v>
      </c>
      <c r="B438" s="70" t="s">
        <v>1511</v>
      </c>
      <c r="C438" s="70" t="s">
        <v>1512</v>
      </c>
      <c r="D438" s="70">
        <v>3040</v>
      </c>
      <c r="E438" s="70">
        <v>-1</v>
      </c>
      <c r="F438" s="71">
        <v>2.4</v>
      </c>
      <c r="G438" s="71">
        <v>9.57</v>
      </c>
      <c r="H438" s="71">
        <v>-2.4</v>
      </c>
      <c r="I438" s="71">
        <v>-9.57</v>
      </c>
      <c r="J438" s="70" t="s">
        <v>459</v>
      </c>
      <c r="K438" s="70" t="s">
        <v>48</v>
      </c>
      <c r="L438" s="74">
        <v>46065</v>
      </c>
    </row>
    <row r="439" spans="1:12" hidden="1" x14ac:dyDescent="0.25">
      <c r="A439" s="70" t="s">
        <v>877</v>
      </c>
      <c r="B439" s="70" t="s">
        <v>1513</v>
      </c>
      <c r="C439" s="70" t="s">
        <v>1514</v>
      </c>
      <c r="D439" s="70">
        <v>3040</v>
      </c>
      <c r="E439" s="70">
        <v>-1</v>
      </c>
      <c r="F439" s="71">
        <v>2.11</v>
      </c>
      <c r="G439" s="71">
        <v>8.43</v>
      </c>
      <c r="H439" s="71">
        <v>-2.11</v>
      </c>
      <c r="I439" s="71">
        <v>-8.43</v>
      </c>
      <c r="J439" s="70" t="s">
        <v>459</v>
      </c>
      <c r="K439" s="70" t="s">
        <v>48</v>
      </c>
      <c r="L439" s="74">
        <v>46065</v>
      </c>
    </row>
    <row r="440" spans="1:12" hidden="1" x14ac:dyDescent="0.25">
      <c r="A440" s="70" t="s">
        <v>877</v>
      </c>
      <c r="B440" s="70" t="s">
        <v>1515</v>
      </c>
      <c r="C440" s="70" t="s">
        <v>1516</v>
      </c>
      <c r="D440" s="70">
        <v>3040</v>
      </c>
      <c r="E440" s="70">
        <v>-1</v>
      </c>
      <c r="F440" s="71">
        <v>3.25</v>
      </c>
      <c r="G440" s="71">
        <v>7.84</v>
      </c>
      <c r="H440" s="71">
        <v>-3.25</v>
      </c>
      <c r="I440" s="71">
        <v>-7.84</v>
      </c>
      <c r="J440" s="70" t="s">
        <v>459</v>
      </c>
      <c r="K440" s="70" t="s">
        <v>48</v>
      </c>
      <c r="L440" s="74">
        <v>46065</v>
      </c>
    </row>
    <row r="441" spans="1:12" hidden="1" x14ac:dyDescent="0.25">
      <c r="A441" s="70" t="s">
        <v>877</v>
      </c>
      <c r="B441" s="70" t="s">
        <v>1517</v>
      </c>
      <c r="C441" s="70" t="s">
        <v>1518</v>
      </c>
      <c r="D441" s="70">
        <v>3040</v>
      </c>
      <c r="E441" s="70">
        <v>-1</v>
      </c>
      <c r="F441" s="71">
        <v>4.6997200000000001</v>
      </c>
      <c r="G441" s="71">
        <v>7.02</v>
      </c>
      <c r="H441" s="71">
        <v>-4.6997200000000001</v>
      </c>
      <c r="I441" s="71">
        <v>-7.02</v>
      </c>
      <c r="J441" s="70" t="s">
        <v>459</v>
      </c>
      <c r="K441" s="70" t="s">
        <v>48</v>
      </c>
      <c r="L441" s="74">
        <v>46065</v>
      </c>
    </row>
    <row r="442" spans="1:12" hidden="1" x14ac:dyDescent="0.25">
      <c r="A442" s="70" t="s">
        <v>898</v>
      </c>
      <c r="B442" s="70" t="s">
        <v>1519</v>
      </c>
      <c r="C442" s="70" t="s">
        <v>1520</v>
      </c>
      <c r="D442" s="70">
        <v>3040</v>
      </c>
      <c r="E442" s="70">
        <v>3</v>
      </c>
      <c r="F442" s="71">
        <v>8.9034294117647104</v>
      </c>
      <c r="G442" s="71">
        <v>30.34</v>
      </c>
      <c r="H442" s="71">
        <v>26.710288235294101</v>
      </c>
      <c r="I442" s="71">
        <v>91.02</v>
      </c>
      <c r="J442" s="70" t="s">
        <v>459</v>
      </c>
      <c r="K442" s="70" t="s">
        <v>48</v>
      </c>
      <c r="L442" s="74">
        <v>46065</v>
      </c>
    </row>
    <row r="443" spans="1:12" hidden="1" x14ac:dyDescent="0.25">
      <c r="A443" s="70" t="s">
        <v>898</v>
      </c>
      <c r="B443" s="70" t="s">
        <v>1521</v>
      </c>
      <c r="C443" s="70" t="s">
        <v>1522</v>
      </c>
      <c r="D443" s="70">
        <v>3040</v>
      </c>
      <c r="E443" s="70">
        <v>1</v>
      </c>
      <c r="F443" s="71">
        <v>28.003299999999999</v>
      </c>
      <c r="G443" s="71">
        <v>43.7</v>
      </c>
      <c r="H443" s="71">
        <v>28.003299999999999</v>
      </c>
      <c r="I443" s="71">
        <v>43.7</v>
      </c>
      <c r="J443" s="70" t="s">
        <v>459</v>
      </c>
      <c r="K443" s="70" t="s">
        <v>48</v>
      </c>
      <c r="L443" s="74">
        <v>46065</v>
      </c>
    </row>
    <row r="444" spans="1:12" hidden="1" x14ac:dyDescent="0.25">
      <c r="A444" s="70" t="s">
        <v>898</v>
      </c>
      <c r="B444" s="70" t="s">
        <v>1523</v>
      </c>
      <c r="C444" s="70" t="s">
        <v>1524</v>
      </c>
      <c r="D444" s="70">
        <v>3040</v>
      </c>
      <c r="E444" s="70">
        <v>1</v>
      </c>
      <c r="F444" s="71">
        <v>10.863951851851899</v>
      </c>
      <c r="G444" s="71">
        <v>17.7</v>
      </c>
      <c r="H444" s="71">
        <v>10.863951851851899</v>
      </c>
      <c r="I444" s="71">
        <v>17.7</v>
      </c>
      <c r="J444" s="70" t="s">
        <v>459</v>
      </c>
      <c r="K444" s="70" t="s">
        <v>48</v>
      </c>
      <c r="L444" s="74">
        <v>46065</v>
      </c>
    </row>
    <row r="445" spans="1:12" hidden="1" x14ac:dyDescent="0.25">
      <c r="A445" s="70" t="s">
        <v>898</v>
      </c>
      <c r="B445" s="70" t="s">
        <v>1525</v>
      </c>
      <c r="C445" s="70" t="s">
        <v>1526</v>
      </c>
      <c r="D445" s="70">
        <v>3040</v>
      </c>
      <c r="E445" s="70">
        <v>2</v>
      </c>
      <c r="F445" s="71">
        <v>1.51</v>
      </c>
      <c r="G445" s="71">
        <v>6</v>
      </c>
      <c r="H445" s="71">
        <v>3.02</v>
      </c>
      <c r="I445" s="71">
        <v>12</v>
      </c>
      <c r="J445" s="70" t="s">
        <v>459</v>
      </c>
      <c r="K445" s="70" t="s">
        <v>48</v>
      </c>
      <c r="L445" s="74">
        <v>46065</v>
      </c>
    </row>
    <row r="446" spans="1:12" hidden="1" x14ac:dyDescent="0.25">
      <c r="A446" s="70" t="s">
        <v>898</v>
      </c>
      <c r="B446" s="70" t="s">
        <v>1527</v>
      </c>
      <c r="C446" s="70" t="s">
        <v>1528</v>
      </c>
      <c r="D446" s="70">
        <v>3040</v>
      </c>
      <c r="E446" s="70">
        <v>1</v>
      </c>
      <c r="F446" s="71">
        <v>5.875</v>
      </c>
      <c r="G446" s="71">
        <v>8.77</v>
      </c>
      <c r="H446" s="71">
        <v>5.875</v>
      </c>
      <c r="I446" s="71">
        <v>8.77</v>
      </c>
      <c r="J446" s="70" t="s">
        <v>459</v>
      </c>
      <c r="K446" s="70" t="s">
        <v>48</v>
      </c>
      <c r="L446" s="74">
        <v>46065</v>
      </c>
    </row>
    <row r="447" spans="1:12" hidden="1" x14ac:dyDescent="0.25">
      <c r="A447" s="70" t="s">
        <v>911</v>
      </c>
      <c r="B447" s="70" t="s">
        <v>1529</v>
      </c>
      <c r="C447" s="70" t="s">
        <v>1530</v>
      </c>
      <c r="D447" s="70">
        <v>3040</v>
      </c>
      <c r="E447" s="70">
        <v>1</v>
      </c>
      <c r="F447" s="71">
        <v>21.007999999999999</v>
      </c>
      <c r="G447" s="71">
        <v>31.37</v>
      </c>
      <c r="H447" s="71">
        <v>21.007999999999999</v>
      </c>
      <c r="I447" s="71">
        <v>31.37</v>
      </c>
      <c r="J447" s="70" t="s">
        <v>459</v>
      </c>
      <c r="K447" s="70" t="s">
        <v>48</v>
      </c>
      <c r="L447" s="74">
        <v>46065</v>
      </c>
    </row>
    <row r="448" spans="1:12" hidden="1" x14ac:dyDescent="0.25">
      <c r="A448" s="70" t="s">
        <v>922</v>
      </c>
      <c r="B448" s="70" t="s">
        <v>1531</v>
      </c>
      <c r="C448" s="70" t="s">
        <v>1532</v>
      </c>
      <c r="D448" s="70">
        <v>3040</v>
      </c>
      <c r="E448" s="70">
        <v>-1</v>
      </c>
      <c r="F448" s="71">
        <v>25.688099999999999</v>
      </c>
      <c r="G448" s="71">
        <v>55.25</v>
      </c>
      <c r="H448" s="71">
        <v>-25.688099999999999</v>
      </c>
      <c r="I448" s="71">
        <v>-55.25</v>
      </c>
      <c r="J448" s="70" t="s">
        <v>459</v>
      </c>
      <c r="K448" s="70" t="s">
        <v>48</v>
      </c>
      <c r="L448" s="74">
        <v>46065</v>
      </c>
    </row>
    <row r="449" spans="1:12" hidden="1" x14ac:dyDescent="0.25">
      <c r="A449" s="70" t="s">
        <v>911</v>
      </c>
      <c r="B449" s="70" t="s">
        <v>1533</v>
      </c>
      <c r="C449" s="70" t="s">
        <v>1534</v>
      </c>
      <c r="D449" s="70">
        <v>3040</v>
      </c>
      <c r="E449" s="70">
        <v>1</v>
      </c>
      <c r="F449" s="71">
        <v>11.88</v>
      </c>
      <c r="G449" s="71">
        <v>24.39</v>
      </c>
      <c r="H449" s="71">
        <v>11.88</v>
      </c>
      <c r="I449" s="71">
        <v>24.39</v>
      </c>
      <c r="J449" s="70" t="s">
        <v>459</v>
      </c>
      <c r="K449" s="70" t="s">
        <v>48</v>
      </c>
      <c r="L449" s="74">
        <v>46065</v>
      </c>
    </row>
    <row r="450" spans="1:12" hidden="1" x14ac:dyDescent="0.25">
      <c r="A450" s="70" t="s">
        <v>922</v>
      </c>
      <c r="B450" s="70" t="s">
        <v>1535</v>
      </c>
      <c r="C450" s="70" t="s">
        <v>1536</v>
      </c>
      <c r="D450" s="70">
        <v>3040</v>
      </c>
      <c r="E450" s="70">
        <v>-1</v>
      </c>
      <c r="F450" s="71">
        <v>17.809999999999999</v>
      </c>
      <c r="G450" s="71">
        <v>36.57</v>
      </c>
      <c r="H450" s="71">
        <v>-17.809999999999999</v>
      </c>
      <c r="I450" s="71">
        <v>-36.57</v>
      </c>
      <c r="J450" s="70" t="s">
        <v>459</v>
      </c>
      <c r="K450" s="70" t="s">
        <v>48</v>
      </c>
      <c r="L450" s="74">
        <v>46065</v>
      </c>
    </row>
    <row r="451" spans="1:12" hidden="1" x14ac:dyDescent="0.25">
      <c r="A451" s="70" t="s">
        <v>911</v>
      </c>
      <c r="B451" s="70" t="s">
        <v>1537</v>
      </c>
      <c r="C451" s="70" t="s">
        <v>1538</v>
      </c>
      <c r="D451" s="70">
        <v>3040</v>
      </c>
      <c r="E451" s="70">
        <v>1</v>
      </c>
      <c r="F451" s="71">
        <v>7.9133444444444399</v>
      </c>
      <c r="G451" s="71">
        <v>26.61</v>
      </c>
      <c r="H451" s="71">
        <v>7.9133444444444399</v>
      </c>
      <c r="I451" s="71">
        <v>26.61</v>
      </c>
      <c r="J451" s="70" t="s">
        <v>459</v>
      </c>
      <c r="K451" s="70" t="s">
        <v>48</v>
      </c>
      <c r="L451" s="74">
        <v>46065</v>
      </c>
    </row>
    <row r="452" spans="1:12" hidden="1" x14ac:dyDescent="0.25">
      <c r="A452" s="70" t="s">
        <v>922</v>
      </c>
      <c r="B452" s="70" t="s">
        <v>1539</v>
      </c>
      <c r="C452" s="70" t="s">
        <v>1540</v>
      </c>
      <c r="D452" s="70">
        <v>3040</v>
      </c>
      <c r="E452" s="70">
        <v>-1</v>
      </c>
      <c r="F452" s="71">
        <v>8.8849499999999999</v>
      </c>
      <c r="G452" s="71">
        <v>30.75</v>
      </c>
      <c r="H452" s="71">
        <v>-8.8849499999999999</v>
      </c>
      <c r="I452" s="71">
        <v>-30.75</v>
      </c>
      <c r="J452" s="70" t="s">
        <v>459</v>
      </c>
      <c r="K452" s="70" t="s">
        <v>48</v>
      </c>
      <c r="L452" s="74">
        <v>46065</v>
      </c>
    </row>
    <row r="453" spans="1:12" hidden="1" x14ac:dyDescent="0.25">
      <c r="A453" s="70" t="s">
        <v>911</v>
      </c>
      <c r="B453" s="70" t="s">
        <v>1541</v>
      </c>
      <c r="C453" s="70" t="s">
        <v>1542</v>
      </c>
      <c r="D453" s="70">
        <v>3040</v>
      </c>
      <c r="E453" s="70">
        <v>1</v>
      </c>
      <c r="F453" s="71">
        <v>17.686240000000002</v>
      </c>
      <c r="G453" s="71">
        <v>26.42</v>
      </c>
      <c r="H453" s="71">
        <v>17.686240000000002</v>
      </c>
      <c r="I453" s="71">
        <v>26.42</v>
      </c>
      <c r="J453" s="70" t="s">
        <v>459</v>
      </c>
      <c r="K453" s="70" t="s">
        <v>48</v>
      </c>
      <c r="L453" s="74">
        <v>46065</v>
      </c>
    </row>
    <row r="454" spans="1:12" hidden="1" x14ac:dyDescent="0.25">
      <c r="A454" s="70" t="s">
        <v>922</v>
      </c>
      <c r="B454" s="70" t="s">
        <v>1543</v>
      </c>
      <c r="C454" s="70" t="s">
        <v>1544</v>
      </c>
      <c r="D454" s="70">
        <v>3040</v>
      </c>
      <c r="E454" s="70">
        <v>-1</v>
      </c>
      <c r="F454" s="71">
        <v>17.685300000000002</v>
      </c>
      <c r="G454" s="71">
        <v>27.6</v>
      </c>
      <c r="H454" s="71">
        <v>-17.685300000000002</v>
      </c>
      <c r="I454" s="71">
        <v>-27.6</v>
      </c>
      <c r="J454" s="70" t="s">
        <v>459</v>
      </c>
      <c r="K454" s="70" t="s">
        <v>48</v>
      </c>
      <c r="L454" s="74">
        <v>46065</v>
      </c>
    </row>
    <row r="455" spans="1:12" hidden="1" x14ac:dyDescent="0.25">
      <c r="A455" s="70" t="s">
        <v>911</v>
      </c>
      <c r="B455" s="70" t="s">
        <v>1545</v>
      </c>
      <c r="C455" s="70" t="s">
        <v>1546</v>
      </c>
      <c r="D455" s="70">
        <v>3040</v>
      </c>
      <c r="E455" s="70">
        <v>1</v>
      </c>
      <c r="F455" s="71">
        <v>69.375500000000002</v>
      </c>
      <c r="G455" s="71">
        <v>268.3</v>
      </c>
      <c r="H455" s="71">
        <v>69.375500000000002</v>
      </c>
      <c r="I455" s="71">
        <v>268.3</v>
      </c>
      <c r="J455" s="70" t="s">
        <v>459</v>
      </c>
      <c r="K455" s="70" t="s">
        <v>48</v>
      </c>
      <c r="L455" s="74">
        <v>46065</v>
      </c>
    </row>
    <row r="456" spans="1:12" hidden="1" x14ac:dyDescent="0.25">
      <c r="A456" s="70" t="s">
        <v>922</v>
      </c>
      <c r="B456" s="70" t="s">
        <v>1547</v>
      </c>
      <c r="C456" s="70" t="s">
        <v>1548</v>
      </c>
      <c r="D456" s="70">
        <v>3040</v>
      </c>
      <c r="E456" s="70">
        <v>-1</v>
      </c>
      <c r="F456" s="71">
        <v>74.521199999999993</v>
      </c>
      <c r="G456" s="71">
        <v>268.3</v>
      </c>
      <c r="H456" s="71">
        <v>-74.521199999999993</v>
      </c>
      <c r="I456" s="71">
        <v>-268.3</v>
      </c>
      <c r="J456" s="70" t="s">
        <v>459</v>
      </c>
      <c r="K456" s="70" t="s">
        <v>48</v>
      </c>
      <c r="L456" s="74">
        <v>46065</v>
      </c>
    </row>
    <row r="457" spans="1:12" hidden="1" x14ac:dyDescent="0.25">
      <c r="A457" s="70" t="s">
        <v>911</v>
      </c>
      <c r="B457" s="70" t="s">
        <v>1549</v>
      </c>
      <c r="C457" s="70" t="s">
        <v>1550</v>
      </c>
      <c r="D457" s="70">
        <v>3040</v>
      </c>
      <c r="E457" s="70">
        <v>1</v>
      </c>
      <c r="F457" s="71">
        <v>60.397500000000001</v>
      </c>
      <c r="G457" s="71">
        <v>204.17</v>
      </c>
      <c r="H457" s="71">
        <v>60.397500000000001</v>
      </c>
      <c r="I457" s="71">
        <v>204.17</v>
      </c>
      <c r="J457" s="70" t="s">
        <v>459</v>
      </c>
      <c r="K457" s="70" t="s">
        <v>48</v>
      </c>
      <c r="L457" s="74">
        <v>46065</v>
      </c>
    </row>
    <row r="458" spans="1:12" hidden="1" x14ac:dyDescent="0.25">
      <c r="A458" s="70" t="s">
        <v>922</v>
      </c>
      <c r="B458" s="70" t="s">
        <v>1551</v>
      </c>
      <c r="C458" s="70" t="s">
        <v>1552</v>
      </c>
      <c r="D458" s="70">
        <v>3040</v>
      </c>
      <c r="E458" s="70">
        <v>-1</v>
      </c>
      <c r="F458" s="71">
        <v>60.648099999999999</v>
      </c>
      <c r="G458" s="71">
        <v>204.17</v>
      </c>
      <c r="H458" s="71">
        <v>-60.648099999999999</v>
      </c>
      <c r="I458" s="71">
        <v>-204.17</v>
      </c>
      <c r="J458" s="70" t="s">
        <v>459</v>
      </c>
      <c r="K458" s="70" t="s">
        <v>48</v>
      </c>
      <c r="L458" s="74">
        <v>46065</v>
      </c>
    </row>
    <row r="459" spans="1:12" hidden="1" x14ac:dyDescent="0.25">
      <c r="A459" s="70" t="s">
        <v>911</v>
      </c>
      <c r="B459" s="70" t="s">
        <v>1553</v>
      </c>
      <c r="C459" s="70" t="s">
        <v>1554</v>
      </c>
      <c r="D459" s="70">
        <v>3040</v>
      </c>
      <c r="E459" s="70">
        <v>2</v>
      </c>
      <c r="F459" s="71">
        <v>3.4247000000000001</v>
      </c>
      <c r="G459" s="71">
        <v>15.64</v>
      </c>
      <c r="H459" s="71">
        <v>6.8494000000000002</v>
      </c>
      <c r="I459" s="71">
        <v>31.28</v>
      </c>
      <c r="J459" s="70" t="s">
        <v>459</v>
      </c>
      <c r="K459" s="70" t="s">
        <v>48</v>
      </c>
      <c r="L459" s="74">
        <v>46065</v>
      </c>
    </row>
    <row r="460" spans="1:12" hidden="1" x14ac:dyDescent="0.25">
      <c r="A460" s="70" t="s">
        <v>922</v>
      </c>
      <c r="B460" s="70" t="s">
        <v>1555</v>
      </c>
      <c r="C460" s="70" t="s">
        <v>1556</v>
      </c>
      <c r="D460" s="70">
        <v>3040</v>
      </c>
      <c r="E460" s="70">
        <v>-2</v>
      </c>
      <c r="F460" s="71">
        <v>3.4247000000000001</v>
      </c>
      <c r="G460" s="71">
        <v>15.64</v>
      </c>
      <c r="H460" s="71">
        <v>-6.8494000000000002</v>
      </c>
      <c r="I460" s="71">
        <v>-31.28</v>
      </c>
      <c r="J460" s="70" t="s">
        <v>459</v>
      </c>
      <c r="K460" s="70" t="s">
        <v>48</v>
      </c>
      <c r="L460" s="74">
        <v>46065</v>
      </c>
    </row>
    <row r="461" spans="1:12" hidden="1" x14ac:dyDescent="0.25">
      <c r="A461" s="70" t="s">
        <v>911</v>
      </c>
      <c r="B461" s="70" t="s">
        <v>1557</v>
      </c>
      <c r="C461" s="70" t="s">
        <v>1558</v>
      </c>
      <c r="D461" s="70">
        <v>3040</v>
      </c>
      <c r="E461" s="70">
        <v>1</v>
      </c>
      <c r="F461" s="71">
        <v>2.1831</v>
      </c>
      <c r="G461" s="71">
        <v>9.9700000000000006</v>
      </c>
      <c r="H461" s="71">
        <v>2.1831</v>
      </c>
      <c r="I461" s="71">
        <v>9.9700000000000006</v>
      </c>
      <c r="J461" s="70" t="s">
        <v>459</v>
      </c>
      <c r="K461" s="70" t="s">
        <v>48</v>
      </c>
      <c r="L461" s="74">
        <v>46065</v>
      </c>
    </row>
    <row r="462" spans="1:12" hidden="1" x14ac:dyDescent="0.25">
      <c r="A462" s="70" t="s">
        <v>922</v>
      </c>
      <c r="B462" s="70" t="s">
        <v>1559</v>
      </c>
      <c r="C462" s="70" t="s">
        <v>1560</v>
      </c>
      <c r="D462" s="70">
        <v>3040</v>
      </c>
      <c r="E462" s="70">
        <v>-1</v>
      </c>
      <c r="F462" s="71">
        <v>2.1831</v>
      </c>
      <c r="G462" s="71">
        <v>9.9700000000000006</v>
      </c>
      <c r="H462" s="71">
        <v>-2.1831</v>
      </c>
      <c r="I462" s="71">
        <v>-9.9700000000000006</v>
      </c>
      <c r="J462" s="70" t="s">
        <v>459</v>
      </c>
      <c r="K462" s="70" t="s">
        <v>48</v>
      </c>
      <c r="L462" s="74">
        <v>46065</v>
      </c>
    </row>
    <row r="463" spans="1:12" hidden="1" x14ac:dyDescent="0.25">
      <c r="A463" s="70" t="s">
        <v>911</v>
      </c>
      <c r="B463" s="70" t="s">
        <v>1561</v>
      </c>
      <c r="C463" s="70" t="s">
        <v>1562</v>
      </c>
      <c r="D463" s="70">
        <v>3040</v>
      </c>
      <c r="E463" s="70">
        <v>4</v>
      </c>
      <c r="F463" s="71">
        <v>25.792919999999999</v>
      </c>
      <c r="G463" s="71">
        <v>40.25</v>
      </c>
      <c r="H463" s="71">
        <v>103.17167999999999</v>
      </c>
      <c r="I463" s="71">
        <v>161</v>
      </c>
      <c r="J463" s="70" t="s">
        <v>459</v>
      </c>
      <c r="K463" s="70" t="s">
        <v>48</v>
      </c>
      <c r="L463" s="74">
        <v>46065</v>
      </c>
    </row>
    <row r="464" spans="1:12" hidden="1" x14ac:dyDescent="0.25">
      <c r="A464" s="70" t="s">
        <v>922</v>
      </c>
      <c r="B464" s="70" t="s">
        <v>1563</v>
      </c>
      <c r="C464" s="70" t="s">
        <v>1564</v>
      </c>
      <c r="D464" s="70">
        <v>3040</v>
      </c>
      <c r="E464" s="70">
        <v>-4</v>
      </c>
      <c r="F464" s="71">
        <v>25.795000000000002</v>
      </c>
      <c r="G464" s="71">
        <v>40.25</v>
      </c>
      <c r="H464" s="71">
        <v>-103.18</v>
      </c>
      <c r="I464" s="71">
        <v>-161</v>
      </c>
      <c r="J464" s="70" t="s">
        <v>459</v>
      </c>
      <c r="K464" s="70" t="s">
        <v>48</v>
      </c>
      <c r="L464" s="74">
        <v>46065</v>
      </c>
    </row>
    <row r="465" spans="1:12" hidden="1" x14ac:dyDescent="0.25">
      <c r="A465" s="70" t="s">
        <v>911</v>
      </c>
      <c r="B465" s="70" t="s">
        <v>1565</v>
      </c>
      <c r="C465" s="70" t="s">
        <v>1566</v>
      </c>
      <c r="D465" s="70">
        <v>3040</v>
      </c>
      <c r="E465" s="70">
        <v>6</v>
      </c>
      <c r="F465" s="71">
        <v>30.210899999999999</v>
      </c>
      <c r="G465" s="71">
        <v>47.15</v>
      </c>
      <c r="H465" s="71">
        <v>181.2654</v>
      </c>
      <c r="I465" s="71">
        <v>282.89999999999998</v>
      </c>
      <c r="J465" s="70" t="s">
        <v>459</v>
      </c>
      <c r="K465" s="70" t="s">
        <v>48</v>
      </c>
      <c r="L465" s="74">
        <v>46065</v>
      </c>
    </row>
    <row r="466" spans="1:12" hidden="1" x14ac:dyDescent="0.25">
      <c r="A466" s="70" t="s">
        <v>922</v>
      </c>
      <c r="B466" s="70" t="s">
        <v>1501</v>
      </c>
      <c r="C466" s="70" t="s">
        <v>1502</v>
      </c>
      <c r="D466" s="70">
        <v>3040</v>
      </c>
      <c r="E466" s="70">
        <v>-6</v>
      </c>
      <c r="F466" s="71">
        <v>30.214093333333299</v>
      </c>
      <c r="G466" s="71">
        <v>47.15</v>
      </c>
      <c r="H466" s="71">
        <v>-181.28456</v>
      </c>
      <c r="I466" s="71">
        <v>-282.89999999999998</v>
      </c>
      <c r="J466" s="70" t="s">
        <v>459</v>
      </c>
      <c r="K466" s="70" t="s">
        <v>48</v>
      </c>
      <c r="L466" s="74">
        <v>46065</v>
      </c>
    </row>
    <row r="467" spans="1:12" hidden="1" x14ac:dyDescent="0.25">
      <c r="A467" s="70" t="s">
        <v>911</v>
      </c>
      <c r="B467" s="70" t="s">
        <v>1521</v>
      </c>
      <c r="C467" s="70" t="s">
        <v>1522</v>
      </c>
      <c r="D467" s="70">
        <v>3040</v>
      </c>
      <c r="E467" s="70">
        <v>8</v>
      </c>
      <c r="F467" s="71">
        <v>28.003299999999999</v>
      </c>
      <c r="G467" s="71">
        <v>43.7</v>
      </c>
      <c r="H467" s="71">
        <v>224.0264</v>
      </c>
      <c r="I467" s="71">
        <v>349.6</v>
      </c>
      <c r="J467" s="70" t="s">
        <v>459</v>
      </c>
      <c r="K467" s="70" t="s">
        <v>48</v>
      </c>
      <c r="L467" s="74">
        <v>46065</v>
      </c>
    </row>
    <row r="468" spans="1:12" hidden="1" x14ac:dyDescent="0.25">
      <c r="A468" s="70" t="s">
        <v>922</v>
      </c>
      <c r="B468" s="70" t="s">
        <v>1567</v>
      </c>
      <c r="C468" s="70" t="s">
        <v>1568</v>
      </c>
      <c r="D468" s="70">
        <v>3040</v>
      </c>
      <c r="E468" s="70">
        <v>-8</v>
      </c>
      <c r="F468" s="71">
        <v>28.0031</v>
      </c>
      <c r="G468" s="71">
        <v>43.7</v>
      </c>
      <c r="H468" s="71">
        <v>-224.0248</v>
      </c>
      <c r="I468" s="71">
        <v>-349.6</v>
      </c>
      <c r="J468" s="70" t="s">
        <v>459</v>
      </c>
      <c r="K468" s="70" t="s">
        <v>48</v>
      </c>
      <c r="L468" s="74">
        <v>46065</v>
      </c>
    </row>
    <row r="469" spans="1:12" hidden="1" x14ac:dyDescent="0.25">
      <c r="A469" s="70" t="s">
        <v>911</v>
      </c>
      <c r="B469" s="70" t="s">
        <v>1569</v>
      </c>
      <c r="C469" s="70" t="s">
        <v>1570</v>
      </c>
      <c r="D469" s="70">
        <v>3040</v>
      </c>
      <c r="E469" s="70">
        <v>5</v>
      </c>
      <c r="F469" s="71">
        <v>32.424999999999997</v>
      </c>
      <c r="G469" s="71">
        <v>50.6</v>
      </c>
      <c r="H469" s="71">
        <v>162.125</v>
      </c>
      <c r="I469" s="71">
        <v>253</v>
      </c>
      <c r="J469" s="70" t="s">
        <v>459</v>
      </c>
      <c r="K469" s="70" t="s">
        <v>48</v>
      </c>
      <c r="L469" s="74">
        <v>46065</v>
      </c>
    </row>
    <row r="470" spans="1:12" hidden="1" x14ac:dyDescent="0.25">
      <c r="A470" s="70" t="s">
        <v>922</v>
      </c>
      <c r="B470" s="70" t="s">
        <v>1571</v>
      </c>
      <c r="C470" s="70" t="s">
        <v>1572</v>
      </c>
      <c r="D470" s="70">
        <v>3040</v>
      </c>
      <c r="E470" s="70">
        <v>-5</v>
      </c>
      <c r="F470" s="71">
        <v>32.423709523809499</v>
      </c>
      <c r="G470" s="71">
        <v>50.6</v>
      </c>
      <c r="H470" s="71">
        <v>-162.118547619048</v>
      </c>
      <c r="I470" s="71">
        <v>-253</v>
      </c>
      <c r="J470" s="70" t="s">
        <v>459</v>
      </c>
      <c r="K470" s="70" t="s">
        <v>48</v>
      </c>
      <c r="L470" s="74">
        <v>46065</v>
      </c>
    </row>
    <row r="471" spans="1:12" hidden="1" x14ac:dyDescent="0.25">
      <c r="A471" s="70" t="s">
        <v>911</v>
      </c>
      <c r="B471" s="70" t="s">
        <v>1573</v>
      </c>
      <c r="C471" s="70" t="s">
        <v>1574</v>
      </c>
      <c r="D471" s="70">
        <v>3040</v>
      </c>
      <c r="E471" s="70">
        <v>1</v>
      </c>
      <c r="F471" s="71">
        <v>16.212499999999999</v>
      </c>
      <c r="G471" s="71">
        <v>25.3</v>
      </c>
      <c r="H471" s="71">
        <v>16.212499999999999</v>
      </c>
      <c r="I471" s="71">
        <v>25.3</v>
      </c>
      <c r="J471" s="70" t="s">
        <v>459</v>
      </c>
      <c r="K471" s="70" t="s">
        <v>48</v>
      </c>
      <c r="L471" s="74">
        <v>46065</v>
      </c>
    </row>
    <row r="472" spans="1:12" hidden="1" x14ac:dyDescent="0.25">
      <c r="A472" s="70" t="s">
        <v>922</v>
      </c>
      <c r="B472" s="70" t="s">
        <v>1503</v>
      </c>
      <c r="C472" s="70" t="s">
        <v>1504</v>
      </c>
      <c r="D472" s="70">
        <v>3040</v>
      </c>
      <c r="E472" s="70">
        <v>-1</v>
      </c>
      <c r="F472" s="71">
        <v>16.212499999999999</v>
      </c>
      <c r="G472" s="71">
        <v>25.3</v>
      </c>
      <c r="H472" s="71">
        <v>-16.212499999999999</v>
      </c>
      <c r="I472" s="71">
        <v>-25.3</v>
      </c>
      <c r="J472" s="70" t="s">
        <v>459</v>
      </c>
      <c r="K472" s="70" t="s">
        <v>48</v>
      </c>
      <c r="L472" s="74">
        <v>46065</v>
      </c>
    </row>
    <row r="473" spans="1:12" hidden="1" x14ac:dyDescent="0.25">
      <c r="A473" s="70" t="s">
        <v>911</v>
      </c>
      <c r="B473" s="70" t="s">
        <v>1575</v>
      </c>
      <c r="C473" s="70" t="s">
        <v>1576</v>
      </c>
      <c r="D473" s="70">
        <v>3040</v>
      </c>
      <c r="E473" s="70">
        <v>1</v>
      </c>
      <c r="F473" s="71">
        <v>8.4175476190476193</v>
      </c>
      <c r="G473" s="71">
        <v>12.45</v>
      </c>
      <c r="H473" s="71">
        <v>8.4175476190476193</v>
      </c>
      <c r="I473" s="71">
        <v>12.45</v>
      </c>
      <c r="J473" s="70" t="s">
        <v>459</v>
      </c>
      <c r="K473" s="70" t="s">
        <v>48</v>
      </c>
      <c r="L473" s="74">
        <v>46065</v>
      </c>
    </row>
    <row r="474" spans="1:12" hidden="1" x14ac:dyDescent="0.25">
      <c r="A474" s="70" t="s">
        <v>922</v>
      </c>
      <c r="B474" s="70" t="s">
        <v>1577</v>
      </c>
      <c r="C474" s="70" t="s">
        <v>1578</v>
      </c>
      <c r="D474" s="70">
        <v>3040</v>
      </c>
      <c r="E474" s="70">
        <v>-1</v>
      </c>
      <c r="F474" s="71">
        <v>8.4175500000000003</v>
      </c>
      <c r="G474" s="71">
        <v>12.45</v>
      </c>
      <c r="H474" s="71">
        <v>-8.4175500000000003</v>
      </c>
      <c r="I474" s="71">
        <v>-12.45</v>
      </c>
      <c r="J474" s="70" t="s">
        <v>459</v>
      </c>
      <c r="K474" s="70" t="s">
        <v>48</v>
      </c>
      <c r="L474" s="74">
        <v>46065</v>
      </c>
    </row>
    <row r="475" spans="1:12" hidden="1" x14ac:dyDescent="0.25">
      <c r="A475" s="70" t="s">
        <v>911</v>
      </c>
      <c r="B475" s="70" t="s">
        <v>1579</v>
      </c>
      <c r="C475" s="70" t="s">
        <v>1580</v>
      </c>
      <c r="D475" s="70">
        <v>3040</v>
      </c>
      <c r="E475" s="70">
        <v>2</v>
      </c>
      <c r="F475" s="71">
        <v>2.4739499999999999</v>
      </c>
      <c r="G475" s="71">
        <v>12.71</v>
      </c>
      <c r="H475" s="71">
        <v>4.9478999999999997</v>
      </c>
      <c r="I475" s="71">
        <v>25.42</v>
      </c>
      <c r="J475" s="70" t="s">
        <v>459</v>
      </c>
      <c r="K475" s="70" t="s">
        <v>48</v>
      </c>
      <c r="L475" s="74">
        <v>46065</v>
      </c>
    </row>
    <row r="476" spans="1:12" hidden="1" x14ac:dyDescent="0.25">
      <c r="A476" s="70" t="s">
        <v>922</v>
      </c>
      <c r="B476" s="70" t="s">
        <v>1581</v>
      </c>
      <c r="C476" s="70" t="s">
        <v>1582</v>
      </c>
      <c r="D476" s="70">
        <v>3040</v>
      </c>
      <c r="E476" s="70">
        <v>-2</v>
      </c>
      <c r="F476" s="71">
        <v>2.47393333333333</v>
      </c>
      <c r="G476" s="71">
        <v>12.71</v>
      </c>
      <c r="H476" s="71">
        <v>-4.94786666666666</v>
      </c>
      <c r="I476" s="71">
        <v>-25.42</v>
      </c>
      <c r="J476" s="70" t="s">
        <v>459</v>
      </c>
      <c r="K476" s="70" t="s">
        <v>48</v>
      </c>
      <c r="L476" s="74">
        <v>46065</v>
      </c>
    </row>
    <row r="477" spans="1:12" hidden="1" x14ac:dyDescent="0.25">
      <c r="A477" s="70" t="s">
        <v>911</v>
      </c>
      <c r="B477" s="70" t="s">
        <v>1583</v>
      </c>
      <c r="C477" s="70" t="s">
        <v>1584</v>
      </c>
      <c r="D477" s="70">
        <v>3040</v>
      </c>
      <c r="E477" s="70">
        <v>1</v>
      </c>
      <c r="F477" s="71">
        <v>19.16</v>
      </c>
      <c r="G477" s="71">
        <v>28.61</v>
      </c>
      <c r="H477" s="71">
        <v>19.16</v>
      </c>
      <c r="I477" s="71">
        <v>28.61</v>
      </c>
      <c r="J477" s="70" t="s">
        <v>459</v>
      </c>
      <c r="K477" s="70" t="s">
        <v>48</v>
      </c>
      <c r="L477" s="74">
        <v>46065</v>
      </c>
    </row>
    <row r="478" spans="1:12" hidden="1" x14ac:dyDescent="0.25">
      <c r="A478" s="70" t="s">
        <v>922</v>
      </c>
      <c r="B478" s="70" t="s">
        <v>1585</v>
      </c>
      <c r="C478" s="70" t="s">
        <v>1586</v>
      </c>
      <c r="D478" s="70">
        <v>3040</v>
      </c>
      <c r="E478" s="70">
        <v>-1</v>
      </c>
      <c r="F478" s="71">
        <v>19.16</v>
      </c>
      <c r="G478" s="71">
        <v>28.61</v>
      </c>
      <c r="H478" s="71">
        <v>-19.16</v>
      </c>
      <c r="I478" s="71">
        <v>-28.61</v>
      </c>
      <c r="J478" s="70" t="s">
        <v>459</v>
      </c>
      <c r="K478" s="70" t="s">
        <v>48</v>
      </c>
      <c r="L478" s="74">
        <v>46065</v>
      </c>
    </row>
    <row r="479" spans="1:12" hidden="1" x14ac:dyDescent="0.25">
      <c r="A479" s="70" t="s">
        <v>911</v>
      </c>
      <c r="B479" s="70" t="s">
        <v>1587</v>
      </c>
      <c r="C479" s="70" t="s">
        <v>1588</v>
      </c>
      <c r="D479" s="70">
        <v>3040</v>
      </c>
      <c r="E479" s="70">
        <v>1</v>
      </c>
      <c r="F479" s="71">
        <v>17.686333333333302</v>
      </c>
      <c r="G479" s="71">
        <v>26.42</v>
      </c>
      <c r="H479" s="71">
        <v>17.686333333333302</v>
      </c>
      <c r="I479" s="71">
        <v>26.42</v>
      </c>
      <c r="J479" s="70" t="s">
        <v>459</v>
      </c>
      <c r="K479" s="70" t="s">
        <v>48</v>
      </c>
      <c r="L479" s="74">
        <v>46065</v>
      </c>
    </row>
    <row r="480" spans="1:12" hidden="1" x14ac:dyDescent="0.25">
      <c r="A480" s="70" t="s">
        <v>922</v>
      </c>
      <c r="B480" s="70" t="s">
        <v>1589</v>
      </c>
      <c r="C480" s="70" t="s">
        <v>1590</v>
      </c>
      <c r="D480" s="70">
        <v>3040</v>
      </c>
      <c r="E480" s="70">
        <v>-1</v>
      </c>
      <c r="F480" s="71">
        <v>17.686185714285699</v>
      </c>
      <c r="G480" s="71">
        <v>26.42</v>
      </c>
      <c r="H480" s="71">
        <v>-17.686185714285699</v>
      </c>
      <c r="I480" s="71">
        <v>-26.42</v>
      </c>
      <c r="J480" s="70" t="s">
        <v>459</v>
      </c>
      <c r="K480" s="70" t="s">
        <v>48</v>
      </c>
      <c r="L480" s="74">
        <v>46065</v>
      </c>
    </row>
    <row r="481" spans="1:12" hidden="1" x14ac:dyDescent="0.25">
      <c r="A481" s="70" t="s">
        <v>911</v>
      </c>
      <c r="B481" s="70" t="s">
        <v>1591</v>
      </c>
      <c r="C481" s="70" t="s">
        <v>1592</v>
      </c>
      <c r="D481" s="70">
        <v>3040</v>
      </c>
      <c r="E481" s="70">
        <v>1</v>
      </c>
      <c r="F481" s="71">
        <v>17.68665</v>
      </c>
      <c r="G481" s="71">
        <v>26.42</v>
      </c>
      <c r="H481" s="71">
        <v>17.68665</v>
      </c>
      <c r="I481" s="71">
        <v>26.42</v>
      </c>
      <c r="J481" s="70" t="s">
        <v>459</v>
      </c>
      <c r="K481" s="70" t="s">
        <v>48</v>
      </c>
      <c r="L481" s="74">
        <v>46065</v>
      </c>
    </row>
    <row r="482" spans="1:12" hidden="1" x14ac:dyDescent="0.25">
      <c r="A482" s="70" t="s">
        <v>922</v>
      </c>
      <c r="B482" s="70" t="s">
        <v>1593</v>
      </c>
      <c r="C482" s="70" t="s">
        <v>1594</v>
      </c>
      <c r="D482" s="70">
        <v>3040</v>
      </c>
      <c r="E482" s="70">
        <v>-1</v>
      </c>
      <c r="F482" s="71">
        <v>17.6861</v>
      </c>
      <c r="G482" s="71">
        <v>26.42</v>
      </c>
      <c r="H482" s="71">
        <v>-17.6861</v>
      </c>
      <c r="I482" s="71">
        <v>-26.42</v>
      </c>
      <c r="J482" s="70" t="s">
        <v>459</v>
      </c>
      <c r="K482" s="70" t="s">
        <v>48</v>
      </c>
      <c r="L482" s="74">
        <v>46065</v>
      </c>
    </row>
    <row r="483" spans="1:12" hidden="1" x14ac:dyDescent="0.25">
      <c r="A483" s="70" t="s">
        <v>911</v>
      </c>
      <c r="B483" s="70" t="s">
        <v>1595</v>
      </c>
      <c r="C483" s="70" t="s">
        <v>1596</v>
      </c>
      <c r="D483" s="70">
        <v>3040</v>
      </c>
      <c r="E483" s="70">
        <v>1</v>
      </c>
      <c r="F483" s="71">
        <v>3.02</v>
      </c>
      <c r="G483" s="71">
        <v>7.84</v>
      </c>
      <c r="H483" s="71">
        <v>3.02</v>
      </c>
      <c r="I483" s="71">
        <v>7.84</v>
      </c>
      <c r="J483" s="70" t="s">
        <v>459</v>
      </c>
      <c r="K483" s="70" t="s">
        <v>48</v>
      </c>
      <c r="L483" s="74">
        <v>46065</v>
      </c>
    </row>
    <row r="484" spans="1:12" hidden="1" x14ac:dyDescent="0.25">
      <c r="A484" s="70" t="s">
        <v>922</v>
      </c>
      <c r="B484" s="70" t="s">
        <v>1597</v>
      </c>
      <c r="C484" s="70" t="s">
        <v>1598</v>
      </c>
      <c r="D484" s="70">
        <v>3040</v>
      </c>
      <c r="E484" s="70">
        <v>-1</v>
      </c>
      <c r="F484" s="71">
        <v>3.29</v>
      </c>
      <c r="G484" s="71">
        <v>7.84</v>
      </c>
      <c r="H484" s="71">
        <v>-3.29</v>
      </c>
      <c r="I484" s="71">
        <v>-7.84</v>
      </c>
      <c r="J484" s="70" t="s">
        <v>459</v>
      </c>
      <c r="K484" s="70" t="s">
        <v>48</v>
      </c>
      <c r="L484" s="74">
        <v>46065</v>
      </c>
    </row>
    <row r="485" spans="1:12" hidden="1" x14ac:dyDescent="0.25">
      <c r="A485" s="70" t="s">
        <v>911</v>
      </c>
      <c r="B485" s="70" t="s">
        <v>1599</v>
      </c>
      <c r="C485" s="70" t="s">
        <v>1600</v>
      </c>
      <c r="D485" s="70">
        <v>3040</v>
      </c>
      <c r="E485" s="70">
        <v>1</v>
      </c>
      <c r="F485" s="71">
        <v>3.25</v>
      </c>
      <c r="G485" s="71">
        <v>7.84</v>
      </c>
      <c r="H485" s="71">
        <v>3.25</v>
      </c>
      <c r="I485" s="71">
        <v>7.84</v>
      </c>
      <c r="J485" s="70" t="s">
        <v>459</v>
      </c>
      <c r="K485" s="70" t="s">
        <v>48</v>
      </c>
      <c r="L485" s="74">
        <v>46065</v>
      </c>
    </row>
    <row r="486" spans="1:12" hidden="1" x14ac:dyDescent="0.25">
      <c r="A486" s="70" t="s">
        <v>922</v>
      </c>
      <c r="B486" s="70" t="s">
        <v>1597</v>
      </c>
      <c r="C486" s="70" t="s">
        <v>1598</v>
      </c>
      <c r="D486" s="70">
        <v>3040</v>
      </c>
      <c r="E486" s="70">
        <v>-1</v>
      </c>
      <c r="F486" s="71">
        <v>3.29</v>
      </c>
      <c r="G486" s="71">
        <v>7.84</v>
      </c>
      <c r="H486" s="71">
        <v>-3.29</v>
      </c>
      <c r="I486" s="71">
        <v>-7.84</v>
      </c>
      <c r="J486" s="70" t="s">
        <v>459</v>
      </c>
      <c r="K486" s="70" t="s">
        <v>48</v>
      </c>
      <c r="L486" s="74">
        <v>46065</v>
      </c>
    </row>
    <row r="487" spans="1:12" hidden="1" x14ac:dyDescent="0.25">
      <c r="A487" s="70" t="s">
        <v>911</v>
      </c>
      <c r="B487" s="70" t="s">
        <v>1601</v>
      </c>
      <c r="C487" s="70" t="s">
        <v>1602</v>
      </c>
      <c r="D487" s="70">
        <v>3040</v>
      </c>
      <c r="E487" s="70">
        <v>1</v>
      </c>
      <c r="F487" s="71">
        <v>3.12</v>
      </c>
      <c r="G487" s="71">
        <v>7.84</v>
      </c>
      <c r="H487" s="71">
        <v>3.12</v>
      </c>
      <c r="I487" s="71">
        <v>7.84</v>
      </c>
      <c r="J487" s="70" t="s">
        <v>459</v>
      </c>
      <c r="K487" s="70" t="s">
        <v>48</v>
      </c>
      <c r="L487" s="74">
        <v>46065</v>
      </c>
    </row>
    <row r="488" spans="1:12" hidden="1" x14ac:dyDescent="0.25">
      <c r="A488" s="70" t="s">
        <v>922</v>
      </c>
      <c r="B488" s="70" t="s">
        <v>1515</v>
      </c>
      <c r="C488" s="70" t="s">
        <v>1516</v>
      </c>
      <c r="D488" s="70">
        <v>3040</v>
      </c>
      <c r="E488" s="70">
        <v>-1</v>
      </c>
      <c r="F488" s="71">
        <v>3.25</v>
      </c>
      <c r="G488" s="71">
        <v>7.84</v>
      </c>
      <c r="H488" s="71">
        <v>-3.25</v>
      </c>
      <c r="I488" s="71">
        <v>-7.84</v>
      </c>
      <c r="J488" s="70" t="s">
        <v>459</v>
      </c>
      <c r="K488" s="70" t="s">
        <v>48</v>
      </c>
      <c r="L488" s="74">
        <v>46065</v>
      </c>
    </row>
    <row r="489" spans="1:12" hidden="1" x14ac:dyDescent="0.25">
      <c r="A489" s="70" t="s">
        <v>911</v>
      </c>
      <c r="B489" s="70" t="s">
        <v>1603</v>
      </c>
      <c r="C489" s="70" t="s">
        <v>1604</v>
      </c>
      <c r="D489" s="70">
        <v>3040</v>
      </c>
      <c r="E489" s="70">
        <v>1</v>
      </c>
      <c r="F489" s="71">
        <v>15.392200000000001</v>
      </c>
      <c r="G489" s="71">
        <v>43.6</v>
      </c>
      <c r="H489" s="71">
        <v>15.392200000000001</v>
      </c>
      <c r="I489" s="71">
        <v>43.6</v>
      </c>
      <c r="J489" s="70" t="s">
        <v>459</v>
      </c>
      <c r="K489" s="70" t="s">
        <v>48</v>
      </c>
      <c r="L489" s="74">
        <v>46065</v>
      </c>
    </row>
    <row r="490" spans="1:12" hidden="1" x14ac:dyDescent="0.25">
      <c r="A490" s="70" t="s">
        <v>922</v>
      </c>
      <c r="B490" s="70" t="s">
        <v>1605</v>
      </c>
      <c r="C490" s="70" t="s">
        <v>1606</v>
      </c>
      <c r="D490" s="70">
        <v>3040</v>
      </c>
      <c r="E490" s="70">
        <v>-1</v>
      </c>
      <c r="F490" s="71">
        <v>13.1806</v>
      </c>
      <c r="G490" s="71">
        <v>37.33</v>
      </c>
      <c r="H490" s="71">
        <v>-13.1806</v>
      </c>
      <c r="I490" s="71">
        <v>-37.33</v>
      </c>
      <c r="J490" s="70" t="s">
        <v>459</v>
      </c>
      <c r="K490" s="70" t="s">
        <v>48</v>
      </c>
      <c r="L490" s="74">
        <v>46065</v>
      </c>
    </row>
    <row r="491" spans="1:12" hidden="1" x14ac:dyDescent="0.25">
      <c r="A491" s="70" t="s">
        <v>911</v>
      </c>
      <c r="B491" s="70" t="s">
        <v>1519</v>
      </c>
      <c r="C491" s="70" t="s">
        <v>1520</v>
      </c>
      <c r="D491" s="70">
        <v>3040</v>
      </c>
      <c r="E491" s="70">
        <v>3</v>
      </c>
      <c r="F491" s="71">
        <v>8.9034294117647104</v>
      </c>
      <c r="G491" s="71">
        <v>30.34</v>
      </c>
      <c r="H491" s="71">
        <v>26.710288235294101</v>
      </c>
      <c r="I491" s="71">
        <v>91.02</v>
      </c>
      <c r="J491" s="70" t="s">
        <v>459</v>
      </c>
      <c r="K491" s="70" t="s">
        <v>48</v>
      </c>
      <c r="L491" s="74">
        <v>46065</v>
      </c>
    </row>
    <row r="492" spans="1:12" hidden="1" x14ac:dyDescent="0.25">
      <c r="A492" s="70" t="s">
        <v>922</v>
      </c>
      <c r="B492" s="70" t="s">
        <v>1607</v>
      </c>
      <c r="C492" s="70" t="s">
        <v>1608</v>
      </c>
      <c r="D492" s="70">
        <v>3040</v>
      </c>
      <c r="E492" s="70">
        <v>-3</v>
      </c>
      <c r="F492" s="71">
        <v>7.7894529411764699</v>
      </c>
      <c r="G492" s="71">
        <v>27.9</v>
      </c>
      <c r="H492" s="71">
        <v>-23.368358823529402</v>
      </c>
      <c r="I492" s="71">
        <v>-83.7</v>
      </c>
      <c r="J492" s="70" t="s">
        <v>459</v>
      </c>
      <c r="K492" s="70" t="s">
        <v>48</v>
      </c>
      <c r="L492" s="74">
        <v>46065</v>
      </c>
    </row>
    <row r="493" spans="1:12" hidden="1" x14ac:dyDescent="0.25">
      <c r="A493" s="70" t="s">
        <v>911</v>
      </c>
      <c r="B493" s="70" t="s">
        <v>1609</v>
      </c>
      <c r="C493" s="70" t="s">
        <v>1610</v>
      </c>
      <c r="D493" s="70">
        <v>3040</v>
      </c>
      <c r="E493" s="70">
        <v>3</v>
      </c>
      <c r="F493" s="71">
        <v>24.831900000000001</v>
      </c>
      <c r="G493" s="71">
        <v>40.46</v>
      </c>
      <c r="H493" s="71">
        <v>74.495699999999999</v>
      </c>
      <c r="I493" s="71">
        <v>121.38</v>
      </c>
      <c r="J493" s="70" t="s">
        <v>459</v>
      </c>
      <c r="K493" s="70" t="s">
        <v>48</v>
      </c>
      <c r="L493" s="74">
        <v>46065</v>
      </c>
    </row>
    <row r="494" spans="1:12" hidden="1" x14ac:dyDescent="0.25">
      <c r="A494" s="70" t="s">
        <v>922</v>
      </c>
      <c r="B494" s="70" t="s">
        <v>1611</v>
      </c>
      <c r="C494" s="70" t="s">
        <v>1612</v>
      </c>
      <c r="D494" s="70">
        <v>3040</v>
      </c>
      <c r="E494" s="70">
        <v>-3</v>
      </c>
      <c r="F494" s="71">
        <v>23.3182714285714</v>
      </c>
      <c r="G494" s="71">
        <v>37.93</v>
      </c>
      <c r="H494" s="71">
        <v>-69.954814285714207</v>
      </c>
      <c r="I494" s="71">
        <v>-113.79</v>
      </c>
      <c r="J494" s="70" t="s">
        <v>459</v>
      </c>
      <c r="K494" s="70" t="s">
        <v>48</v>
      </c>
      <c r="L494" s="74">
        <v>46065</v>
      </c>
    </row>
    <row r="495" spans="1:12" hidden="1" x14ac:dyDescent="0.25">
      <c r="A495" s="70" t="s">
        <v>911</v>
      </c>
      <c r="B495" s="70" t="s">
        <v>1613</v>
      </c>
      <c r="C495" s="70" t="s">
        <v>1614</v>
      </c>
      <c r="D495" s="70">
        <v>3040</v>
      </c>
      <c r="E495" s="70">
        <v>2</v>
      </c>
      <c r="F495" s="71">
        <v>37.1877</v>
      </c>
      <c r="G495" s="71">
        <v>90.63</v>
      </c>
      <c r="H495" s="71">
        <v>74.375399999999999</v>
      </c>
      <c r="I495" s="71">
        <v>181.26</v>
      </c>
      <c r="J495" s="70" t="s">
        <v>459</v>
      </c>
      <c r="K495" s="70" t="s">
        <v>48</v>
      </c>
      <c r="L495" s="74">
        <v>46065</v>
      </c>
    </row>
    <row r="496" spans="1:12" hidden="1" x14ac:dyDescent="0.25">
      <c r="A496" s="70" t="s">
        <v>922</v>
      </c>
      <c r="B496" s="70" t="s">
        <v>1615</v>
      </c>
      <c r="C496" s="70" t="s">
        <v>1616</v>
      </c>
      <c r="D496" s="70">
        <v>3040</v>
      </c>
      <c r="E496" s="70">
        <v>-2</v>
      </c>
      <c r="F496" s="71">
        <v>34.628399999999999</v>
      </c>
      <c r="G496" s="71">
        <v>86.1</v>
      </c>
      <c r="H496" s="71">
        <v>-69.256799999999998</v>
      </c>
      <c r="I496" s="71">
        <v>-172.2</v>
      </c>
      <c r="J496" s="70" t="s">
        <v>459</v>
      </c>
      <c r="K496" s="70" t="s">
        <v>48</v>
      </c>
      <c r="L496" s="74">
        <v>46065</v>
      </c>
    </row>
    <row r="497" spans="1:12" hidden="1" x14ac:dyDescent="0.25">
      <c r="A497" s="70" t="s">
        <v>911</v>
      </c>
      <c r="B497" s="70" t="s">
        <v>1617</v>
      </c>
      <c r="C497" s="70" t="s">
        <v>1618</v>
      </c>
      <c r="D497" s="70">
        <v>3040</v>
      </c>
      <c r="E497" s="70">
        <v>1</v>
      </c>
      <c r="F497" s="71">
        <v>34.090000000000003</v>
      </c>
      <c r="G497" s="71">
        <v>50.91</v>
      </c>
      <c r="H497" s="71">
        <v>34.090000000000003</v>
      </c>
      <c r="I497" s="71">
        <v>50.91</v>
      </c>
      <c r="J497" s="70" t="s">
        <v>459</v>
      </c>
      <c r="K497" s="70" t="s">
        <v>48</v>
      </c>
      <c r="L497" s="74">
        <v>46065</v>
      </c>
    </row>
    <row r="498" spans="1:12" hidden="1" x14ac:dyDescent="0.25">
      <c r="A498" s="70" t="s">
        <v>922</v>
      </c>
      <c r="B498" s="70" t="s">
        <v>1619</v>
      </c>
      <c r="C498" s="70" t="s">
        <v>1620</v>
      </c>
      <c r="D498" s="70">
        <v>3040</v>
      </c>
      <c r="E498" s="70">
        <v>-1</v>
      </c>
      <c r="F498" s="71">
        <v>20.314</v>
      </c>
      <c r="G498" s="71">
        <v>30.34</v>
      </c>
      <c r="H498" s="71">
        <v>-20.314</v>
      </c>
      <c r="I498" s="71">
        <v>-30.34</v>
      </c>
      <c r="J498" s="70" t="s">
        <v>459</v>
      </c>
      <c r="K498" s="70" t="s">
        <v>48</v>
      </c>
      <c r="L498" s="74">
        <v>46065</v>
      </c>
    </row>
    <row r="499" spans="1:12" hidden="1" x14ac:dyDescent="0.25">
      <c r="A499" s="70" t="s">
        <v>1367</v>
      </c>
      <c r="B499" s="70" t="s">
        <v>1621</v>
      </c>
      <c r="C499" s="70" t="s">
        <v>1622</v>
      </c>
      <c r="D499" s="70">
        <v>3040</v>
      </c>
      <c r="E499" s="70">
        <v>-1</v>
      </c>
      <c r="F499" s="71">
        <v>1.99</v>
      </c>
      <c r="G499" s="71">
        <v>7.96</v>
      </c>
      <c r="H499" s="71">
        <v>-1.99</v>
      </c>
      <c r="I499" s="71">
        <v>-7.96</v>
      </c>
      <c r="J499" s="70" t="s">
        <v>459</v>
      </c>
      <c r="K499" s="70" t="s">
        <v>48</v>
      </c>
      <c r="L499" s="74">
        <v>46065</v>
      </c>
    </row>
    <row r="500" spans="1:12" hidden="1" x14ac:dyDescent="0.25">
      <c r="A500" s="70" t="s">
        <v>877</v>
      </c>
      <c r="B500" s="70" t="s">
        <v>1623</v>
      </c>
      <c r="C500" s="70" t="s">
        <v>1624</v>
      </c>
      <c r="D500" s="70">
        <v>1508</v>
      </c>
      <c r="E500" s="70">
        <v>-1</v>
      </c>
      <c r="F500" s="71">
        <v>74.499700000000004</v>
      </c>
      <c r="G500" s="71">
        <v>103.7</v>
      </c>
      <c r="H500" s="71">
        <v>-74.499700000000004</v>
      </c>
      <c r="I500" s="71">
        <v>-103.7</v>
      </c>
      <c r="J500" s="70" t="s">
        <v>468</v>
      </c>
      <c r="K500" s="70" t="s">
        <v>48</v>
      </c>
      <c r="L500" s="74">
        <v>46078</v>
      </c>
    </row>
    <row r="501" spans="1:12" hidden="1" x14ac:dyDescent="0.25">
      <c r="A501" s="70" t="s">
        <v>877</v>
      </c>
      <c r="B501" s="70" t="s">
        <v>1625</v>
      </c>
      <c r="C501" s="70" t="s">
        <v>1626</v>
      </c>
      <c r="D501" s="70">
        <v>1508</v>
      </c>
      <c r="E501" s="70">
        <v>-1</v>
      </c>
      <c r="F501" s="71">
        <v>27.9090666666667</v>
      </c>
      <c r="G501" s="71">
        <v>72.62</v>
      </c>
      <c r="H501" s="71">
        <v>-27.9090666666667</v>
      </c>
      <c r="I501" s="71">
        <v>-72.62</v>
      </c>
      <c r="J501" s="70" t="s">
        <v>468</v>
      </c>
      <c r="K501" s="70" t="s">
        <v>48</v>
      </c>
      <c r="L501" s="74">
        <v>46078</v>
      </c>
    </row>
    <row r="502" spans="1:12" hidden="1" x14ac:dyDescent="0.25">
      <c r="A502" s="70" t="s">
        <v>877</v>
      </c>
      <c r="B502" s="70" t="s">
        <v>986</v>
      </c>
      <c r="C502" s="70" t="s">
        <v>987</v>
      </c>
      <c r="D502" s="70">
        <v>1508</v>
      </c>
      <c r="E502" s="70">
        <v>-4</v>
      </c>
      <c r="F502" s="71">
        <v>4.7413999999999996</v>
      </c>
      <c r="G502" s="71">
        <v>13.76</v>
      </c>
      <c r="H502" s="71">
        <v>-18.965599999999998</v>
      </c>
      <c r="I502" s="71">
        <v>-55.04</v>
      </c>
      <c r="J502" s="70" t="s">
        <v>468</v>
      </c>
      <c r="K502" s="70" t="s">
        <v>48</v>
      </c>
      <c r="L502" s="74">
        <v>46078</v>
      </c>
    </row>
    <row r="503" spans="1:12" hidden="1" x14ac:dyDescent="0.25">
      <c r="A503" s="70" t="s">
        <v>877</v>
      </c>
      <c r="B503" s="70" t="s">
        <v>1627</v>
      </c>
      <c r="C503" s="70" t="s">
        <v>1628</v>
      </c>
      <c r="D503" s="70">
        <v>1508</v>
      </c>
      <c r="E503" s="70">
        <v>-1</v>
      </c>
      <c r="F503" s="71">
        <v>17.492999999999999</v>
      </c>
      <c r="G503" s="71">
        <v>25.61</v>
      </c>
      <c r="H503" s="71">
        <v>-17.492999999999999</v>
      </c>
      <c r="I503" s="71">
        <v>-25.61</v>
      </c>
      <c r="J503" s="70" t="s">
        <v>468</v>
      </c>
      <c r="K503" s="70" t="s">
        <v>48</v>
      </c>
      <c r="L503" s="74">
        <v>46078</v>
      </c>
    </row>
    <row r="504" spans="1:12" hidden="1" x14ac:dyDescent="0.25">
      <c r="A504" s="70" t="s">
        <v>877</v>
      </c>
      <c r="B504" s="70" t="s">
        <v>1629</v>
      </c>
      <c r="C504" s="70" t="s">
        <v>1630</v>
      </c>
      <c r="D504" s="70">
        <v>1508</v>
      </c>
      <c r="E504" s="70">
        <v>-1</v>
      </c>
      <c r="F504" s="71">
        <v>10.302</v>
      </c>
      <c r="G504" s="71">
        <v>22.9</v>
      </c>
      <c r="H504" s="71">
        <v>-10.302</v>
      </c>
      <c r="I504" s="71">
        <v>-22.9</v>
      </c>
      <c r="J504" s="70" t="s">
        <v>468</v>
      </c>
      <c r="K504" s="70" t="s">
        <v>48</v>
      </c>
      <c r="L504" s="74">
        <v>46078</v>
      </c>
    </row>
    <row r="505" spans="1:12" hidden="1" x14ac:dyDescent="0.25">
      <c r="A505" s="70" t="s">
        <v>877</v>
      </c>
      <c r="B505" s="70" t="s">
        <v>1631</v>
      </c>
      <c r="C505" s="70" t="s">
        <v>1632</v>
      </c>
      <c r="D505" s="70">
        <v>1508</v>
      </c>
      <c r="E505" s="70">
        <v>-1</v>
      </c>
      <c r="F505" s="71">
        <v>13.2041</v>
      </c>
      <c r="G505" s="71">
        <v>20.39</v>
      </c>
      <c r="H505" s="71">
        <v>-13.2041</v>
      </c>
      <c r="I505" s="71">
        <v>-20.39</v>
      </c>
      <c r="J505" s="70" t="s">
        <v>468</v>
      </c>
      <c r="K505" s="70" t="s">
        <v>48</v>
      </c>
      <c r="L505" s="74">
        <v>46078</v>
      </c>
    </row>
    <row r="506" spans="1:12" hidden="1" x14ac:dyDescent="0.25">
      <c r="A506" s="70" t="s">
        <v>877</v>
      </c>
      <c r="B506" s="70" t="s">
        <v>1633</v>
      </c>
      <c r="C506" s="70" t="s">
        <v>1634</v>
      </c>
      <c r="D506" s="70">
        <v>1508</v>
      </c>
      <c r="E506" s="70">
        <v>-1</v>
      </c>
      <c r="F506" s="71">
        <v>6.61</v>
      </c>
      <c r="G506" s="71">
        <v>15.63</v>
      </c>
      <c r="H506" s="71">
        <v>-6.61</v>
      </c>
      <c r="I506" s="71">
        <v>-15.63</v>
      </c>
      <c r="J506" s="70" t="s">
        <v>468</v>
      </c>
      <c r="K506" s="70" t="s">
        <v>48</v>
      </c>
      <c r="L506" s="74">
        <v>46078</v>
      </c>
    </row>
    <row r="507" spans="1:12" hidden="1" x14ac:dyDescent="0.25">
      <c r="A507" s="70" t="s">
        <v>877</v>
      </c>
      <c r="B507" s="70" t="s">
        <v>1635</v>
      </c>
      <c r="C507" s="70" t="s">
        <v>1636</v>
      </c>
      <c r="D507" s="70">
        <v>1508</v>
      </c>
      <c r="E507" s="70">
        <v>-1</v>
      </c>
      <c r="F507" s="71">
        <v>4.7293000000000003</v>
      </c>
      <c r="G507" s="71">
        <v>13.88</v>
      </c>
      <c r="H507" s="71">
        <v>-4.7293000000000003</v>
      </c>
      <c r="I507" s="71">
        <v>-13.88</v>
      </c>
      <c r="J507" s="70" t="s">
        <v>468</v>
      </c>
      <c r="K507" s="70" t="s">
        <v>48</v>
      </c>
      <c r="L507" s="74">
        <v>46078</v>
      </c>
    </row>
    <row r="508" spans="1:12" hidden="1" x14ac:dyDescent="0.25">
      <c r="A508" s="70" t="s">
        <v>877</v>
      </c>
      <c r="B508" s="70" t="s">
        <v>1637</v>
      </c>
      <c r="C508" s="70" t="s">
        <v>1638</v>
      </c>
      <c r="D508" s="70">
        <v>1508</v>
      </c>
      <c r="E508" s="70">
        <v>-2</v>
      </c>
      <c r="F508" s="71">
        <v>2.9335</v>
      </c>
      <c r="G508" s="71">
        <v>5.86</v>
      </c>
      <c r="H508" s="71">
        <v>-5.867</v>
      </c>
      <c r="I508" s="71">
        <v>-11.72</v>
      </c>
      <c r="J508" s="70" t="s">
        <v>468</v>
      </c>
      <c r="K508" s="70" t="s">
        <v>48</v>
      </c>
      <c r="L508" s="74">
        <v>46078</v>
      </c>
    </row>
    <row r="509" spans="1:12" hidden="1" x14ac:dyDescent="0.25">
      <c r="A509" s="70" t="s">
        <v>877</v>
      </c>
      <c r="B509" s="70" t="s">
        <v>715</v>
      </c>
      <c r="C509" s="70" t="s">
        <v>716</v>
      </c>
      <c r="D509" s="70">
        <v>1508</v>
      </c>
      <c r="E509" s="70">
        <v>-1</v>
      </c>
      <c r="F509" s="71">
        <v>3.4876</v>
      </c>
      <c r="G509" s="71">
        <v>6.65</v>
      </c>
      <c r="H509" s="71">
        <v>-3.4876</v>
      </c>
      <c r="I509" s="71">
        <v>-6.65</v>
      </c>
      <c r="J509" s="70" t="s">
        <v>468</v>
      </c>
      <c r="K509" s="70" t="s">
        <v>48</v>
      </c>
      <c r="L509" s="74">
        <v>46078</v>
      </c>
    </row>
    <row r="510" spans="1:12" hidden="1" x14ac:dyDescent="0.25">
      <c r="A510" s="70" t="s">
        <v>877</v>
      </c>
      <c r="B510" s="70" t="s">
        <v>1639</v>
      </c>
      <c r="C510" s="70" t="s">
        <v>1640</v>
      </c>
      <c r="D510" s="70">
        <v>1508</v>
      </c>
      <c r="E510" s="70">
        <v>-1</v>
      </c>
      <c r="F510" s="71">
        <v>2.2717999999999998</v>
      </c>
      <c r="G510" s="71">
        <v>5.76</v>
      </c>
      <c r="H510" s="71">
        <v>-2.2717999999999998</v>
      </c>
      <c r="I510" s="71">
        <v>-5.76</v>
      </c>
      <c r="J510" s="70" t="s">
        <v>468</v>
      </c>
      <c r="K510" s="70" t="s">
        <v>48</v>
      </c>
      <c r="L510" s="74">
        <v>46078</v>
      </c>
    </row>
    <row r="511" spans="1:12" hidden="1" x14ac:dyDescent="0.25">
      <c r="A511" s="70" t="s">
        <v>877</v>
      </c>
      <c r="B511" s="70" t="s">
        <v>1641</v>
      </c>
      <c r="C511" s="70" t="s">
        <v>1642</v>
      </c>
      <c r="D511" s="70">
        <v>1508</v>
      </c>
      <c r="E511" s="70">
        <v>-1</v>
      </c>
      <c r="F511" s="71">
        <v>1.5812999999999999</v>
      </c>
      <c r="G511" s="71">
        <v>4.87</v>
      </c>
      <c r="H511" s="71">
        <v>-1.5812999999999999</v>
      </c>
      <c r="I511" s="71">
        <v>-4.87</v>
      </c>
      <c r="J511" s="70" t="s">
        <v>468</v>
      </c>
      <c r="K511" s="70" t="s">
        <v>48</v>
      </c>
      <c r="L511" s="74">
        <v>46078</v>
      </c>
    </row>
    <row r="512" spans="1:12" hidden="1" x14ac:dyDescent="0.25">
      <c r="A512" s="70" t="s">
        <v>877</v>
      </c>
      <c r="B512" s="70" t="s">
        <v>806</v>
      </c>
      <c r="C512" s="70" t="s">
        <v>807</v>
      </c>
      <c r="D512" s="70">
        <v>1508</v>
      </c>
      <c r="E512" s="70">
        <v>-1</v>
      </c>
      <c r="F512" s="71">
        <v>2.3004333333333302</v>
      </c>
      <c r="G512" s="71">
        <v>3.78</v>
      </c>
      <c r="H512" s="71">
        <v>-2.3004333333333302</v>
      </c>
      <c r="I512" s="71">
        <v>-3.78</v>
      </c>
      <c r="J512" s="70" t="s">
        <v>468</v>
      </c>
      <c r="K512" s="70" t="s">
        <v>48</v>
      </c>
      <c r="L512" s="74">
        <v>46078</v>
      </c>
    </row>
    <row r="513" spans="1:12" hidden="1" x14ac:dyDescent="0.25">
      <c r="A513" s="70" t="s">
        <v>877</v>
      </c>
      <c r="B513" s="70" t="s">
        <v>1643</v>
      </c>
      <c r="C513" s="70" t="s">
        <v>1644</v>
      </c>
      <c r="D513" s="70">
        <v>1508</v>
      </c>
      <c r="E513" s="70">
        <v>-1</v>
      </c>
      <c r="F513" s="71">
        <v>1.5204</v>
      </c>
      <c r="G513" s="71">
        <v>3.3</v>
      </c>
      <c r="H513" s="71">
        <v>-1.5204</v>
      </c>
      <c r="I513" s="71">
        <v>-3.3</v>
      </c>
      <c r="J513" s="70" t="s">
        <v>468</v>
      </c>
      <c r="K513" s="70" t="s">
        <v>48</v>
      </c>
      <c r="L513" s="74">
        <v>46078</v>
      </c>
    </row>
    <row r="514" spans="1:12" hidden="1" x14ac:dyDescent="0.25">
      <c r="A514" s="70" t="s">
        <v>877</v>
      </c>
      <c r="B514" s="70" t="s">
        <v>1645</v>
      </c>
      <c r="C514" s="70" t="s">
        <v>1646</v>
      </c>
      <c r="D514" s="70">
        <v>1508</v>
      </c>
      <c r="E514" s="70">
        <v>-1</v>
      </c>
      <c r="F514" s="71">
        <v>0.62429999999999997</v>
      </c>
      <c r="G514" s="71">
        <v>1.37</v>
      </c>
      <c r="H514" s="71">
        <v>-0.62429999999999997</v>
      </c>
      <c r="I514" s="71">
        <v>-1.37</v>
      </c>
      <c r="J514" s="70" t="s">
        <v>468</v>
      </c>
      <c r="K514" s="70" t="s">
        <v>48</v>
      </c>
      <c r="L514" s="74">
        <v>46078</v>
      </c>
    </row>
    <row r="515" spans="1:12" hidden="1" x14ac:dyDescent="0.25">
      <c r="A515" s="70" t="s">
        <v>898</v>
      </c>
      <c r="B515" s="70" t="s">
        <v>1647</v>
      </c>
      <c r="C515" s="70" t="s">
        <v>1648</v>
      </c>
      <c r="D515" s="70">
        <v>1508</v>
      </c>
      <c r="E515" s="70">
        <v>1</v>
      </c>
      <c r="F515" s="71">
        <v>95.655600000000007</v>
      </c>
      <c r="G515" s="71">
        <v>140.06</v>
      </c>
      <c r="H515" s="71">
        <v>95.655600000000007</v>
      </c>
      <c r="I515" s="71">
        <v>140.06</v>
      </c>
      <c r="J515" s="70" t="s">
        <v>468</v>
      </c>
      <c r="K515" s="70" t="s">
        <v>48</v>
      </c>
      <c r="L515" s="74">
        <v>46078</v>
      </c>
    </row>
    <row r="516" spans="1:12" hidden="1" x14ac:dyDescent="0.25">
      <c r="A516" s="70" t="s">
        <v>898</v>
      </c>
      <c r="B516" s="70" t="s">
        <v>1649</v>
      </c>
      <c r="C516" s="70" t="s">
        <v>1650</v>
      </c>
      <c r="D516" s="70">
        <v>1508</v>
      </c>
      <c r="E516" s="70">
        <v>1</v>
      </c>
      <c r="F516" s="71">
        <v>57.956400000000002</v>
      </c>
      <c r="G516" s="71">
        <v>84.85</v>
      </c>
      <c r="H516" s="71">
        <v>57.956400000000002</v>
      </c>
      <c r="I516" s="71">
        <v>84.85</v>
      </c>
      <c r="J516" s="70" t="s">
        <v>468</v>
      </c>
      <c r="K516" s="70" t="s">
        <v>48</v>
      </c>
      <c r="L516" s="74">
        <v>46078</v>
      </c>
    </row>
    <row r="517" spans="1:12" hidden="1" x14ac:dyDescent="0.25">
      <c r="A517" s="70" t="s">
        <v>898</v>
      </c>
      <c r="B517" s="70" t="s">
        <v>1651</v>
      </c>
      <c r="C517" s="70" t="s">
        <v>1652</v>
      </c>
      <c r="D517" s="70">
        <v>1508</v>
      </c>
      <c r="E517" s="70">
        <v>1</v>
      </c>
      <c r="F517" s="71">
        <v>52.601399999999998</v>
      </c>
      <c r="G517" s="71">
        <v>77.03</v>
      </c>
      <c r="H517" s="71">
        <v>52.601399999999998</v>
      </c>
      <c r="I517" s="71">
        <v>77.03</v>
      </c>
      <c r="J517" s="70" t="s">
        <v>468</v>
      </c>
      <c r="K517" s="70" t="s">
        <v>48</v>
      </c>
      <c r="L517" s="74">
        <v>46078</v>
      </c>
    </row>
    <row r="518" spans="1:12" hidden="1" x14ac:dyDescent="0.25">
      <c r="A518" s="70" t="s">
        <v>898</v>
      </c>
      <c r="B518" s="70" t="s">
        <v>1653</v>
      </c>
      <c r="C518" s="70" t="s">
        <v>1654</v>
      </c>
      <c r="D518" s="70">
        <v>1508</v>
      </c>
      <c r="E518" s="70">
        <v>1</v>
      </c>
      <c r="F518" s="71">
        <v>30.561399999999999</v>
      </c>
      <c r="G518" s="71">
        <v>44.75</v>
      </c>
      <c r="H518" s="71">
        <v>30.561399999999999</v>
      </c>
      <c r="I518" s="71">
        <v>44.75</v>
      </c>
      <c r="J518" s="70" t="s">
        <v>468</v>
      </c>
      <c r="K518" s="70" t="s">
        <v>48</v>
      </c>
      <c r="L518" s="74">
        <v>46078</v>
      </c>
    </row>
    <row r="519" spans="1:12" hidden="1" x14ac:dyDescent="0.25">
      <c r="A519" s="70" t="s">
        <v>898</v>
      </c>
      <c r="B519" s="70" t="s">
        <v>784</v>
      </c>
      <c r="C519" s="70" t="s">
        <v>1655</v>
      </c>
      <c r="D519" s="70">
        <v>1508</v>
      </c>
      <c r="E519" s="70">
        <v>1</v>
      </c>
      <c r="F519" s="71">
        <v>27.602799999999998</v>
      </c>
      <c r="G519" s="71">
        <v>37.950000000000003</v>
      </c>
      <c r="H519" s="71">
        <v>27.602799999999998</v>
      </c>
      <c r="I519" s="71">
        <v>37.950000000000003</v>
      </c>
      <c r="J519" s="70" t="s">
        <v>468</v>
      </c>
      <c r="K519" s="70" t="s">
        <v>48</v>
      </c>
      <c r="L519" s="74">
        <v>46078</v>
      </c>
    </row>
    <row r="520" spans="1:12" hidden="1" x14ac:dyDescent="0.25">
      <c r="A520" s="70" t="s">
        <v>898</v>
      </c>
      <c r="B520" s="70" t="s">
        <v>1656</v>
      </c>
      <c r="C520" s="70" t="s">
        <v>1657</v>
      </c>
      <c r="D520" s="70">
        <v>1508</v>
      </c>
      <c r="E520" s="70">
        <v>1</v>
      </c>
      <c r="F520" s="71">
        <v>10.093999999999999</v>
      </c>
      <c r="G520" s="71">
        <v>24.91</v>
      </c>
      <c r="H520" s="71">
        <v>10.093999999999999</v>
      </c>
      <c r="I520" s="71">
        <v>24.91</v>
      </c>
      <c r="J520" s="70" t="s">
        <v>468</v>
      </c>
      <c r="K520" s="70" t="s">
        <v>48</v>
      </c>
      <c r="L520" s="74">
        <v>46078</v>
      </c>
    </row>
    <row r="521" spans="1:12" hidden="1" x14ac:dyDescent="0.25">
      <c r="A521" s="70" t="s">
        <v>898</v>
      </c>
      <c r="B521" s="70" t="s">
        <v>1658</v>
      </c>
      <c r="C521" s="70" t="s">
        <v>1659</v>
      </c>
      <c r="D521" s="70">
        <v>1508</v>
      </c>
      <c r="E521" s="70">
        <v>5</v>
      </c>
      <c r="F521" s="71">
        <v>1.2334000000000001</v>
      </c>
      <c r="G521" s="71">
        <v>3.89</v>
      </c>
      <c r="H521" s="71">
        <v>6.1669999999999998</v>
      </c>
      <c r="I521" s="71">
        <v>19.45</v>
      </c>
      <c r="J521" s="70" t="s">
        <v>468</v>
      </c>
      <c r="K521" s="70" t="s">
        <v>48</v>
      </c>
      <c r="L521" s="74">
        <v>46078</v>
      </c>
    </row>
    <row r="522" spans="1:12" hidden="1" x14ac:dyDescent="0.25">
      <c r="A522" s="70" t="s">
        <v>898</v>
      </c>
      <c r="B522" s="70" t="s">
        <v>1660</v>
      </c>
      <c r="C522" s="70" t="s">
        <v>1661</v>
      </c>
      <c r="D522" s="70">
        <v>1508</v>
      </c>
      <c r="E522" s="70">
        <v>1</v>
      </c>
      <c r="F522" s="71">
        <v>4.1931000000000003</v>
      </c>
      <c r="G522" s="71">
        <v>13.24</v>
      </c>
      <c r="H522" s="71">
        <v>4.1931000000000003</v>
      </c>
      <c r="I522" s="71">
        <v>13.24</v>
      </c>
      <c r="J522" s="70" t="s">
        <v>468</v>
      </c>
      <c r="K522" s="70" t="s">
        <v>48</v>
      </c>
      <c r="L522" s="74">
        <v>46078</v>
      </c>
    </row>
    <row r="523" spans="1:12" hidden="1" x14ac:dyDescent="0.25">
      <c r="A523" s="70" t="s">
        <v>898</v>
      </c>
      <c r="B523" s="70" t="s">
        <v>1662</v>
      </c>
      <c r="C523" s="70" t="s">
        <v>1663</v>
      </c>
      <c r="D523" s="70">
        <v>1508</v>
      </c>
      <c r="E523" s="70">
        <v>1</v>
      </c>
      <c r="F523" s="71">
        <v>6.9500111111111096</v>
      </c>
      <c r="G523" s="71">
        <v>11.42</v>
      </c>
      <c r="H523" s="71">
        <v>6.9500111111111096</v>
      </c>
      <c r="I523" s="71">
        <v>11.42</v>
      </c>
      <c r="J523" s="70" t="s">
        <v>468</v>
      </c>
      <c r="K523" s="70" t="s">
        <v>48</v>
      </c>
      <c r="L523" s="74">
        <v>46078</v>
      </c>
    </row>
    <row r="524" spans="1:12" hidden="1" x14ac:dyDescent="0.25">
      <c r="A524" s="70" t="s">
        <v>898</v>
      </c>
      <c r="B524" s="70" t="s">
        <v>1664</v>
      </c>
      <c r="C524" s="70" t="s">
        <v>1665</v>
      </c>
      <c r="D524" s="70">
        <v>1508</v>
      </c>
      <c r="E524" s="70">
        <v>1</v>
      </c>
      <c r="F524" s="71">
        <v>3.4388999999999998</v>
      </c>
      <c r="G524" s="71">
        <v>8.86</v>
      </c>
      <c r="H524" s="71">
        <v>3.4388999999999998</v>
      </c>
      <c r="I524" s="71">
        <v>8.86</v>
      </c>
      <c r="J524" s="70" t="s">
        <v>468</v>
      </c>
      <c r="K524" s="70" t="s">
        <v>48</v>
      </c>
      <c r="L524" s="74">
        <v>46078</v>
      </c>
    </row>
    <row r="525" spans="1:12" hidden="1" x14ac:dyDescent="0.25">
      <c r="A525" s="70" t="s">
        <v>898</v>
      </c>
      <c r="B525" s="70" t="s">
        <v>1666</v>
      </c>
      <c r="C525" s="70" t="s">
        <v>1667</v>
      </c>
      <c r="D525" s="70">
        <v>1508</v>
      </c>
      <c r="E525" s="70">
        <v>2</v>
      </c>
      <c r="F525" s="71">
        <v>1.6</v>
      </c>
      <c r="G525" s="71">
        <v>2.4500000000000002</v>
      </c>
      <c r="H525" s="71">
        <v>3.2</v>
      </c>
      <c r="I525" s="71">
        <v>4.9000000000000004</v>
      </c>
      <c r="J525" s="70" t="s">
        <v>468</v>
      </c>
      <c r="K525" s="70" t="s">
        <v>48</v>
      </c>
      <c r="L525" s="74">
        <v>46078</v>
      </c>
    </row>
    <row r="526" spans="1:12" hidden="1" x14ac:dyDescent="0.25">
      <c r="A526" s="70" t="s">
        <v>911</v>
      </c>
      <c r="B526" s="70" t="s">
        <v>1668</v>
      </c>
      <c r="C526" s="70" t="s">
        <v>1669</v>
      </c>
      <c r="D526" s="70">
        <v>1508</v>
      </c>
      <c r="E526" s="70">
        <v>1</v>
      </c>
      <c r="F526" s="71">
        <v>1.1127</v>
      </c>
      <c r="G526" s="71">
        <v>3.96</v>
      </c>
      <c r="H526" s="71">
        <v>1.1127</v>
      </c>
      <c r="I526" s="71">
        <v>3.96</v>
      </c>
      <c r="J526" s="70" t="s">
        <v>468</v>
      </c>
      <c r="K526" s="70" t="s">
        <v>48</v>
      </c>
      <c r="L526" s="74">
        <v>46078</v>
      </c>
    </row>
    <row r="527" spans="1:12" hidden="1" x14ac:dyDescent="0.25">
      <c r="A527" s="70" t="s">
        <v>922</v>
      </c>
      <c r="B527" s="70" t="s">
        <v>1670</v>
      </c>
      <c r="C527" s="70" t="s">
        <v>1671</v>
      </c>
      <c r="D527" s="70">
        <v>1508</v>
      </c>
      <c r="E527" s="70">
        <v>-1</v>
      </c>
      <c r="F527" s="71">
        <v>3.6446749999999999</v>
      </c>
      <c r="G527" s="71">
        <v>5.44</v>
      </c>
      <c r="H527" s="71">
        <v>-3.6446749999999999</v>
      </c>
      <c r="I527" s="71">
        <v>-5.44</v>
      </c>
      <c r="J527" s="70" t="s">
        <v>468</v>
      </c>
      <c r="K527" s="70" t="s">
        <v>48</v>
      </c>
      <c r="L527" s="74">
        <v>46078</v>
      </c>
    </row>
    <row r="528" spans="1:12" hidden="1" x14ac:dyDescent="0.25">
      <c r="A528" s="70" t="s">
        <v>911</v>
      </c>
      <c r="B528" s="70" t="s">
        <v>1672</v>
      </c>
      <c r="C528" s="70" t="s">
        <v>1673</v>
      </c>
      <c r="D528" s="70">
        <v>1508</v>
      </c>
      <c r="E528" s="70">
        <v>1</v>
      </c>
      <c r="F528" s="71">
        <v>29.776399999999999</v>
      </c>
      <c r="G528" s="71">
        <v>42.08</v>
      </c>
      <c r="H528" s="71">
        <v>29.776399999999999</v>
      </c>
      <c r="I528" s="71">
        <v>42.08</v>
      </c>
      <c r="J528" s="70" t="s">
        <v>468</v>
      </c>
      <c r="K528" s="70" t="s">
        <v>48</v>
      </c>
      <c r="L528" s="74">
        <v>46078</v>
      </c>
    </row>
    <row r="529" spans="1:12" hidden="1" x14ac:dyDescent="0.25">
      <c r="A529" s="70" t="s">
        <v>922</v>
      </c>
      <c r="B529" s="70" t="s">
        <v>1674</v>
      </c>
      <c r="C529" s="70" t="s">
        <v>1675</v>
      </c>
      <c r="D529" s="70">
        <v>1508</v>
      </c>
      <c r="E529" s="70">
        <v>-1</v>
      </c>
      <c r="F529" s="71">
        <v>30.146799999999999</v>
      </c>
      <c r="G529" s="71">
        <v>42.08</v>
      </c>
      <c r="H529" s="71">
        <v>-30.146799999999999</v>
      </c>
      <c r="I529" s="71">
        <v>-42.08</v>
      </c>
      <c r="J529" s="70" t="s">
        <v>468</v>
      </c>
      <c r="K529" s="70" t="s">
        <v>48</v>
      </c>
      <c r="L529" s="74">
        <v>46078</v>
      </c>
    </row>
    <row r="530" spans="1:12" hidden="1" x14ac:dyDescent="0.25">
      <c r="A530" s="70" t="s">
        <v>911</v>
      </c>
      <c r="B530" s="70" t="s">
        <v>1011</v>
      </c>
      <c r="C530" s="70" t="s">
        <v>1012</v>
      </c>
      <c r="D530" s="70">
        <v>1508</v>
      </c>
      <c r="E530" s="70">
        <v>1</v>
      </c>
      <c r="F530" s="71">
        <v>30.208500000000001</v>
      </c>
      <c r="G530" s="71">
        <v>42.08</v>
      </c>
      <c r="H530" s="71">
        <v>30.208500000000001</v>
      </c>
      <c r="I530" s="71">
        <v>42.08</v>
      </c>
      <c r="J530" s="70" t="s">
        <v>468</v>
      </c>
      <c r="K530" s="70" t="s">
        <v>48</v>
      </c>
      <c r="L530" s="74">
        <v>46078</v>
      </c>
    </row>
    <row r="531" spans="1:12" hidden="1" x14ac:dyDescent="0.25">
      <c r="A531" s="70" t="s">
        <v>922</v>
      </c>
      <c r="B531" s="70" t="s">
        <v>1676</v>
      </c>
      <c r="C531" s="70" t="s">
        <v>1677</v>
      </c>
      <c r="D531" s="70">
        <v>1508</v>
      </c>
      <c r="E531" s="70">
        <v>-1</v>
      </c>
      <c r="F531" s="71">
        <v>29.897500000000001</v>
      </c>
      <c r="G531" s="71">
        <v>42.08</v>
      </c>
      <c r="H531" s="71">
        <v>-29.897500000000001</v>
      </c>
      <c r="I531" s="71">
        <v>-42.08</v>
      </c>
      <c r="J531" s="70" t="s">
        <v>468</v>
      </c>
      <c r="K531" s="70" t="s">
        <v>48</v>
      </c>
      <c r="L531" s="74">
        <v>46078</v>
      </c>
    </row>
    <row r="532" spans="1:12" hidden="1" x14ac:dyDescent="0.25">
      <c r="A532" s="70" t="s">
        <v>911</v>
      </c>
      <c r="B532" s="70" t="s">
        <v>1678</v>
      </c>
      <c r="C532" s="70" t="s">
        <v>1679</v>
      </c>
      <c r="D532" s="70">
        <v>1508</v>
      </c>
      <c r="E532" s="70">
        <v>1</v>
      </c>
      <c r="F532" s="71">
        <v>16.759799999999998</v>
      </c>
      <c r="G532" s="71">
        <v>33.119999999999997</v>
      </c>
      <c r="H532" s="71">
        <v>16.759799999999998</v>
      </c>
      <c r="I532" s="71">
        <v>33.119999999999997</v>
      </c>
      <c r="J532" s="70" t="s">
        <v>468</v>
      </c>
      <c r="K532" s="70" t="s">
        <v>48</v>
      </c>
      <c r="L532" s="74">
        <v>46078</v>
      </c>
    </row>
    <row r="533" spans="1:12" hidden="1" x14ac:dyDescent="0.25">
      <c r="A533" s="70" t="s">
        <v>922</v>
      </c>
      <c r="B533" s="70" t="s">
        <v>1190</v>
      </c>
      <c r="C533" s="70" t="s">
        <v>1191</v>
      </c>
      <c r="D533" s="70">
        <v>1508</v>
      </c>
      <c r="E533" s="70">
        <v>-1</v>
      </c>
      <c r="F533" s="71">
        <v>16.759799999999998</v>
      </c>
      <c r="G533" s="71">
        <v>33.119999999999997</v>
      </c>
      <c r="H533" s="71">
        <v>-16.759799999999998</v>
      </c>
      <c r="I533" s="71">
        <v>-33.119999999999997</v>
      </c>
      <c r="J533" s="70" t="s">
        <v>468</v>
      </c>
      <c r="K533" s="70" t="s">
        <v>48</v>
      </c>
      <c r="L533" s="74">
        <v>46078</v>
      </c>
    </row>
    <row r="534" spans="1:12" hidden="1" x14ac:dyDescent="0.25">
      <c r="A534" s="70" t="s">
        <v>911</v>
      </c>
      <c r="B534" s="70" t="s">
        <v>1680</v>
      </c>
      <c r="C534" s="70" t="s">
        <v>1681</v>
      </c>
      <c r="D534" s="70">
        <v>1508</v>
      </c>
      <c r="E534" s="70">
        <v>1</v>
      </c>
      <c r="F534" s="71">
        <v>13.0946</v>
      </c>
      <c r="G534" s="71">
        <v>32.119999999999997</v>
      </c>
      <c r="H534" s="71">
        <v>13.0946</v>
      </c>
      <c r="I534" s="71">
        <v>32.119999999999997</v>
      </c>
      <c r="J534" s="70" t="s">
        <v>468</v>
      </c>
      <c r="K534" s="70" t="s">
        <v>48</v>
      </c>
      <c r="L534" s="74">
        <v>46078</v>
      </c>
    </row>
    <row r="535" spans="1:12" hidden="1" x14ac:dyDescent="0.25">
      <c r="A535" s="70" t="s">
        <v>922</v>
      </c>
      <c r="B535" s="70" t="s">
        <v>1682</v>
      </c>
      <c r="C535" s="70" t="s">
        <v>1683</v>
      </c>
      <c r="D535" s="70">
        <v>1508</v>
      </c>
      <c r="E535" s="70">
        <v>-1</v>
      </c>
      <c r="F535" s="71">
        <v>17.517399999999999</v>
      </c>
      <c r="G535" s="71">
        <v>32.119999999999997</v>
      </c>
      <c r="H535" s="71">
        <v>-17.517399999999999</v>
      </c>
      <c r="I535" s="71">
        <v>-32.119999999999997</v>
      </c>
      <c r="J535" s="70" t="s">
        <v>468</v>
      </c>
      <c r="K535" s="70" t="s">
        <v>48</v>
      </c>
      <c r="L535" s="74">
        <v>46078</v>
      </c>
    </row>
    <row r="536" spans="1:12" hidden="1" x14ac:dyDescent="0.25">
      <c r="A536" s="70" t="s">
        <v>911</v>
      </c>
      <c r="B536" s="70" t="s">
        <v>1684</v>
      </c>
      <c r="C536" s="70" t="s">
        <v>1685</v>
      </c>
      <c r="D536" s="70">
        <v>1508</v>
      </c>
      <c r="E536" s="70">
        <v>1</v>
      </c>
      <c r="F536" s="71">
        <v>48.919199999999996</v>
      </c>
      <c r="G536" s="71">
        <v>71.62</v>
      </c>
      <c r="H536" s="71">
        <v>48.919199999999996</v>
      </c>
      <c r="I536" s="71">
        <v>71.62</v>
      </c>
      <c r="J536" s="70" t="s">
        <v>468</v>
      </c>
      <c r="K536" s="70" t="s">
        <v>48</v>
      </c>
      <c r="L536" s="74">
        <v>46078</v>
      </c>
    </row>
    <row r="537" spans="1:12" hidden="1" x14ac:dyDescent="0.25">
      <c r="A537" s="70" t="s">
        <v>922</v>
      </c>
      <c r="B537" s="70" t="s">
        <v>1686</v>
      </c>
      <c r="C537" s="70" t="s">
        <v>1687</v>
      </c>
      <c r="D537" s="70">
        <v>1508</v>
      </c>
      <c r="E537" s="70">
        <v>-1</v>
      </c>
      <c r="F537" s="71">
        <v>48.919199999999996</v>
      </c>
      <c r="G537" s="71">
        <v>71.62</v>
      </c>
      <c r="H537" s="71">
        <v>-48.919199999999996</v>
      </c>
      <c r="I537" s="71">
        <v>-71.62</v>
      </c>
      <c r="J537" s="70" t="s">
        <v>468</v>
      </c>
      <c r="K537" s="70" t="s">
        <v>48</v>
      </c>
      <c r="L537" s="74">
        <v>46078</v>
      </c>
    </row>
    <row r="538" spans="1:12" hidden="1" x14ac:dyDescent="0.25">
      <c r="A538" s="70" t="s">
        <v>911</v>
      </c>
      <c r="B538" s="70" t="s">
        <v>1688</v>
      </c>
      <c r="C538" s="70" t="s">
        <v>1689</v>
      </c>
      <c r="D538" s="70">
        <v>1508</v>
      </c>
      <c r="E538" s="70">
        <v>1</v>
      </c>
      <c r="F538" s="71">
        <v>40.616399999999999</v>
      </c>
      <c r="G538" s="71">
        <v>63.25</v>
      </c>
      <c r="H538" s="71">
        <v>40.616399999999999</v>
      </c>
      <c r="I538" s="71">
        <v>63.25</v>
      </c>
      <c r="J538" s="70" t="s">
        <v>468</v>
      </c>
      <c r="K538" s="70" t="s">
        <v>48</v>
      </c>
      <c r="L538" s="74">
        <v>46078</v>
      </c>
    </row>
    <row r="539" spans="1:12" hidden="1" x14ac:dyDescent="0.25">
      <c r="A539" s="70" t="s">
        <v>922</v>
      </c>
      <c r="B539" s="70" t="s">
        <v>1690</v>
      </c>
      <c r="C539" s="70" t="s">
        <v>1691</v>
      </c>
      <c r="D539" s="70">
        <v>1508</v>
      </c>
      <c r="E539" s="70">
        <v>-1</v>
      </c>
      <c r="F539" s="71">
        <v>32.346299999999999</v>
      </c>
      <c r="G539" s="71">
        <v>63.25</v>
      </c>
      <c r="H539" s="71">
        <v>-32.346299999999999</v>
      </c>
      <c r="I539" s="71">
        <v>-63.25</v>
      </c>
      <c r="J539" s="70" t="s">
        <v>468</v>
      </c>
      <c r="K539" s="70" t="s">
        <v>48</v>
      </c>
      <c r="L539" s="74">
        <v>46078</v>
      </c>
    </row>
    <row r="540" spans="1:12" hidden="1" x14ac:dyDescent="0.25">
      <c r="A540" s="70" t="s">
        <v>911</v>
      </c>
      <c r="B540" s="70" t="s">
        <v>1692</v>
      </c>
      <c r="C540" s="70" t="s">
        <v>1693</v>
      </c>
      <c r="D540" s="70">
        <v>1508</v>
      </c>
      <c r="E540" s="70">
        <v>1</v>
      </c>
      <c r="F540" s="71">
        <v>83.290800000000004</v>
      </c>
      <c r="G540" s="71">
        <v>194.2</v>
      </c>
      <c r="H540" s="71">
        <v>83.290800000000004</v>
      </c>
      <c r="I540" s="71">
        <v>194.2</v>
      </c>
      <c r="J540" s="70" t="s">
        <v>468</v>
      </c>
      <c r="K540" s="70" t="s">
        <v>48</v>
      </c>
      <c r="L540" s="74">
        <v>46078</v>
      </c>
    </row>
    <row r="541" spans="1:12" hidden="1" x14ac:dyDescent="0.25">
      <c r="A541" s="70" t="s">
        <v>922</v>
      </c>
      <c r="B541" s="70" t="s">
        <v>1694</v>
      </c>
      <c r="C541" s="70" t="s">
        <v>1695</v>
      </c>
      <c r="D541" s="70">
        <v>1508</v>
      </c>
      <c r="E541" s="70">
        <v>-1</v>
      </c>
      <c r="F541" s="71">
        <v>83.290800000000004</v>
      </c>
      <c r="G541" s="71">
        <v>194.2</v>
      </c>
      <c r="H541" s="71">
        <v>-83.290800000000004</v>
      </c>
      <c r="I541" s="71">
        <v>-194.2</v>
      </c>
      <c r="J541" s="70" t="s">
        <v>468</v>
      </c>
      <c r="K541" s="70" t="s">
        <v>48</v>
      </c>
      <c r="L541" s="74">
        <v>46078</v>
      </c>
    </row>
    <row r="542" spans="1:12" hidden="1" x14ac:dyDescent="0.25">
      <c r="A542" s="70" t="s">
        <v>911</v>
      </c>
      <c r="B542" s="70" t="s">
        <v>1696</v>
      </c>
      <c r="C542" s="70" t="s">
        <v>1697</v>
      </c>
      <c r="D542" s="70">
        <v>1508</v>
      </c>
      <c r="E542" s="70">
        <v>1</v>
      </c>
      <c r="F542" s="71">
        <v>20.308199999999999</v>
      </c>
      <c r="G542" s="71">
        <v>32.71</v>
      </c>
      <c r="H542" s="71">
        <v>20.308199999999999</v>
      </c>
      <c r="I542" s="71">
        <v>32.71</v>
      </c>
      <c r="J542" s="70" t="s">
        <v>468</v>
      </c>
      <c r="K542" s="70" t="s">
        <v>48</v>
      </c>
      <c r="L542" s="74">
        <v>46078</v>
      </c>
    </row>
    <row r="543" spans="1:12" hidden="1" x14ac:dyDescent="0.25">
      <c r="A543" s="70" t="s">
        <v>922</v>
      </c>
      <c r="B543" s="70" t="s">
        <v>1698</v>
      </c>
      <c r="C543" s="70" t="s">
        <v>1699</v>
      </c>
      <c r="D543" s="70">
        <v>1508</v>
      </c>
      <c r="E543" s="70">
        <v>-1</v>
      </c>
      <c r="F543" s="71">
        <v>20.3048</v>
      </c>
      <c r="G543" s="71">
        <v>32.71</v>
      </c>
      <c r="H543" s="71">
        <v>-20.3048</v>
      </c>
      <c r="I543" s="71">
        <v>-32.71</v>
      </c>
      <c r="J543" s="70" t="s">
        <v>468</v>
      </c>
      <c r="K543" s="70" t="s">
        <v>48</v>
      </c>
      <c r="L543" s="74">
        <v>46078</v>
      </c>
    </row>
    <row r="544" spans="1:12" hidden="1" x14ac:dyDescent="0.25">
      <c r="A544" s="70" t="s">
        <v>911</v>
      </c>
      <c r="B544" s="70" t="s">
        <v>1700</v>
      </c>
      <c r="C544" s="70" t="s">
        <v>1701</v>
      </c>
      <c r="D544" s="70">
        <v>1508</v>
      </c>
      <c r="E544" s="70">
        <v>1</v>
      </c>
      <c r="F544" s="71">
        <v>21.418600000000001</v>
      </c>
      <c r="G544" s="71">
        <v>55.73</v>
      </c>
      <c r="H544" s="71">
        <v>21.418600000000001</v>
      </c>
      <c r="I544" s="71">
        <v>55.73</v>
      </c>
      <c r="J544" s="70" t="s">
        <v>468</v>
      </c>
      <c r="K544" s="70" t="s">
        <v>48</v>
      </c>
      <c r="L544" s="74">
        <v>46078</v>
      </c>
    </row>
    <row r="545" spans="1:12" hidden="1" x14ac:dyDescent="0.25">
      <c r="A545" s="70" t="s">
        <v>922</v>
      </c>
      <c r="B545" s="70" t="s">
        <v>1098</v>
      </c>
      <c r="C545" s="70" t="s">
        <v>1099</v>
      </c>
      <c r="D545" s="70">
        <v>1508</v>
      </c>
      <c r="E545" s="70">
        <v>-1</v>
      </c>
      <c r="F545" s="71">
        <v>21.418600000000001</v>
      </c>
      <c r="G545" s="71">
        <v>55.73</v>
      </c>
      <c r="H545" s="71">
        <v>-21.418600000000001</v>
      </c>
      <c r="I545" s="71">
        <v>-55.73</v>
      </c>
      <c r="J545" s="70" t="s">
        <v>468</v>
      </c>
      <c r="K545" s="70" t="s">
        <v>48</v>
      </c>
      <c r="L545" s="74">
        <v>46078</v>
      </c>
    </row>
    <row r="546" spans="1:12" hidden="1" x14ac:dyDescent="0.25">
      <c r="A546" s="70" t="s">
        <v>911</v>
      </c>
      <c r="B546" s="70" t="s">
        <v>1702</v>
      </c>
      <c r="C546" s="70" t="s">
        <v>1703</v>
      </c>
      <c r="D546" s="70">
        <v>1508</v>
      </c>
      <c r="E546" s="70">
        <v>1</v>
      </c>
      <c r="F546" s="71">
        <v>63.587499999999999</v>
      </c>
      <c r="G546" s="71">
        <v>164.41</v>
      </c>
      <c r="H546" s="71">
        <v>63.587499999999999</v>
      </c>
      <c r="I546" s="71">
        <v>164.41</v>
      </c>
      <c r="J546" s="70" t="s">
        <v>468</v>
      </c>
      <c r="K546" s="70" t="s">
        <v>48</v>
      </c>
      <c r="L546" s="74">
        <v>46078</v>
      </c>
    </row>
    <row r="547" spans="1:12" hidden="1" x14ac:dyDescent="0.25">
      <c r="A547" s="70" t="s">
        <v>922</v>
      </c>
      <c r="B547" s="70" t="s">
        <v>1704</v>
      </c>
      <c r="C547" s="70" t="s">
        <v>1705</v>
      </c>
      <c r="D547" s="70">
        <v>1508</v>
      </c>
      <c r="E547" s="70">
        <v>-1</v>
      </c>
      <c r="F547" s="71">
        <v>63.587449999999997</v>
      </c>
      <c r="G547" s="71">
        <v>164.41</v>
      </c>
      <c r="H547" s="71">
        <v>-63.587449999999997</v>
      </c>
      <c r="I547" s="71">
        <v>-164.41</v>
      </c>
      <c r="J547" s="70" t="s">
        <v>468</v>
      </c>
      <c r="K547" s="70" t="s">
        <v>48</v>
      </c>
      <c r="L547" s="74">
        <v>46078</v>
      </c>
    </row>
    <row r="548" spans="1:12" hidden="1" x14ac:dyDescent="0.25">
      <c r="A548" s="70" t="s">
        <v>911</v>
      </c>
      <c r="B548" s="70" t="s">
        <v>1706</v>
      </c>
      <c r="C548" s="70" t="s">
        <v>1707</v>
      </c>
      <c r="D548" s="70">
        <v>1508</v>
      </c>
      <c r="E548" s="70">
        <v>1</v>
      </c>
      <c r="F548" s="71">
        <v>48.078200000000002</v>
      </c>
      <c r="G548" s="71">
        <v>66.930000000000007</v>
      </c>
      <c r="H548" s="71">
        <v>48.078200000000002</v>
      </c>
      <c r="I548" s="71">
        <v>66.930000000000007</v>
      </c>
      <c r="J548" s="70" t="s">
        <v>468</v>
      </c>
      <c r="K548" s="70" t="s">
        <v>48</v>
      </c>
      <c r="L548" s="74">
        <v>46078</v>
      </c>
    </row>
    <row r="549" spans="1:12" hidden="1" x14ac:dyDescent="0.25">
      <c r="A549" s="70" t="s">
        <v>922</v>
      </c>
      <c r="B549" s="70" t="s">
        <v>1708</v>
      </c>
      <c r="C549" s="70" t="s">
        <v>1709</v>
      </c>
      <c r="D549" s="70">
        <v>1508</v>
      </c>
      <c r="E549" s="70">
        <v>-1</v>
      </c>
      <c r="F549" s="71">
        <v>46.168599999999998</v>
      </c>
      <c r="G549" s="71">
        <v>66.930000000000007</v>
      </c>
      <c r="H549" s="71">
        <v>-46.168599999999998</v>
      </c>
      <c r="I549" s="71">
        <v>-66.930000000000007</v>
      </c>
      <c r="J549" s="70" t="s">
        <v>468</v>
      </c>
      <c r="K549" s="70" t="s">
        <v>48</v>
      </c>
      <c r="L549" s="74">
        <v>46078</v>
      </c>
    </row>
    <row r="550" spans="1:12" hidden="1" x14ac:dyDescent="0.25">
      <c r="A550" s="70" t="s">
        <v>911</v>
      </c>
      <c r="B550" s="70" t="s">
        <v>1710</v>
      </c>
      <c r="C550" s="70" t="s">
        <v>1711</v>
      </c>
      <c r="D550" s="70">
        <v>1508</v>
      </c>
      <c r="E550" s="70">
        <v>1</v>
      </c>
      <c r="F550" s="71">
        <v>22.966200000000001</v>
      </c>
      <c r="G550" s="71">
        <v>49.93</v>
      </c>
      <c r="H550" s="71">
        <v>22.966200000000001</v>
      </c>
      <c r="I550" s="71">
        <v>49.93</v>
      </c>
      <c r="J550" s="70" t="s">
        <v>468</v>
      </c>
      <c r="K550" s="70" t="s">
        <v>48</v>
      </c>
      <c r="L550" s="74">
        <v>46078</v>
      </c>
    </row>
    <row r="551" spans="1:12" hidden="1" x14ac:dyDescent="0.25">
      <c r="A551" s="70" t="s">
        <v>922</v>
      </c>
      <c r="B551" s="70" t="s">
        <v>1712</v>
      </c>
      <c r="C551" s="70" t="s">
        <v>1713</v>
      </c>
      <c r="D551" s="70">
        <v>1508</v>
      </c>
      <c r="E551" s="70">
        <v>-1</v>
      </c>
      <c r="F551" s="71">
        <v>22.735700000000001</v>
      </c>
      <c r="G551" s="71">
        <v>49.43</v>
      </c>
      <c r="H551" s="71">
        <v>-22.735700000000001</v>
      </c>
      <c r="I551" s="71">
        <v>-49.43</v>
      </c>
      <c r="J551" s="70" t="s">
        <v>468</v>
      </c>
      <c r="K551" s="70" t="s">
        <v>48</v>
      </c>
      <c r="L551" s="74">
        <v>46078</v>
      </c>
    </row>
    <row r="552" spans="1:12" hidden="1" x14ac:dyDescent="0.25">
      <c r="A552" s="70" t="s">
        <v>911</v>
      </c>
      <c r="B552" s="70" t="s">
        <v>699</v>
      </c>
      <c r="C552" s="70" t="s">
        <v>1714</v>
      </c>
      <c r="D552" s="70">
        <v>1508</v>
      </c>
      <c r="E552" s="70">
        <v>1</v>
      </c>
      <c r="F552" s="71">
        <v>5.5004999999999997</v>
      </c>
      <c r="G552" s="71">
        <v>11.65</v>
      </c>
      <c r="H552" s="71">
        <v>5.5004999999999997</v>
      </c>
      <c r="I552" s="71">
        <v>11.65</v>
      </c>
      <c r="J552" s="70" t="s">
        <v>468</v>
      </c>
      <c r="K552" s="70" t="s">
        <v>48</v>
      </c>
      <c r="L552" s="74">
        <v>46078</v>
      </c>
    </row>
    <row r="553" spans="1:12" hidden="1" x14ac:dyDescent="0.25">
      <c r="A553" s="70" t="s">
        <v>922</v>
      </c>
      <c r="B553" s="70" t="s">
        <v>990</v>
      </c>
      <c r="C553" s="70" t="s">
        <v>991</v>
      </c>
      <c r="D553" s="70">
        <v>1508</v>
      </c>
      <c r="E553" s="70">
        <v>-1</v>
      </c>
      <c r="F553" s="71">
        <v>5.0114999999999998</v>
      </c>
      <c r="G553" s="71">
        <v>10.62</v>
      </c>
      <c r="H553" s="71">
        <v>-5.0114999999999998</v>
      </c>
      <c r="I553" s="71">
        <v>-10.62</v>
      </c>
      <c r="J553" s="70" t="s">
        <v>468</v>
      </c>
      <c r="K553" s="70" t="s">
        <v>48</v>
      </c>
      <c r="L553" s="74">
        <v>46078</v>
      </c>
    </row>
    <row r="554" spans="1:12" hidden="1" x14ac:dyDescent="0.25">
      <c r="A554" s="70" t="s">
        <v>911</v>
      </c>
      <c r="B554" s="70" t="s">
        <v>1715</v>
      </c>
      <c r="C554" s="70" t="s">
        <v>1716</v>
      </c>
      <c r="D554" s="70">
        <v>1508</v>
      </c>
      <c r="E554" s="70">
        <v>1</v>
      </c>
      <c r="F554" s="71">
        <v>12.285</v>
      </c>
      <c r="G554" s="71">
        <v>26.04</v>
      </c>
      <c r="H554" s="71">
        <v>12.285</v>
      </c>
      <c r="I554" s="71">
        <v>26.04</v>
      </c>
      <c r="J554" s="70" t="s">
        <v>468</v>
      </c>
      <c r="K554" s="70" t="s">
        <v>48</v>
      </c>
      <c r="L554" s="74">
        <v>46078</v>
      </c>
    </row>
    <row r="555" spans="1:12" hidden="1" x14ac:dyDescent="0.25">
      <c r="A555" s="70" t="s">
        <v>922</v>
      </c>
      <c r="B555" s="70" t="s">
        <v>1717</v>
      </c>
      <c r="C555" s="70" t="s">
        <v>1718</v>
      </c>
      <c r="D555" s="70">
        <v>1508</v>
      </c>
      <c r="E555" s="70">
        <v>-1</v>
      </c>
      <c r="F555" s="71">
        <v>9.3840000000000003</v>
      </c>
      <c r="G555" s="71">
        <v>23.88</v>
      </c>
      <c r="H555" s="71">
        <v>-9.3840000000000003</v>
      </c>
      <c r="I555" s="71">
        <v>-23.88</v>
      </c>
      <c r="J555" s="70" t="s">
        <v>468</v>
      </c>
      <c r="K555" s="70" t="s">
        <v>48</v>
      </c>
      <c r="L555" s="74">
        <v>46078</v>
      </c>
    </row>
    <row r="556" spans="1:12" hidden="1" x14ac:dyDescent="0.25">
      <c r="A556" s="70" t="s">
        <v>911</v>
      </c>
      <c r="B556" s="70" t="s">
        <v>1080</v>
      </c>
      <c r="C556" s="70" t="s">
        <v>1081</v>
      </c>
      <c r="D556" s="70">
        <v>1508</v>
      </c>
      <c r="E556" s="70">
        <v>1</v>
      </c>
      <c r="F556" s="71">
        <v>8.9030000000000005</v>
      </c>
      <c r="G556" s="71">
        <v>23.86</v>
      </c>
      <c r="H556" s="71">
        <v>8.9030000000000005</v>
      </c>
      <c r="I556" s="71">
        <v>23.86</v>
      </c>
      <c r="J556" s="70" t="s">
        <v>468</v>
      </c>
      <c r="K556" s="70" t="s">
        <v>48</v>
      </c>
      <c r="L556" s="74">
        <v>46078</v>
      </c>
    </row>
    <row r="557" spans="1:12" hidden="1" x14ac:dyDescent="0.25">
      <c r="A557" s="70" t="s">
        <v>922</v>
      </c>
      <c r="B557" s="70" t="s">
        <v>1719</v>
      </c>
      <c r="C557" s="70" t="s">
        <v>1720</v>
      </c>
      <c r="D557" s="70">
        <v>1508</v>
      </c>
      <c r="E557" s="70">
        <v>-1</v>
      </c>
      <c r="F557" s="71">
        <v>4.4783999999999997</v>
      </c>
      <c r="G557" s="71">
        <v>21.28</v>
      </c>
      <c r="H557" s="71">
        <v>-4.4783999999999997</v>
      </c>
      <c r="I557" s="71">
        <v>-21.28</v>
      </c>
      <c r="J557" s="70" t="s">
        <v>468</v>
      </c>
      <c r="K557" s="70" t="s">
        <v>48</v>
      </c>
      <c r="L557" s="74">
        <v>46078</v>
      </c>
    </row>
    <row r="558" spans="1:12" hidden="1" x14ac:dyDescent="0.25">
      <c r="A558" s="70" t="s">
        <v>1721</v>
      </c>
      <c r="B558" s="70" t="s">
        <v>1722</v>
      </c>
      <c r="C558" s="70" t="s">
        <v>1723</v>
      </c>
      <c r="D558" s="70">
        <v>1508</v>
      </c>
      <c r="E558" s="70">
        <v>-1</v>
      </c>
      <c r="F558" s="71">
        <v>346.89</v>
      </c>
      <c r="G558" s="71">
        <v>598.48</v>
      </c>
      <c r="H558" s="71">
        <v>-346.89</v>
      </c>
      <c r="I558" s="71">
        <v>-598.48</v>
      </c>
      <c r="J558" s="70" t="s">
        <v>468</v>
      </c>
      <c r="K558" s="70" t="s">
        <v>48</v>
      </c>
      <c r="L558" s="74">
        <v>46078</v>
      </c>
    </row>
    <row r="559" spans="1:12" hidden="1" x14ac:dyDescent="0.25">
      <c r="A559" s="70" t="s">
        <v>1724</v>
      </c>
      <c r="B559" s="70" t="s">
        <v>812</v>
      </c>
      <c r="C559" s="70" t="s">
        <v>813</v>
      </c>
      <c r="D559" s="70">
        <v>1508</v>
      </c>
      <c r="E559" s="70">
        <v>-1</v>
      </c>
      <c r="F559" s="71">
        <v>1.8001</v>
      </c>
      <c r="G559" s="71">
        <v>2.96</v>
      </c>
      <c r="H559" s="71">
        <v>-1.8001</v>
      </c>
      <c r="I559" s="71">
        <v>-2.96</v>
      </c>
      <c r="J559" s="70" t="s">
        <v>468</v>
      </c>
      <c r="K559" s="70" t="s">
        <v>48</v>
      </c>
      <c r="L559" s="74">
        <v>46078</v>
      </c>
    </row>
    <row r="560" spans="1:12" hidden="1" x14ac:dyDescent="0.25">
      <c r="A560" s="70" t="s">
        <v>1724</v>
      </c>
      <c r="B560" s="70" t="s">
        <v>735</v>
      </c>
      <c r="C560" s="70" t="s">
        <v>736</v>
      </c>
      <c r="D560" s="70">
        <v>1508</v>
      </c>
      <c r="E560" s="70">
        <v>-1</v>
      </c>
      <c r="F560" s="71">
        <v>1.8</v>
      </c>
      <c r="G560" s="71">
        <v>2.96</v>
      </c>
      <c r="H560" s="71">
        <v>-1.8</v>
      </c>
      <c r="I560" s="71">
        <v>-2.96</v>
      </c>
      <c r="J560" s="70" t="s">
        <v>468</v>
      </c>
      <c r="K560" s="70" t="s">
        <v>48</v>
      </c>
      <c r="L560" s="74">
        <v>46078</v>
      </c>
    </row>
    <row r="561" spans="1:12" hidden="1" x14ac:dyDescent="0.25">
      <c r="A561" s="70" t="s">
        <v>1367</v>
      </c>
      <c r="B561" s="70" t="s">
        <v>1725</v>
      </c>
      <c r="C561" s="70" t="s">
        <v>1726</v>
      </c>
      <c r="D561" s="70">
        <v>1508</v>
      </c>
      <c r="E561" s="70">
        <v>-3</v>
      </c>
      <c r="F561" s="71">
        <v>8.3341999999999992</v>
      </c>
      <c r="G561" s="71">
        <v>18.25</v>
      </c>
      <c r="H561" s="71">
        <v>-25.002600000000001</v>
      </c>
      <c r="I561" s="71">
        <v>-54.75</v>
      </c>
      <c r="J561" s="70" t="s">
        <v>468</v>
      </c>
      <c r="K561" s="70" t="s">
        <v>48</v>
      </c>
      <c r="L561" s="74">
        <v>46078</v>
      </c>
    </row>
    <row r="562" spans="1:12" hidden="1" x14ac:dyDescent="0.25">
      <c r="A562" s="70" t="s">
        <v>1367</v>
      </c>
      <c r="B562" s="70" t="s">
        <v>1727</v>
      </c>
      <c r="C562" s="70" t="s">
        <v>1728</v>
      </c>
      <c r="D562" s="70">
        <v>1508</v>
      </c>
      <c r="E562" s="70">
        <v>-1</v>
      </c>
      <c r="F562" s="71">
        <v>10.772600000000001</v>
      </c>
      <c r="G562" s="71">
        <v>23.58</v>
      </c>
      <c r="H562" s="71">
        <v>-10.772600000000001</v>
      </c>
      <c r="I562" s="71">
        <v>-23.58</v>
      </c>
      <c r="J562" s="70" t="s">
        <v>468</v>
      </c>
      <c r="K562" s="70" t="s">
        <v>48</v>
      </c>
      <c r="L562" s="74">
        <v>46078</v>
      </c>
    </row>
    <row r="563" spans="1:12" hidden="1" x14ac:dyDescent="0.25">
      <c r="A563" s="70" t="s">
        <v>1367</v>
      </c>
      <c r="B563" s="70" t="s">
        <v>707</v>
      </c>
      <c r="C563" s="70" t="s">
        <v>708</v>
      </c>
      <c r="D563" s="70">
        <v>1508</v>
      </c>
      <c r="E563" s="70">
        <v>-1</v>
      </c>
      <c r="F563" s="71">
        <v>8.3339999999999996</v>
      </c>
      <c r="G563" s="71">
        <v>18.25</v>
      </c>
      <c r="H563" s="71">
        <v>-8.3339999999999996</v>
      </c>
      <c r="I563" s="71">
        <v>-18.25</v>
      </c>
      <c r="J563" s="70" t="s">
        <v>468</v>
      </c>
      <c r="K563" s="70" t="s">
        <v>48</v>
      </c>
      <c r="L563" s="74">
        <v>46078</v>
      </c>
    </row>
    <row r="564" spans="1:12" hidden="1" x14ac:dyDescent="0.25">
      <c r="A564" s="70" t="s">
        <v>911</v>
      </c>
      <c r="B564" s="70" t="s">
        <v>1729</v>
      </c>
      <c r="C564" s="70" t="s">
        <v>1730</v>
      </c>
      <c r="D564" s="70">
        <v>1734</v>
      </c>
      <c r="E564" s="70">
        <v>2</v>
      </c>
      <c r="F564" s="71">
        <v>7.2</v>
      </c>
      <c r="G564" s="71">
        <v>15.25</v>
      </c>
      <c r="H564" s="71">
        <v>14.4</v>
      </c>
      <c r="I564" s="71">
        <v>30.5</v>
      </c>
      <c r="J564" s="70" t="s">
        <v>484</v>
      </c>
      <c r="K564" s="70" t="s">
        <v>48</v>
      </c>
      <c r="L564" s="74">
        <v>46087</v>
      </c>
    </row>
    <row r="565" spans="1:12" hidden="1" x14ac:dyDescent="0.25">
      <c r="A565" s="70" t="s">
        <v>922</v>
      </c>
      <c r="B565" s="70" t="s">
        <v>1731</v>
      </c>
      <c r="C565" s="70" t="s">
        <v>1732</v>
      </c>
      <c r="D565" s="70">
        <v>1734</v>
      </c>
      <c r="E565" s="70">
        <v>-2</v>
      </c>
      <c r="F565" s="71">
        <v>8.5890000000000004</v>
      </c>
      <c r="G565" s="71">
        <v>12.73</v>
      </c>
      <c r="H565" s="71">
        <v>-17.178000000000001</v>
      </c>
      <c r="I565" s="71">
        <v>-25.46</v>
      </c>
      <c r="J565" s="70" t="s">
        <v>484</v>
      </c>
      <c r="K565" s="70" t="s">
        <v>48</v>
      </c>
      <c r="L565" s="74">
        <v>46087</v>
      </c>
    </row>
    <row r="566" spans="1:12" hidden="1" x14ac:dyDescent="0.25">
      <c r="A566" s="70" t="s">
        <v>1468</v>
      </c>
      <c r="B566" s="70" t="s">
        <v>1475</v>
      </c>
      <c r="C566" s="70" t="s">
        <v>1733</v>
      </c>
      <c r="D566" s="70">
        <v>1728</v>
      </c>
      <c r="E566" s="70">
        <v>-1</v>
      </c>
      <c r="F566" s="71">
        <v>790.69</v>
      </c>
      <c r="G566" s="71">
        <v>722.77</v>
      </c>
      <c r="H566" s="71">
        <v>-790.69</v>
      </c>
      <c r="I566" s="71">
        <v>-722.77</v>
      </c>
      <c r="J566" s="70" t="s">
        <v>478</v>
      </c>
      <c r="K566" s="70" t="s">
        <v>48</v>
      </c>
      <c r="L566" s="74">
        <v>46085</v>
      </c>
    </row>
    <row r="567" spans="1:12" hidden="1" x14ac:dyDescent="0.25">
      <c r="A567" s="70" t="s">
        <v>877</v>
      </c>
      <c r="B567" s="70" t="s">
        <v>1237</v>
      </c>
      <c r="C567" s="70" t="s">
        <v>1238</v>
      </c>
      <c r="D567" s="70">
        <v>1715</v>
      </c>
      <c r="E567" s="70">
        <v>-10.440740740740999</v>
      </c>
      <c r="F567" s="71">
        <v>10.7162216155851</v>
      </c>
      <c r="G567" s="71">
        <v>0</v>
      </c>
      <c r="H567" s="71">
        <v>-111.885291608649</v>
      </c>
      <c r="I567" s="71">
        <v>0</v>
      </c>
      <c r="J567" s="70" t="s">
        <v>486</v>
      </c>
      <c r="K567" s="70" t="s">
        <v>1204</v>
      </c>
      <c r="L567" s="74">
        <v>46092</v>
      </c>
    </row>
    <row r="568" spans="1:12" hidden="1" x14ac:dyDescent="0.25">
      <c r="A568" s="70" t="s">
        <v>877</v>
      </c>
      <c r="B568" s="70" t="s">
        <v>1337</v>
      </c>
      <c r="C568" s="70" t="s">
        <v>1338</v>
      </c>
      <c r="D568" s="70">
        <v>1715</v>
      </c>
      <c r="E568" s="70">
        <v>-3</v>
      </c>
      <c r="F568" s="71">
        <v>24.720961538461498</v>
      </c>
      <c r="G568" s="71">
        <v>0</v>
      </c>
      <c r="H568" s="71">
        <v>-74.162884615384499</v>
      </c>
      <c r="I568" s="71">
        <v>0</v>
      </c>
      <c r="J568" s="70" t="s">
        <v>486</v>
      </c>
      <c r="K568" s="70" t="s">
        <v>1204</v>
      </c>
      <c r="L568" s="74">
        <v>46092</v>
      </c>
    </row>
    <row r="569" spans="1:12" hidden="1" x14ac:dyDescent="0.25">
      <c r="A569" s="70" t="s">
        <v>877</v>
      </c>
      <c r="B569" s="70" t="s">
        <v>1734</v>
      </c>
      <c r="C569" s="70" t="s">
        <v>1735</v>
      </c>
      <c r="D569" s="70">
        <v>1715</v>
      </c>
      <c r="E569" s="70">
        <v>-1</v>
      </c>
      <c r="F569" s="71">
        <v>57.5</v>
      </c>
      <c r="G569" s="71">
        <v>0</v>
      </c>
      <c r="H569" s="71">
        <v>-57.5</v>
      </c>
      <c r="I569" s="71">
        <v>0</v>
      </c>
      <c r="J569" s="70" t="s">
        <v>486</v>
      </c>
      <c r="K569" s="70" t="s">
        <v>1204</v>
      </c>
      <c r="L569" s="74">
        <v>46092</v>
      </c>
    </row>
    <row r="570" spans="1:12" hidden="1" x14ac:dyDescent="0.25">
      <c r="A570" s="70" t="s">
        <v>877</v>
      </c>
      <c r="B570" s="70" t="s">
        <v>1269</v>
      </c>
      <c r="C570" s="70" t="s">
        <v>1270</v>
      </c>
      <c r="D570" s="70">
        <v>1715</v>
      </c>
      <c r="E570" s="70">
        <v>-22.135802469135999</v>
      </c>
      <c r="F570" s="71">
        <v>1.7249995703359999</v>
      </c>
      <c r="G570" s="71">
        <v>0</v>
      </c>
      <c r="H570" s="71">
        <v>-38.1842497483022</v>
      </c>
      <c r="I570" s="71">
        <v>0</v>
      </c>
      <c r="J570" s="70" t="s">
        <v>486</v>
      </c>
      <c r="K570" s="70" t="s">
        <v>1204</v>
      </c>
      <c r="L570" s="74">
        <v>46092</v>
      </c>
    </row>
    <row r="571" spans="1:12" hidden="1" x14ac:dyDescent="0.25">
      <c r="A571" s="70" t="s">
        <v>877</v>
      </c>
      <c r="B571" s="70" t="s">
        <v>1344</v>
      </c>
      <c r="C571" s="70" t="s">
        <v>1345</v>
      </c>
      <c r="D571" s="70">
        <v>1715</v>
      </c>
      <c r="E571" s="70">
        <v>-3</v>
      </c>
      <c r="F571" s="71">
        <v>12.706476923076901</v>
      </c>
      <c r="G571" s="71">
        <v>0</v>
      </c>
      <c r="H571" s="71">
        <v>-38.119430769230704</v>
      </c>
      <c r="I571" s="71">
        <v>0</v>
      </c>
      <c r="J571" s="70" t="s">
        <v>486</v>
      </c>
      <c r="K571" s="70" t="s">
        <v>1204</v>
      </c>
      <c r="L571" s="74">
        <v>46092</v>
      </c>
    </row>
    <row r="572" spans="1:12" hidden="1" x14ac:dyDescent="0.25">
      <c r="A572" s="70" t="s">
        <v>877</v>
      </c>
      <c r="B572" s="70" t="s">
        <v>1736</v>
      </c>
      <c r="C572" s="70" t="s">
        <v>1737</v>
      </c>
      <c r="D572" s="70">
        <v>1715</v>
      </c>
      <c r="E572" s="70">
        <v>-2</v>
      </c>
      <c r="F572" s="71">
        <v>15.758100000000001</v>
      </c>
      <c r="G572" s="71">
        <v>0</v>
      </c>
      <c r="H572" s="71">
        <v>-31.516200000000001</v>
      </c>
      <c r="I572" s="71">
        <v>0</v>
      </c>
      <c r="J572" s="70" t="s">
        <v>486</v>
      </c>
      <c r="K572" s="70" t="s">
        <v>1204</v>
      </c>
      <c r="L572" s="74">
        <v>46092</v>
      </c>
    </row>
    <row r="573" spans="1:12" hidden="1" x14ac:dyDescent="0.25">
      <c r="A573" s="70" t="s">
        <v>877</v>
      </c>
      <c r="B573" s="70" t="s">
        <v>1738</v>
      </c>
      <c r="C573" s="70" t="s">
        <v>1739</v>
      </c>
      <c r="D573" s="70">
        <v>1715</v>
      </c>
      <c r="E573" s="70">
        <v>-1</v>
      </c>
      <c r="F573" s="71">
        <v>28.324000000000002</v>
      </c>
      <c r="G573" s="71">
        <v>0</v>
      </c>
      <c r="H573" s="71">
        <v>-28.324000000000002</v>
      </c>
      <c r="I573" s="71">
        <v>0</v>
      </c>
      <c r="J573" s="70" t="s">
        <v>486</v>
      </c>
      <c r="K573" s="70" t="s">
        <v>1204</v>
      </c>
      <c r="L573" s="74">
        <v>46092</v>
      </c>
    </row>
    <row r="574" spans="1:12" hidden="1" x14ac:dyDescent="0.25">
      <c r="A574" s="70" t="s">
        <v>877</v>
      </c>
      <c r="B574" s="70" t="s">
        <v>1740</v>
      </c>
      <c r="C574" s="70" t="s">
        <v>1741</v>
      </c>
      <c r="D574" s="70">
        <v>1715</v>
      </c>
      <c r="E574" s="70">
        <v>-1</v>
      </c>
      <c r="F574" s="71">
        <v>22.431723255813999</v>
      </c>
      <c r="G574" s="71">
        <v>0</v>
      </c>
      <c r="H574" s="71">
        <v>-22.431723255813999</v>
      </c>
      <c r="I574" s="71">
        <v>0</v>
      </c>
      <c r="J574" s="70" t="s">
        <v>486</v>
      </c>
      <c r="K574" s="70" t="s">
        <v>1204</v>
      </c>
      <c r="L574" s="74">
        <v>46092</v>
      </c>
    </row>
    <row r="575" spans="1:12" hidden="1" x14ac:dyDescent="0.25">
      <c r="A575" s="70" t="s">
        <v>877</v>
      </c>
      <c r="B575" s="70" t="s">
        <v>1339</v>
      </c>
      <c r="C575" s="70" t="s">
        <v>1274</v>
      </c>
      <c r="D575" s="70">
        <v>1715</v>
      </c>
      <c r="E575" s="70">
        <v>-1</v>
      </c>
      <c r="F575" s="71">
        <v>17.303000000000001</v>
      </c>
      <c r="G575" s="71">
        <v>0</v>
      </c>
      <c r="H575" s="71">
        <v>-17.303000000000001</v>
      </c>
      <c r="I575" s="71">
        <v>0</v>
      </c>
      <c r="J575" s="70" t="s">
        <v>486</v>
      </c>
      <c r="K575" s="70" t="s">
        <v>1204</v>
      </c>
      <c r="L575" s="74">
        <v>46092</v>
      </c>
    </row>
    <row r="576" spans="1:12" hidden="1" x14ac:dyDescent="0.25">
      <c r="A576" s="70" t="s">
        <v>877</v>
      </c>
      <c r="B576" s="70" t="s">
        <v>1340</v>
      </c>
      <c r="C576" s="70" t="s">
        <v>1341</v>
      </c>
      <c r="D576" s="70">
        <v>1715</v>
      </c>
      <c r="E576" s="70">
        <v>-4</v>
      </c>
      <c r="F576" s="71">
        <v>4.0040486777439703</v>
      </c>
      <c r="G576" s="71">
        <v>0</v>
      </c>
      <c r="H576" s="71">
        <v>-16.016194710975899</v>
      </c>
      <c r="I576" s="71">
        <v>0</v>
      </c>
      <c r="J576" s="70" t="s">
        <v>486</v>
      </c>
      <c r="K576" s="70" t="s">
        <v>1204</v>
      </c>
      <c r="L576" s="74">
        <v>46092</v>
      </c>
    </row>
    <row r="577" spans="1:12" hidden="1" x14ac:dyDescent="0.25">
      <c r="A577" s="70" t="s">
        <v>877</v>
      </c>
      <c r="B577" s="70" t="s">
        <v>1255</v>
      </c>
      <c r="C577" s="70" t="s">
        <v>1256</v>
      </c>
      <c r="D577" s="70">
        <v>1715</v>
      </c>
      <c r="E577" s="70">
        <v>-1</v>
      </c>
      <c r="F577" s="71">
        <v>12.8</v>
      </c>
      <c r="G577" s="71">
        <v>0</v>
      </c>
      <c r="H577" s="71">
        <v>-12.8</v>
      </c>
      <c r="I577" s="71">
        <v>0</v>
      </c>
      <c r="J577" s="70" t="s">
        <v>486</v>
      </c>
      <c r="K577" s="70" t="s">
        <v>1204</v>
      </c>
      <c r="L577" s="74">
        <v>46092</v>
      </c>
    </row>
    <row r="578" spans="1:12" hidden="1" x14ac:dyDescent="0.25">
      <c r="A578" s="70" t="s">
        <v>877</v>
      </c>
      <c r="B578" s="70" t="s">
        <v>1742</v>
      </c>
      <c r="C578" s="70" t="s">
        <v>1743</v>
      </c>
      <c r="D578" s="70">
        <v>1715</v>
      </c>
      <c r="E578" s="70">
        <v>-4</v>
      </c>
      <c r="F578" s="71">
        <v>2.05335</v>
      </c>
      <c r="G578" s="71">
        <v>0</v>
      </c>
      <c r="H578" s="71">
        <v>-8.2134</v>
      </c>
      <c r="I578" s="71">
        <v>0</v>
      </c>
      <c r="J578" s="70" t="s">
        <v>486</v>
      </c>
      <c r="K578" s="70" t="s">
        <v>1204</v>
      </c>
      <c r="L578" s="74">
        <v>46092</v>
      </c>
    </row>
    <row r="579" spans="1:12" hidden="1" x14ac:dyDescent="0.25">
      <c r="A579" s="70" t="s">
        <v>877</v>
      </c>
      <c r="B579" s="70" t="s">
        <v>1744</v>
      </c>
      <c r="C579" s="70" t="s">
        <v>1745</v>
      </c>
      <c r="D579" s="70">
        <v>1715</v>
      </c>
      <c r="E579" s="70">
        <v>-1</v>
      </c>
      <c r="F579" s="71">
        <v>7.14</v>
      </c>
      <c r="G579" s="71">
        <v>0</v>
      </c>
      <c r="H579" s="71">
        <v>-7.14</v>
      </c>
      <c r="I579" s="71">
        <v>0</v>
      </c>
      <c r="J579" s="70" t="s">
        <v>486</v>
      </c>
      <c r="K579" s="70" t="s">
        <v>1204</v>
      </c>
      <c r="L579" s="74">
        <v>46092</v>
      </c>
    </row>
    <row r="580" spans="1:12" hidden="1" x14ac:dyDescent="0.25">
      <c r="A580" s="70" t="s">
        <v>877</v>
      </c>
      <c r="B580" s="70" t="s">
        <v>1293</v>
      </c>
      <c r="C580" s="70" t="s">
        <v>1294</v>
      </c>
      <c r="D580" s="70">
        <v>1715</v>
      </c>
      <c r="E580" s="70">
        <v>-1</v>
      </c>
      <c r="F580" s="71">
        <v>6.6410499999999999</v>
      </c>
      <c r="G580" s="71">
        <v>0</v>
      </c>
      <c r="H580" s="71">
        <v>-6.6410499999999999</v>
      </c>
      <c r="I580" s="71">
        <v>0</v>
      </c>
      <c r="J580" s="70" t="s">
        <v>486</v>
      </c>
      <c r="K580" s="70" t="s">
        <v>1204</v>
      </c>
      <c r="L580" s="74">
        <v>46092</v>
      </c>
    </row>
    <row r="581" spans="1:12" hidden="1" x14ac:dyDescent="0.25">
      <c r="A581" s="70" t="s">
        <v>877</v>
      </c>
      <c r="B581" s="70" t="s">
        <v>1348</v>
      </c>
      <c r="C581" s="70" t="s">
        <v>1349</v>
      </c>
      <c r="D581" s="70">
        <v>1715</v>
      </c>
      <c r="E581" s="70">
        <v>-1.386666666667</v>
      </c>
      <c r="F581" s="71">
        <v>3.7183504566210002</v>
      </c>
      <c r="G581" s="71">
        <v>0</v>
      </c>
      <c r="H581" s="71">
        <v>-5.1561126331823601</v>
      </c>
      <c r="I581" s="71">
        <v>0</v>
      </c>
      <c r="J581" s="70" t="s">
        <v>486</v>
      </c>
      <c r="K581" s="70" t="s">
        <v>1204</v>
      </c>
      <c r="L581" s="74">
        <v>46092</v>
      </c>
    </row>
    <row r="582" spans="1:12" hidden="1" x14ac:dyDescent="0.25">
      <c r="A582" s="70" t="s">
        <v>877</v>
      </c>
      <c r="B582" s="70" t="s">
        <v>1746</v>
      </c>
      <c r="C582" s="70" t="s">
        <v>1747</v>
      </c>
      <c r="D582" s="70">
        <v>1715</v>
      </c>
      <c r="E582" s="70">
        <v>-1</v>
      </c>
      <c r="F582" s="71">
        <v>5.0441000000000003</v>
      </c>
      <c r="G582" s="71">
        <v>0</v>
      </c>
      <c r="H582" s="71">
        <v>-5.0441000000000003</v>
      </c>
      <c r="I582" s="71">
        <v>0</v>
      </c>
      <c r="J582" s="70" t="s">
        <v>486</v>
      </c>
      <c r="K582" s="70" t="s">
        <v>1204</v>
      </c>
      <c r="L582" s="74">
        <v>46092</v>
      </c>
    </row>
    <row r="583" spans="1:12" hidden="1" x14ac:dyDescent="0.25">
      <c r="A583" s="70" t="s">
        <v>877</v>
      </c>
      <c r="B583" s="70" t="s">
        <v>1271</v>
      </c>
      <c r="C583" s="70" t="s">
        <v>1272</v>
      </c>
      <c r="D583" s="70">
        <v>1715</v>
      </c>
      <c r="E583" s="70">
        <v>-1.1000000000000001</v>
      </c>
      <c r="F583" s="71">
        <v>3.5263541666666698</v>
      </c>
      <c r="G583" s="71">
        <v>0</v>
      </c>
      <c r="H583" s="71">
        <v>-3.8789895833333401</v>
      </c>
      <c r="I583" s="71">
        <v>0</v>
      </c>
      <c r="J583" s="70" t="s">
        <v>486</v>
      </c>
      <c r="K583" s="70" t="s">
        <v>1204</v>
      </c>
      <c r="L583" s="74">
        <v>46092</v>
      </c>
    </row>
    <row r="584" spans="1:12" hidden="1" x14ac:dyDescent="0.25">
      <c r="A584" s="70" t="s">
        <v>877</v>
      </c>
      <c r="B584" s="70" t="s">
        <v>1748</v>
      </c>
      <c r="C584" s="70" t="s">
        <v>1749</v>
      </c>
      <c r="D584" s="70">
        <v>1715</v>
      </c>
      <c r="E584" s="70">
        <v>-1</v>
      </c>
      <c r="F584" s="71">
        <v>3.7202999999999999</v>
      </c>
      <c r="G584" s="71">
        <v>0</v>
      </c>
      <c r="H584" s="71">
        <v>-3.7202999999999999</v>
      </c>
      <c r="I584" s="71">
        <v>0</v>
      </c>
      <c r="J584" s="70" t="s">
        <v>486</v>
      </c>
      <c r="K584" s="70" t="s">
        <v>1204</v>
      </c>
      <c r="L584" s="74">
        <v>46092</v>
      </c>
    </row>
    <row r="585" spans="1:12" hidden="1" x14ac:dyDescent="0.25">
      <c r="A585" s="70" t="s">
        <v>877</v>
      </c>
      <c r="B585" s="70" t="s">
        <v>1750</v>
      </c>
      <c r="C585" s="70" t="s">
        <v>1751</v>
      </c>
      <c r="D585" s="70">
        <v>1715</v>
      </c>
      <c r="E585" s="70">
        <v>-1</v>
      </c>
      <c r="F585" s="71">
        <v>1.94</v>
      </c>
      <c r="G585" s="71">
        <v>0</v>
      </c>
      <c r="H585" s="71">
        <v>-1.94</v>
      </c>
      <c r="I585" s="71">
        <v>0</v>
      </c>
      <c r="J585" s="70" t="s">
        <v>486</v>
      </c>
      <c r="K585" s="70" t="s">
        <v>1204</v>
      </c>
      <c r="L585" s="74">
        <v>46092</v>
      </c>
    </row>
    <row r="586" spans="1:12" hidden="1" x14ac:dyDescent="0.25">
      <c r="A586" s="70" t="s">
        <v>877</v>
      </c>
      <c r="B586" s="70" t="s">
        <v>1752</v>
      </c>
      <c r="C586" s="70" t="s">
        <v>1753</v>
      </c>
      <c r="D586" s="70">
        <v>1715</v>
      </c>
      <c r="E586" s="70">
        <v>-2</v>
      </c>
      <c r="F586" s="71">
        <v>0.73334999999999995</v>
      </c>
      <c r="G586" s="71">
        <v>0</v>
      </c>
      <c r="H586" s="71">
        <v>-1.4666999999999999</v>
      </c>
      <c r="I586" s="71">
        <v>0</v>
      </c>
      <c r="J586" s="70" t="s">
        <v>486</v>
      </c>
      <c r="K586" s="70" t="s">
        <v>1204</v>
      </c>
      <c r="L586" s="74">
        <v>46092</v>
      </c>
    </row>
    <row r="587" spans="1:12" hidden="1" x14ac:dyDescent="0.25">
      <c r="A587" s="70" t="s">
        <v>877</v>
      </c>
      <c r="B587" s="70" t="s">
        <v>1754</v>
      </c>
      <c r="C587" s="70" t="s">
        <v>1755</v>
      </c>
      <c r="D587" s="70">
        <v>1715</v>
      </c>
      <c r="E587" s="70">
        <v>-1</v>
      </c>
      <c r="F587" s="71">
        <v>1.34</v>
      </c>
      <c r="G587" s="71">
        <v>0</v>
      </c>
      <c r="H587" s="71">
        <v>-1.34</v>
      </c>
      <c r="I587" s="71">
        <v>0</v>
      </c>
      <c r="J587" s="70" t="s">
        <v>486</v>
      </c>
      <c r="K587" s="70" t="s">
        <v>1204</v>
      </c>
      <c r="L587" s="74">
        <v>46092</v>
      </c>
    </row>
    <row r="588" spans="1:12" hidden="1" x14ac:dyDescent="0.25">
      <c r="A588" s="70" t="s">
        <v>877</v>
      </c>
      <c r="B588" s="70" t="s">
        <v>1756</v>
      </c>
      <c r="C588" s="70" t="s">
        <v>1757</v>
      </c>
      <c r="D588" s="70">
        <v>1715</v>
      </c>
      <c r="E588" s="70">
        <v>-1</v>
      </c>
      <c r="F588" s="71">
        <v>1.29</v>
      </c>
      <c r="G588" s="71">
        <v>0</v>
      </c>
      <c r="H588" s="71">
        <v>-1.29</v>
      </c>
      <c r="I588" s="71">
        <v>0</v>
      </c>
      <c r="J588" s="70" t="s">
        <v>486</v>
      </c>
      <c r="K588" s="70" t="s">
        <v>1204</v>
      </c>
      <c r="L588" s="74">
        <v>46092</v>
      </c>
    </row>
    <row r="589" spans="1:12" hidden="1" x14ac:dyDescent="0.25">
      <c r="A589" s="70" t="s">
        <v>877</v>
      </c>
      <c r="B589" s="70" t="s">
        <v>1313</v>
      </c>
      <c r="C589" s="70" t="s">
        <v>1314</v>
      </c>
      <c r="D589" s="70">
        <v>1715</v>
      </c>
      <c r="E589" s="70">
        <v>-1</v>
      </c>
      <c r="F589" s="71">
        <v>1.2756000000000001</v>
      </c>
      <c r="G589" s="71">
        <v>0</v>
      </c>
      <c r="H589" s="71">
        <v>-1.2756000000000001</v>
      </c>
      <c r="I589" s="71">
        <v>0</v>
      </c>
      <c r="J589" s="70" t="s">
        <v>486</v>
      </c>
      <c r="K589" s="70" t="s">
        <v>1204</v>
      </c>
      <c r="L589" s="74">
        <v>46092</v>
      </c>
    </row>
    <row r="590" spans="1:12" hidden="1" x14ac:dyDescent="0.25">
      <c r="A590" s="70" t="s">
        <v>877</v>
      </c>
      <c r="B590" s="70" t="s">
        <v>1277</v>
      </c>
      <c r="C590" s="70" t="s">
        <v>1278</v>
      </c>
      <c r="D590" s="70">
        <v>1715</v>
      </c>
      <c r="E590" s="70">
        <v>-0.36000000000001398</v>
      </c>
      <c r="F590" s="71">
        <v>1.7219997233748301</v>
      </c>
      <c r="G590" s="71">
        <v>0</v>
      </c>
      <c r="H590" s="71">
        <v>-0.61991990041496303</v>
      </c>
      <c r="I590" s="71">
        <v>0</v>
      </c>
      <c r="J590" s="70" t="s">
        <v>486</v>
      </c>
      <c r="K590" s="70" t="s">
        <v>1204</v>
      </c>
      <c r="L590" s="74">
        <v>46092</v>
      </c>
    </row>
    <row r="591" spans="1:12" hidden="1" x14ac:dyDescent="0.25">
      <c r="A591" s="70" t="s">
        <v>877</v>
      </c>
      <c r="B591" s="70" t="s">
        <v>1758</v>
      </c>
      <c r="C591" s="70" t="s">
        <v>1759</v>
      </c>
      <c r="D591" s="70">
        <v>1715</v>
      </c>
      <c r="E591" s="70">
        <v>-1</v>
      </c>
      <c r="F591" s="71">
        <v>0.59630000000000005</v>
      </c>
      <c r="G591" s="71">
        <v>0</v>
      </c>
      <c r="H591" s="71">
        <v>-0.59630000000000005</v>
      </c>
      <c r="I591" s="71">
        <v>0</v>
      </c>
      <c r="J591" s="70" t="s">
        <v>486</v>
      </c>
      <c r="K591" s="70" t="s">
        <v>1204</v>
      </c>
      <c r="L591" s="74">
        <v>46092</v>
      </c>
    </row>
    <row r="592" spans="1:12" hidden="1" x14ac:dyDescent="0.25">
      <c r="A592" s="70" t="s">
        <v>877</v>
      </c>
      <c r="B592" s="70" t="s">
        <v>1760</v>
      </c>
      <c r="C592" s="70" t="s">
        <v>1761</v>
      </c>
      <c r="D592" s="70">
        <v>1715</v>
      </c>
      <c r="E592" s="70">
        <v>-1</v>
      </c>
      <c r="F592" s="71">
        <v>0.56910000000000005</v>
      </c>
      <c r="G592" s="71">
        <v>0</v>
      </c>
      <c r="H592" s="71">
        <v>-0.56910000000000005</v>
      </c>
      <c r="I592" s="71">
        <v>0</v>
      </c>
      <c r="J592" s="70" t="s">
        <v>486</v>
      </c>
      <c r="K592" s="70" t="s">
        <v>1204</v>
      </c>
      <c r="L592" s="74">
        <v>46092</v>
      </c>
    </row>
    <row r="593" spans="1:12" hidden="1" x14ac:dyDescent="0.25">
      <c r="A593" s="70" t="s">
        <v>877</v>
      </c>
      <c r="B593" s="70" t="s">
        <v>1311</v>
      </c>
      <c r="C593" s="70" t="s">
        <v>1312</v>
      </c>
      <c r="D593" s="70">
        <v>1715</v>
      </c>
      <c r="E593" s="70">
        <v>-1</v>
      </c>
      <c r="F593" s="71">
        <v>0.12006</v>
      </c>
      <c r="G593" s="71">
        <v>0</v>
      </c>
      <c r="H593" s="71">
        <v>-0.12006</v>
      </c>
      <c r="I593" s="71">
        <v>0</v>
      </c>
      <c r="J593" s="70" t="s">
        <v>486</v>
      </c>
      <c r="K593" s="70" t="s">
        <v>1204</v>
      </c>
      <c r="L593" s="74">
        <v>46092</v>
      </c>
    </row>
    <row r="594" spans="1:12" hidden="1" x14ac:dyDescent="0.25">
      <c r="A594" s="70" t="s">
        <v>898</v>
      </c>
      <c r="B594" s="70" t="s">
        <v>1355</v>
      </c>
      <c r="C594" s="70" t="s">
        <v>1356</v>
      </c>
      <c r="D594" s="70">
        <v>1715</v>
      </c>
      <c r="E594" s="70">
        <v>31.074074074074002</v>
      </c>
      <c r="F594" s="71">
        <v>3.62769988315807</v>
      </c>
      <c r="G594" s="71">
        <v>0</v>
      </c>
      <c r="H594" s="71">
        <v>112.727414887764</v>
      </c>
      <c r="I594" s="71">
        <v>0</v>
      </c>
      <c r="J594" s="70" t="s">
        <v>486</v>
      </c>
      <c r="K594" s="70" t="s">
        <v>1204</v>
      </c>
      <c r="L594" s="74">
        <v>46092</v>
      </c>
    </row>
    <row r="595" spans="1:12" hidden="1" x14ac:dyDescent="0.25">
      <c r="A595" s="70" t="s">
        <v>898</v>
      </c>
      <c r="B595" s="70" t="s">
        <v>1762</v>
      </c>
      <c r="C595" s="70" t="s">
        <v>1763</v>
      </c>
      <c r="D595" s="70">
        <v>1715</v>
      </c>
      <c r="E595" s="70">
        <v>1</v>
      </c>
      <c r="F595" s="71">
        <v>53.897799999999997</v>
      </c>
      <c r="G595" s="71">
        <v>0</v>
      </c>
      <c r="H595" s="71">
        <v>53.897799999999997</v>
      </c>
      <c r="I595" s="71">
        <v>0</v>
      </c>
      <c r="J595" s="70" t="s">
        <v>486</v>
      </c>
      <c r="K595" s="70" t="s">
        <v>1204</v>
      </c>
      <c r="L595" s="74">
        <v>46092</v>
      </c>
    </row>
    <row r="596" spans="1:12" hidden="1" x14ac:dyDescent="0.25">
      <c r="A596" s="70" t="s">
        <v>898</v>
      </c>
      <c r="B596" s="70" t="s">
        <v>1227</v>
      </c>
      <c r="C596" s="70" t="s">
        <v>1228</v>
      </c>
      <c r="D596" s="70">
        <v>1715</v>
      </c>
      <c r="E596" s="70">
        <v>1</v>
      </c>
      <c r="F596" s="71">
        <v>53.7288</v>
      </c>
      <c r="G596" s="71">
        <v>0</v>
      </c>
      <c r="H596" s="71">
        <v>53.7288</v>
      </c>
      <c r="I596" s="71">
        <v>0</v>
      </c>
      <c r="J596" s="70" t="s">
        <v>486</v>
      </c>
      <c r="K596" s="70" t="s">
        <v>1204</v>
      </c>
      <c r="L596" s="74">
        <v>46092</v>
      </c>
    </row>
    <row r="597" spans="1:12" hidden="1" x14ac:dyDescent="0.25">
      <c r="A597" s="70" t="s">
        <v>898</v>
      </c>
      <c r="B597" s="70" t="s">
        <v>1261</v>
      </c>
      <c r="C597" s="70" t="s">
        <v>1262</v>
      </c>
      <c r="D597" s="70">
        <v>1715</v>
      </c>
      <c r="E597" s="70">
        <v>1</v>
      </c>
      <c r="F597" s="71">
        <v>20.392299999999999</v>
      </c>
      <c r="G597" s="71">
        <v>0</v>
      </c>
      <c r="H597" s="71">
        <v>20.392299999999999</v>
      </c>
      <c r="I597" s="71">
        <v>0</v>
      </c>
      <c r="J597" s="70" t="s">
        <v>486</v>
      </c>
      <c r="K597" s="70" t="s">
        <v>1204</v>
      </c>
      <c r="L597" s="74">
        <v>46092</v>
      </c>
    </row>
    <row r="598" spans="1:12" hidden="1" x14ac:dyDescent="0.25">
      <c r="A598" s="70" t="s">
        <v>898</v>
      </c>
      <c r="B598" s="70" t="s">
        <v>1273</v>
      </c>
      <c r="C598" s="70" t="s">
        <v>1274</v>
      </c>
      <c r="D598" s="70">
        <v>1715</v>
      </c>
      <c r="E598" s="70">
        <v>1</v>
      </c>
      <c r="F598" s="71">
        <v>14.355499999999999</v>
      </c>
      <c r="G598" s="71">
        <v>0</v>
      </c>
      <c r="H598" s="71">
        <v>14.355499999999999</v>
      </c>
      <c r="I598" s="71">
        <v>0</v>
      </c>
      <c r="J598" s="70" t="s">
        <v>486</v>
      </c>
      <c r="K598" s="70" t="s">
        <v>1204</v>
      </c>
      <c r="L598" s="74">
        <v>46092</v>
      </c>
    </row>
    <row r="599" spans="1:12" hidden="1" x14ac:dyDescent="0.25">
      <c r="A599" s="70" t="s">
        <v>898</v>
      </c>
      <c r="B599" s="70" t="s">
        <v>1764</v>
      </c>
      <c r="C599" s="70" t="s">
        <v>1765</v>
      </c>
      <c r="D599" s="70">
        <v>1715</v>
      </c>
      <c r="E599" s="70">
        <v>1</v>
      </c>
      <c r="F599" s="71">
        <v>13.4795</v>
      </c>
      <c r="G599" s="71">
        <v>0</v>
      </c>
      <c r="H599" s="71">
        <v>13.4795</v>
      </c>
      <c r="I599" s="71">
        <v>0</v>
      </c>
      <c r="J599" s="70" t="s">
        <v>486</v>
      </c>
      <c r="K599" s="70" t="s">
        <v>1204</v>
      </c>
      <c r="L599" s="74">
        <v>46092</v>
      </c>
    </row>
    <row r="600" spans="1:12" hidden="1" x14ac:dyDescent="0.25">
      <c r="A600" s="70" t="s">
        <v>898</v>
      </c>
      <c r="B600" s="70" t="s">
        <v>1361</v>
      </c>
      <c r="C600" s="70" t="s">
        <v>1362</v>
      </c>
      <c r="D600" s="70">
        <v>1715</v>
      </c>
      <c r="E600" s="70">
        <v>3.2681481481479899</v>
      </c>
      <c r="F600" s="71">
        <v>3.64042071967893</v>
      </c>
      <c r="G600" s="71">
        <v>0</v>
      </c>
      <c r="H600" s="71">
        <v>11.8974342334983</v>
      </c>
      <c r="I600" s="71">
        <v>0</v>
      </c>
      <c r="J600" s="70" t="s">
        <v>486</v>
      </c>
      <c r="K600" s="70" t="s">
        <v>1204</v>
      </c>
      <c r="L600" s="74">
        <v>46092</v>
      </c>
    </row>
    <row r="601" spans="1:12" hidden="1" x14ac:dyDescent="0.25">
      <c r="A601" s="70" t="s">
        <v>898</v>
      </c>
      <c r="B601" s="70" t="s">
        <v>1766</v>
      </c>
      <c r="C601" s="70" t="s">
        <v>1767</v>
      </c>
      <c r="D601" s="70">
        <v>1715</v>
      </c>
      <c r="E601" s="70">
        <v>2</v>
      </c>
      <c r="F601" s="71">
        <v>4.3901399999999997</v>
      </c>
      <c r="G601" s="71">
        <v>0</v>
      </c>
      <c r="H601" s="71">
        <v>8.7802799999999994</v>
      </c>
      <c r="I601" s="71">
        <v>0</v>
      </c>
      <c r="J601" s="70" t="s">
        <v>486</v>
      </c>
      <c r="K601" s="70" t="s">
        <v>1204</v>
      </c>
      <c r="L601" s="74">
        <v>46092</v>
      </c>
    </row>
    <row r="602" spans="1:12" hidden="1" x14ac:dyDescent="0.25">
      <c r="A602" s="70" t="s">
        <v>898</v>
      </c>
      <c r="B602" s="70" t="s">
        <v>1768</v>
      </c>
      <c r="C602" s="70" t="s">
        <v>1739</v>
      </c>
      <c r="D602" s="70">
        <v>1715</v>
      </c>
      <c r="E602" s="70">
        <v>1</v>
      </c>
      <c r="F602" s="71">
        <v>6.3841363636363599</v>
      </c>
      <c r="G602" s="71">
        <v>0</v>
      </c>
      <c r="H602" s="71">
        <v>6.3841363636363599</v>
      </c>
      <c r="I602" s="71">
        <v>0</v>
      </c>
      <c r="J602" s="70" t="s">
        <v>486</v>
      </c>
      <c r="K602" s="70" t="s">
        <v>1204</v>
      </c>
      <c r="L602" s="74">
        <v>46092</v>
      </c>
    </row>
    <row r="603" spans="1:12" hidden="1" x14ac:dyDescent="0.25">
      <c r="A603" s="70" t="s">
        <v>898</v>
      </c>
      <c r="B603" s="70" t="s">
        <v>1295</v>
      </c>
      <c r="C603" s="70" t="s">
        <v>1296</v>
      </c>
      <c r="D603" s="70">
        <v>1715</v>
      </c>
      <c r="E603" s="70">
        <v>1</v>
      </c>
      <c r="F603" s="71">
        <v>5.24</v>
      </c>
      <c r="G603" s="71">
        <v>0</v>
      </c>
      <c r="H603" s="71">
        <v>5.24</v>
      </c>
      <c r="I603" s="71">
        <v>0</v>
      </c>
      <c r="J603" s="70" t="s">
        <v>486</v>
      </c>
      <c r="K603" s="70" t="s">
        <v>1204</v>
      </c>
      <c r="L603" s="74">
        <v>46092</v>
      </c>
    </row>
    <row r="604" spans="1:12" hidden="1" x14ac:dyDescent="0.25">
      <c r="A604" s="70" t="s">
        <v>898</v>
      </c>
      <c r="B604" s="70" t="s">
        <v>1303</v>
      </c>
      <c r="C604" s="70" t="s">
        <v>1304</v>
      </c>
      <c r="D604" s="70">
        <v>1715</v>
      </c>
      <c r="E604" s="70">
        <v>1</v>
      </c>
      <c r="F604" s="71">
        <v>4.21</v>
      </c>
      <c r="G604" s="71">
        <v>0</v>
      </c>
      <c r="H604" s="71">
        <v>4.21</v>
      </c>
      <c r="I604" s="71">
        <v>0</v>
      </c>
      <c r="J604" s="70" t="s">
        <v>486</v>
      </c>
      <c r="K604" s="70" t="s">
        <v>1204</v>
      </c>
      <c r="L604" s="74">
        <v>46092</v>
      </c>
    </row>
    <row r="605" spans="1:12" hidden="1" x14ac:dyDescent="0.25">
      <c r="A605" s="70" t="s">
        <v>898</v>
      </c>
      <c r="B605" s="70" t="s">
        <v>1309</v>
      </c>
      <c r="C605" s="70" t="s">
        <v>1310</v>
      </c>
      <c r="D605" s="70">
        <v>1715</v>
      </c>
      <c r="E605" s="70">
        <v>1</v>
      </c>
      <c r="F605" s="71">
        <v>2.7</v>
      </c>
      <c r="G605" s="71">
        <v>0</v>
      </c>
      <c r="H605" s="71">
        <v>2.7</v>
      </c>
      <c r="I605" s="71">
        <v>0</v>
      </c>
      <c r="J605" s="70" t="s">
        <v>486</v>
      </c>
      <c r="K605" s="70" t="s">
        <v>1204</v>
      </c>
      <c r="L605" s="74">
        <v>46092</v>
      </c>
    </row>
    <row r="606" spans="1:12" hidden="1" x14ac:dyDescent="0.25">
      <c r="A606" s="70" t="s">
        <v>898</v>
      </c>
      <c r="B606" s="70" t="s">
        <v>1769</v>
      </c>
      <c r="C606" s="70" t="s">
        <v>1770</v>
      </c>
      <c r="D606" s="70">
        <v>1715</v>
      </c>
      <c r="E606" s="70">
        <v>1</v>
      </c>
      <c r="F606" s="71">
        <v>1.0375000000000001</v>
      </c>
      <c r="G606" s="71">
        <v>0</v>
      </c>
      <c r="H606" s="71">
        <v>1.0375000000000001</v>
      </c>
      <c r="I606" s="71">
        <v>0</v>
      </c>
      <c r="J606" s="70" t="s">
        <v>486</v>
      </c>
      <c r="K606" s="70" t="s">
        <v>1204</v>
      </c>
      <c r="L606" s="74">
        <v>46092</v>
      </c>
    </row>
    <row r="607" spans="1:12" hidden="1" x14ac:dyDescent="0.25">
      <c r="A607" s="70" t="s">
        <v>1367</v>
      </c>
      <c r="B607" s="70" t="s">
        <v>1771</v>
      </c>
      <c r="C607" s="70" t="s">
        <v>1772</v>
      </c>
      <c r="D607" s="70">
        <v>1715</v>
      </c>
      <c r="E607" s="70">
        <v>-1</v>
      </c>
      <c r="F607" s="71">
        <v>3.86</v>
      </c>
      <c r="G607" s="71">
        <v>0</v>
      </c>
      <c r="H607" s="71">
        <v>-3.86</v>
      </c>
      <c r="I607" s="71">
        <v>0</v>
      </c>
      <c r="J607" s="70" t="s">
        <v>486</v>
      </c>
      <c r="K607" s="70" t="s">
        <v>1204</v>
      </c>
      <c r="L607" s="74">
        <v>46092</v>
      </c>
    </row>
    <row r="608" spans="1:12" hidden="1" x14ac:dyDescent="0.25">
      <c r="A608" s="70" t="s">
        <v>1367</v>
      </c>
      <c r="B608" s="70" t="s">
        <v>1773</v>
      </c>
      <c r="C608" s="70" t="s">
        <v>1774</v>
      </c>
      <c r="D608" s="70">
        <v>1715</v>
      </c>
      <c r="E608" s="70">
        <v>-4</v>
      </c>
      <c r="F608" s="71">
        <v>0.60570000000000002</v>
      </c>
      <c r="G608" s="71">
        <v>0</v>
      </c>
      <c r="H608" s="71">
        <v>-2.4228000000000001</v>
      </c>
      <c r="I608" s="71">
        <v>0</v>
      </c>
      <c r="J608" s="70" t="s">
        <v>486</v>
      </c>
      <c r="K608" s="70" t="s">
        <v>1204</v>
      </c>
      <c r="L608" s="74">
        <v>46092</v>
      </c>
    </row>
    <row r="609" spans="1:12" hidden="1" x14ac:dyDescent="0.25">
      <c r="A609" s="70" t="s">
        <v>1367</v>
      </c>
      <c r="B609" s="70" t="s">
        <v>1775</v>
      </c>
      <c r="C609" s="70" t="s">
        <v>1776</v>
      </c>
      <c r="D609" s="70">
        <v>1715</v>
      </c>
      <c r="E609" s="70">
        <v>-1</v>
      </c>
      <c r="F609" s="71">
        <v>2.2092999999999998</v>
      </c>
      <c r="G609" s="71">
        <v>0</v>
      </c>
      <c r="H609" s="71">
        <v>-2.2092999999999998</v>
      </c>
      <c r="I609" s="71">
        <v>0</v>
      </c>
      <c r="J609" s="70" t="s">
        <v>486</v>
      </c>
      <c r="K609" s="70" t="s">
        <v>1204</v>
      </c>
      <c r="L609" s="74">
        <v>46092</v>
      </c>
    </row>
    <row r="610" spans="1:12" hidden="1" x14ac:dyDescent="0.25">
      <c r="A610" s="70" t="s">
        <v>1367</v>
      </c>
      <c r="B610" s="70" t="s">
        <v>1777</v>
      </c>
      <c r="C610" s="70" t="s">
        <v>1778</v>
      </c>
      <c r="D610" s="70">
        <v>1715</v>
      </c>
      <c r="E610" s="70">
        <v>-3</v>
      </c>
      <c r="F610" s="71">
        <v>0.60570000000000002</v>
      </c>
      <c r="G610" s="71">
        <v>0</v>
      </c>
      <c r="H610" s="71">
        <v>-1.8170999999999999</v>
      </c>
      <c r="I610" s="71">
        <v>0</v>
      </c>
      <c r="J610" s="70" t="s">
        <v>486</v>
      </c>
      <c r="K610" s="70" t="s">
        <v>1204</v>
      </c>
      <c r="L610" s="74">
        <v>46092</v>
      </c>
    </row>
    <row r="611" spans="1:12" hidden="1" x14ac:dyDescent="0.25">
      <c r="A611" s="70" t="s">
        <v>1367</v>
      </c>
      <c r="B611" s="70" t="s">
        <v>1779</v>
      </c>
      <c r="C611" s="70" t="s">
        <v>1780</v>
      </c>
      <c r="D611" s="70">
        <v>1715</v>
      </c>
      <c r="E611" s="70">
        <v>-2</v>
      </c>
      <c r="F611" s="71">
        <v>0.56899999999999995</v>
      </c>
      <c r="G611" s="71">
        <v>0</v>
      </c>
      <c r="H611" s="71">
        <v>-1.1379999999999999</v>
      </c>
      <c r="I611" s="71">
        <v>0</v>
      </c>
      <c r="J611" s="70" t="s">
        <v>486</v>
      </c>
      <c r="K611" s="70" t="s">
        <v>1204</v>
      </c>
      <c r="L611" s="74">
        <v>46092</v>
      </c>
    </row>
    <row r="612" spans="1:12" hidden="1" x14ac:dyDescent="0.25">
      <c r="A612" s="70" t="s">
        <v>1367</v>
      </c>
      <c r="B612" s="70" t="s">
        <v>1758</v>
      </c>
      <c r="C612" s="70" t="s">
        <v>1759</v>
      </c>
      <c r="D612" s="70">
        <v>1715</v>
      </c>
      <c r="E612" s="70">
        <v>-1</v>
      </c>
      <c r="F612" s="71">
        <v>0.59630000000000005</v>
      </c>
      <c r="G612" s="71">
        <v>0</v>
      </c>
      <c r="H612" s="71">
        <v>-0.59630000000000005</v>
      </c>
      <c r="I612" s="71">
        <v>0</v>
      </c>
      <c r="J612" s="70" t="s">
        <v>486</v>
      </c>
      <c r="K612" s="70" t="s">
        <v>1204</v>
      </c>
      <c r="L612" s="74">
        <v>46092</v>
      </c>
    </row>
    <row r="613" spans="1:12" hidden="1" x14ac:dyDescent="0.25">
      <c r="A613" s="70" t="s">
        <v>1367</v>
      </c>
      <c r="B613" s="70" t="s">
        <v>1781</v>
      </c>
      <c r="C613" s="70" t="s">
        <v>1782</v>
      </c>
      <c r="D613" s="70">
        <v>1715</v>
      </c>
      <c r="E613" s="70">
        <v>-1</v>
      </c>
      <c r="F613" s="71">
        <v>0.53080000000000005</v>
      </c>
      <c r="G613" s="71">
        <v>0</v>
      </c>
      <c r="H613" s="71">
        <v>-0.53080000000000005</v>
      </c>
      <c r="I613" s="71">
        <v>0</v>
      </c>
      <c r="J613" s="70" t="s">
        <v>486</v>
      </c>
      <c r="K613" s="70" t="s">
        <v>1204</v>
      </c>
      <c r="L613" s="74">
        <v>46092</v>
      </c>
    </row>
    <row r="614" spans="1:12" hidden="1" x14ac:dyDescent="0.25">
      <c r="A614" s="70" t="s">
        <v>877</v>
      </c>
      <c r="B614" s="70" t="s">
        <v>1783</v>
      </c>
      <c r="C614" s="70" t="s">
        <v>1784</v>
      </c>
      <c r="D614" s="70">
        <v>1514</v>
      </c>
      <c r="E614" s="70">
        <v>-1</v>
      </c>
      <c r="F614" s="71">
        <v>42.7774</v>
      </c>
      <c r="G614" s="71">
        <v>85.69</v>
      </c>
      <c r="H614" s="71">
        <v>-42.7774</v>
      </c>
      <c r="I614" s="71">
        <v>-85.69</v>
      </c>
      <c r="J614" s="70" t="s">
        <v>644</v>
      </c>
      <c r="K614" s="70" t="s">
        <v>48</v>
      </c>
      <c r="L614" s="74">
        <v>46098</v>
      </c>
    </row>
    <row r="615" spans="1:12" hidden="1" x14ac:dyDescent="0.25">
      <c r="A615" s="70" t="s">
        <v>877</v>
      </c>
      <c r="B615" s="70" t="s">
        <v>1785</v>
      </c>
      <c r="C615" s="70" t="s">
        <v>1786</v>
      </c>
      <c r="D615" s="70">
        <v>1514</v>
      </c>
      <c r="E615" s="70">
        <v>-1</v>
      </c>
      <c r="F615" s="71">
        <v>26.2773</v>
      </c>
      <c r="G615" s="71">
        <v>58</v>
      </c>
      <c r="H615" s="71">
        <v>-26.2773</v>
      </c>
      <c r="I615" s="71">
        <v>-58</v>
      </c>
      <c r="J615" s="70" t="s">
        <v>644</v>
      </c>
      <c r="K615" s="70" t="s">
        <v>48</v>
      </c>
      <c r="L615" s="74">
        <v>46098</v>
      </c>
    </row>
    <row r="616" spans="1:12" hidden="1" x14ac:dyDescent="0.25">
      <c r="A616" s="70" t="s">
        <v>877</v>
      </c>
      <c r="B616" s="70" t="s">
        <v>1787</v>
      </c>
      <c r="C616" s="70" t="s">
        <v>1788</v>
      </c>
      <c r="D616" s="70">
        <v>1514</v>
      </c>
      <c r="E616" s="70">
        <v>-1</v>
      </c>
      <c r="F616" s="71">
        <v>36.490499999999997</v>
      </c>
      <c r="G616" s="71">
        <v>53.43</v>
      </c>
      <c r="H616" s="71">
        <v>-36.490499999999997</v>
      </c>
      <c r="I616" s="71">
        <v>-53.43</v>
      </c>
      <c r="J616" s="70" t="s">
        <v>644</v>
      </c>
      <c r="K616" s="70" t="s">
        <v>48</v>
      </c>
      <c r="L616" s="74">
        <v>46098</v>
      </c>
    </row>
    <row r="617" spans="1:12" hidden="1" x14ac:dyDescent="0.25">
      <c r="A617" s="70" t="s">
        <v>877</v>
      </c>
      <c r="B617" s="70" t="s">
        <v>1789</v>
      </c>
      <c r="C617" s="70" t="s">
        <v>1790</v>
      </c>
      <c r="D617" s="70">
        <v>1514</v>
      </c>
      <c r="E617" s="70">
        <v>-1</v>
      </c>
      <c r="F617" s="71">
        <v>20.407699999999998</v>
      </c>
      <c r="G617" s="71">
        <v>40.81</v>
      </c>
      <c r="H617" s="71">
        <v>-20.407699999999998</v>
      </c>
      <c r="I617" s="71">
        <v>-40.81</v>
      </c>
      <c r="J617" s="70" t="s">
        <v>644</v>
      </c>
      <c r="K617" s="70" t="s">
        <v>48</v>
      </c>
      <c r="L617" s="74">
        <v>46098</v>
      </c>
    </row>
    <row r="618" spans="1:12" hidden="1" x14ac:dyDescent="0.25">
      <c r="A618" s="70" t="s">
        <v>877</v>
      </c>
      <c r="B618" s="70" t="s">
        <v>1192</v>
      </c>
      <c r="C618" s="70" t="s">
        <v>1193</v>
      </c>
      <c r="D618" s="70">
        <v>1514</v>
      </c>
      <c r="E618" s="70">
        <v>-1</v>
      </c>
      <c r="F618" s="71">
        <v>16.759799999999998</v>
      </c>
      <c r="G618" s="71">
        <v>33.119999999999997</v>
      </c>
      <c r="H618" s="71">
        <v>-16.759799999999998</v>
      </c>
      <c r="I618" s="71">
        <v>-33.119999999999997</v>
      </c>
      <c r="J618" s="70" t="s">
        <v>644</v>
      </c>
      <c r="K618" s="70" t="s">
        <v>48</v>
      </c>
      <c r="L618" s="74">
        <v>46098</v>
      </c>
    </row>
    <row r="619" spans="1:12" hidden="1" x14ac:dyDescent="0.25">
      <c r="A619" s="70" t="s">
        <v>877</v>
      </c>
      <c r="B619" s="70" t="s">
        <v>1791</v>
      </c>
      <c r="C619" s="70" t="s">
        <v>1792</v>
      </c>
      <c r="D619" s="70">
        <v>1514</v>
      </c>
      <c r="E619" s="70">
        <v>-1</v>
      </c>
      <c r="F619" s="71">
        <v>10.365550000000001</v>
      </c>
      <c r="G619" s="71">
        <v>22.41</v>
      </c>
      <c r="H619" s="71">
        <v>-10.365550000000001</v>
      </c>
      <c r="I619" s="71">
        <v>-22.41</v>
      </c>
      <c r="J619" s="70" t="s">
        <v>644</v>
      </c>
      <c r="K619" s="70" t="s">
        <v>48</v>
      </c>
      <c r="L619" s="74">
        <v>46098</v>
      </c>
    </row>
    <row r="620" spans="1:12" hidden="1" x14ac:dyDescent="0.25">
      <c r="A620" s="70" t="s">
        <v>877</v>
      </c>
      <c r="B620" s="70" t="s">
        <v>1164</v>
      </c>
      <c r="C620" s="70" t="s">
        <v>1165</v>
      </c>
      <c r="D620" s="70">
        <v>1514</v>
      </c>
      <c r="E620" s="70">
        <v>-1</v>
      </c>
      <c r="F620" s="71">
        <v>8.6404999999999994</v>
      </c>
      <c r="G620" s="71">
        <v>20.170000000000002</v>
      </c>
      <c r="H620" s="71">
        <v>-8.6404999999999994</v>
      </c>
      <c r="I620" s="71">
        <v>-20.170000000000002</v>
      </c>
      <c r="J620" s="70" t="s">
        <v>644</v>
      </c>
      <c r="K620" s="70" t="s">
        <v>48</v>
      </c>
      <c r="L620" s="74">
        <v>46098</v>
      </c>
    </row>
    <row r="621" spans="1:12" hidden="1" x14ac:dyDescent="0.25">
      <c r="A621" s="70" t="s">
        <v>877</v>
      </c>
      <c r="B621" s="70" t="s">
        <v>1793</v>
      </c>
      <c r="C621" s="70" t="s">
        <v>1794</v>
      </c>
      <c r="D621" s="70">
        <v>1514</v>
      </c>
      <c r="E621" s="70">
        <v>-1</v>
      </c>
      <c r="F621" s="71">
        <v>7.0621999999999998</v>
      </c>
      <c r="G621" s="71">
        <v>18.2</v>
      </c>
      <c r="H621" s="71">
        <v>-7.0621999999999998</v>
      </c>
      <c r="I621" s="71">
        <v>-18.2</v>
      </c>
      <c r="J621" s="70" t="s">
        <v>644</v>
      </c>
      <c r="K621" s="70" t="s">
        <v>48</v>
      </c>
      <c r="L621" s="74">
        <v>46098</v>
      </c>
    </row>
    <row r="622" spans="1:12" hidden="1" x14ac:dyDescent="0.25">
      <c r="A622" s="70" t="s">
        <v>877</v>
      </c>
      <c r="B622" s="70" t="s">
        <v>1635</v>
      </c>
      <c r="C622" s="70" t="s">
        <v>1636</v>
      </c>
      <c r="D622" s="70">
        <v>1514</v>
      </c>
      <c r="E622" s="70">
        <v>-1</v>
      </c>
      <c r="F622" s="71">
        <v>4.7293000000000003</v>
      </c>
      <c r="G622" s="71">
        <v>13.88</v>
      </c>
      <c r="H622" s="71">
        <v>-4.7293000000000003</v>
      </c>
      <c r="I622" s="71">
        <v>-13.88</v>
      </c>
      <c r="J622" s="70" t="s">
        <v>644</v>
      </c>
      <c r="K622" s="70" t="s">
        <v>48</v>
      </c>
      <c r="L622" s="74">
        <v>46098</v>
      </c>
    </row>
    <row r="623" spans="1:12" hidden="1" x14ac:dyDescent="0.25">
      <c r="A623" s="70" t="s">
        <v>877</v>
      </c>
      <c r="B623" s="70" t="s">
        <v>1795</v>
      </c>
      <c r="C623" s="70" t="s">
        <v>1796</v>
      </c>
      <c r="D623" s="70">
        <v>1514</v>
      </c>
      <c r="E623" s="70">
        <v>-1</v>
      </c>
      <c r="F623" s="71">
        <v>7.1170666666666698</v>
      </c>
      <c r="G623" s="71">
        <v>10.83</v>
      </c>
      <c r="H623" s="71">
        <v>-7.1170666666666698</v>
      </c>
      <c r="I623" s="71">
        <v>-10.83</v>
      </c>
      <c r="J623" s="70" t="s">
        <v>644</v>
      </c>
      <c r="K623" s="70" t="s">
        <v>48</v>
      </c>
      <c r="L623" s="74">
        <v>46098</v>
      </c>
    </row>
    <row r="624" spans="1:12" hidden="1" x14ac:dyDescent="0.25">
      <c r="A624" s="70" t="s">
        <v>877</v>
      </c>
      <c r="B624" s="70" t="s">
        <v>1797</v>
      </c>
      <c r="C624" s="70" t="s">
        <v>1798</v>
      </c>
      <c r="D624" s="70">
        <v>1514</v>
      </c>
      <c r="E624" s="70">
        <v>-1</v>
      </c>
      <c r="F624" s="71">
        <v>1.7195</v>
      </c>
      <c r="G624" s="71">
        <v>4.43</v>
      </c>
      <c r="H624" s="71">
        <v>-1.7195</v>
      </c>
      <c r="I624" s="71">
        <v>-4.43</v>
      </c>
      <c r="J624" s="70" t="s">
        <v>644</v>
      </c>
      <c r="K624" s="70" t="s">
        <v>48</v>
      </c>
      <c r="L624" s="74">
        <v>46098</v>
      </c>
    </row>
    <row r="625" spans="1:12" hidden="1" x14ac:dyDescent="0.25">
      <c r="A625" s="70" t="s">
        <v>877</v>
      </c>
      <c r="B625" s="70" t="s">
        <v>1799</v>
      </c>
      <c r="C625" s="70" t="s">
        <v>1800</v>
      </c>
      <c r="D625" s="70">
        <v>1514</v>
      </c>
      <c r="E625" s="70">
        <v>-1</v>
      </c>
      <c r="F625" s="71">
        <v>1.5228999999999999</v>
      </c>
      <c r="G625" s="71">
        <v>3.93</v>
      </c>
      <c r="H625" s="71">
        <v>-1.5228999999999999</v>
      </c>
      <c r="I625" s="71">
        <v>-3.93</v>
      </c>
      <c r="J625" s="70" t="s">
        <v>644</v>
      </c>
      <c r="K625" s="70" t="s">
        <v>48</v>
      </c>
      <c r="L625" s="74">
        <v>46098</v>
      </c>
    </row>
    <row r="626" spans="1:12" hidden="1" x14ac:dyDescent="0.25">
      <c r="A626" s="70" t="s">
        <v>877</v>
      </c>
      <c r="B626" s="70" t="s">
        <v>1801</v>
      </c>
      <c r="C626" s="70" t="s">
        <v>1802</v>
      </c>
      <c r="D626" s="70">
        <v>1514</v>
      </c>
      <c r="E626" s="70">
        <v>-1</v>
      </c>
      <c r="F626" s="71">
        <v>1.7739</v>
      </c>
      <c r="G626" s="71">
        <v>3.85</v>
      </c>
      <c r="H626" s="71">
        <v>-1.7739</v>
      </c>
      <c r="I626" s="71">
        <v>-3.85</v>
      </c>
      <c r="J626" s="70" t="s">
        <v>644</v>
      </c>
      <c r="K626" s="70" t="s">
        <v>48</v>
      </c>
      <c r="L626" s="74">
        <v>46098</v>
      </c>
    </row>
    <row r="627" spans="1:12" hidden="1" x14ac:dyDescent="0.25">
      <c r="A627" s="70" t="s">
        <v>877</v>
      </c>
      <c r="B627" s="70" t="s">
        <v>1803</v>
      </c>
      <c r="C627" s="70" t="s">
        <v>1804</v>
      </c>
      <c r="D627" s="70">
        <v>1514</v>
      </c>
      <c r="E627" s="70">
        <v>-2</v>
      </c>
      <c r="F627" s="71">
        <v>0.41489999999999999</v>
      </c>
      <c r="G627" s="71">
        <v>1.28</v>
      </c>
      <c r="H627" s="71">
        <v>-0.82979999999999998</v>
      </c>
      <c r="I627" s="71">
        <v>-2.56</v>
      </c>
      <c r="J627" s="70" t="s">
        <v>644</v>
      </c>
      <c r="K627" s="70" t="s">
        <v>48</v>
      </c>
      <c r="L627" s="74">
        <v>46098</v>
      </c>
    </row>
    <row r="628" spans="1:12" hidden="1" x14ac:dyDescent="0.25">
      <c r="A628" s="70" t="s">
        <v>898</v>
      </c>
      <c r="B628" s="70" t="s">
        <v>1805</v>
      </c>
      <c r="C628" s="70" t="s">
        <v>1806</v>
      </c>
      <c r="D628" s="70">
        <v>1514</v>
      </c>
      <c r="E628" s="70">
        <v>1</v>
      </c>
      <c r="F628" s="71">
        <v>64.628600000000006</v>
      </c>
      <c r="G628" s="71">
        <v>166.84</v>
      </c>
      <c r="H628" s="71">
        <v>64.628600000000006</v>
      </c>
      <c r="I628" s="71">
        <v>166.84</v>
      </c>
      <c r="J628" s="70" t="s">
        <v>644</v>
      </c>
      <c r="K628" s="70" t="s">
        <v>48</v>
      </c>
      <c r="L628" s="74">
        <v>46098</v>
      </c>
    </row>
    <row r="629" spans="1:12" hidden="1" x14ac:dyDescent="0.25">
      <c r="A629" s="70" t="s">
        <v>898</v>
      </c>
      <c r="B629" s="70" t="s">
        <v>1807</v>
      </c>
      <c r="C629" s="70" t="s">
        <v>1808</v>
      </c>
      <c r="D629" s="70">
        <v>1514</v>
      </c>
      <c r="E629" s="70">
        <v>1</v>
      </c>
      <c r="F629" s="71">
        <v>8.0681999999999992</v>
      </c>
      <c r="G629" s="71">
        <v>12.46</v>
      </c>
      <c r="H629" s="71">
        <v>8.0681999999999992</v>
      </c>
      <c r="I629" s="71">
        <v>12.46</v>
      </c>
      <c r="J629" s="70" t="s">
        <v>644</v>
      </c>
      <c r="K629" s="70" t="s">
        <v>48</v>
      </c>
      <c r="L629" s="74">
        <v>46098</v>
      </c>
    </row>
    <row r="630" spans="1:12" hidden="1" x14ac:dyDescent="0.25">
      <c r="A630" s="70" t="s">
        <v>911</v>
      </c>
      <c r="B630" s="70" t="s">
        <v>1809</v>
      </c>
      <c r="C630" s="70" t="s">
        <v>1810</v>
      </c>
      <c r="D630" s="70">
        <v>1514</v>
      </c>
      <c r="E630" s="70">
        <v>1</v>
      </c>
      <c r="F630" s="71">
        <v>37.612499999999997</v>
      </c>
      <c r="G630" s="71">
        <v>105.44</v>
      </c>
      <c r="H630" s="71">
        <v>37.612499999999997</v>
      </c>
      <c r="I630" s="71">
        <v>105.44</v>
      </c>
      <c r="J630" s="70" t="s">
        <v>644</v>
      </c>
      <c r="K630" s="70" t="s">
        <v>48</v>
      </c>
      <c r="L630" s="74">
        <v>46098</v>
      </c>
    </row>
    <row r="631" spans="1:12" hidden="1" x14ac:dyDescent="0.25">
      <c r="A631" s="70" t="s">
        <v>922</v>
      </c>
      <c r="B631" s="70" t="s">
        <v>1811</v>
      </c>
      <c r="C631" s="70" t="s">
        <v>1812</v>
      </c>
      <c r="D631" s="70">
        <v>1514</v>
      </c>
      <c r="E631" s="70">
        <v>-1</v>
      </c>
      <c r="F631" s="71">
        <v>37.617600000000003</v>
      </c>
      <c r="G631" s="71">
        <v>105.44</v>
      </c>
      <c r="H631" s="71">
        <v>-37.617600000000003</v>
      </c>
      <c r="I631" s="71">
        <v>-105.44</v>
      </c>
      <c r="J631" s="70" t="s">
        <v>644</v>
      </c>
      <c r="K631" s="70" t="s">
        <v>48</v>
      </c>
      <c r="L631" s="74">
        <v>46098</v>
      </c>
    </row>
    <row r="632" spans="1:12" hidden="1" x14ac:dyDescent="0.25">
      <c r="A632" s="70" t="s">
        <v>911</v>
      </c>
      <c r="B632" s="70" t="s">
        <v>1813</v>
      </c>
      <c r="C632" s="70" t="s">
        <v>1814</v>
      </c>
      <c r="D632" s="70">
        <v>1514</v>
      </c>
      <c r="E632" s="70">
        <v>1</v>
      </c>
      <c r="F632" s="71">
        <v>329.2903</v>
      </c>
      <c r="G632" s="71">
        <v>787.15</v>
      </c>
      <c r="H632" s="71">
        <v>329.2903</v>
      </c>
      <c r="I632" s="71">
        <v>787.15</v>
      </c>
      <c r="J632" s="70" t="s">
        <v>644</v>
      </c>
      <c r="K632" s="70" t="s">
        <v>48</v>
      </c>
      <c r="L632" s="74">
        <v>46098</v>
      </c>
    </row>
    <row r="633" spans="1:12" hidden="1" x14ac:dyDescent="0.25">
      <c r="A633" s="70" t="s">
        <v>922</v>
      </c>
      <c r="B633" s="70" t="s">
        <v>1035</v>
      </c>
      <c r="C633" s="70" t="s">
        <v>1036</v>
      </c>
      <c r="D633" s="70">
        <v>1514</v>
      </c>
      <c r="E633" s="70">
        <v>-1</v>
      </c>
      <c r="F633" s="71">
        <v>331.73570000000001</v>
      </c>
      <c r="G633" s="71">
        <v>787.15</v>
      </c>
      <c r="H633" s="71">
        <v>-331.73570000000001</v>
      </c>
      <c r="I633" s="71">
        <v>-787.15</v>
      </c>
      <c r="J633" s="70" t="s">
        <v>644</v>
      </c>
      <c r="K633" s="70" t="s">
        <v>48</v>
      </c>
      <c r="L633" s="74">
        <v>46098</v>
      </c>
    </row>
    <row r="634" spans="1:12" hidden="1" x14ac:dyDescent="0.25">
      <c r="A634" s="70" t="s">
        <v>911</v>
      </c>
      <c r="B634" s="70" t="s">
        <v>1815</v>
      </c>
      <c r="C634" s="70" t="s">
        <v>1816</v>
      </c>
      <c r="D634" s="70">
        <v>1514</v>
      </c>
      <c r="E634" s="70">
        <v>1</v>
      </c>
      <c r="F634" s="71">
        <v>9.2757000000000005</v>
      </c>
      <c r="G634" s="71">
        <v>20.93</v>
      </c>
      <c r="H634" s="71">
        <v>9.2757000000000005</v>
      </c>
      <c r="I634" s="71">
        <v>20.93</v>
      </c>
      <c r="J634" s="70" t="s">
        <v>644</v>
      </c>
      <c r="K634" s="70" t="s">
        <v>48</v>
      </c>
      <c r="L634" s="74">
        <v>46098</v>
      </c>
    </row>
    <row r="635" spans="1:12" hidden="1" x14ac:dyDescent="0.25">
      <c r="A635" s="70" t="s">
        <v>922</v>
      </c>
      <c r="B635" s="70" t="s">
        <v>1817</v>
      </c>
      <c r="C635" s="70" t="s">
        <v>1818</v>
      </c>
      <c r="D635" s="70">
        <v>1514</v>
      </c>
      <c r="E635" s="70">
        <v>-1</v>
      </c>
      <c r="F635" s="71">
        <v>9.2681000000000004</v>
      </c>
      <c r="G635" s="71">
        <v>20.93</v>
      </c>
      <c r="H635" s="71">
        <v>-9.2681000000000004</v>
      </c>
      <c r="I635" s="71">
        <v>-20.93</v>
      </c>
      <c r="J635" s="70" t="s">
        <v>644</v>
      </c>
      <c r="K635" s="70" t="s">
        <v>48</v>
      </c>
      <c r="L635" s="74">
        <v>46098</v>
      </c>
    </row>
    <row r="636" spans="1:12" hidden="1" x14ac:dyDescent="0.25">
      <c r="A636" s="70" t="s">
        <v>911</v>
      </c>
      <c r="B636" s="70" t="s">
        <v>1128</v>
      </c>
      <c r="C636" s="70" t="s">
        <v>1129</v>
      </c>
      <c r="D636" s="70">
        <v>1514</v>
      </c>
      <c r="E636" s="70">
        <v>2</v>
      </c>
      <c r="F636" s="71">
        <v>10.407400000000001</v>
      </c>
      <c r="G636" s="71">
        <v>22.41</v>
      </c>
      <c r="H636" s="71">
        <v>20.814800000000002</v>
      </c>
      <c r="I636" s="71">
        <v>44.82</v>
      </c>
      <c r="J636" s="70" t="s">
        <v>644</v>
      </c>
      <c r="K636" s="70" t="s">
        <v>48</v>
      </c>
      <c r="L636" s="74">
        <v>46098</v>
      </c>
    </row>
    <row r="637" spans="1:12" hidden="1" x14ac:dyDescent="0.25">
      <c r="A637" s="70" t="s">
        <v>922</v>
      </c>
      <c r="B637" s="70" t="s">
        <v>1791</v>
      </c>
      <c r="C637" s="70" t="s">
        <v>1792</v>
      </c>
      <c r="D637" s="70">
        <v>1514</v>
      </c>
      <c r="E637" s="70">
        <v>-2</v>
      </c>
      <c r="F637" s="71">
        <v>10.365550000000001</v>
      </c>
      <c r="G637" s="71">
        <v>22.41</v>
      </c>
      <c r="H637" s="71">
        <v>-20.731100000000001</v>
      </c>
      <c r="I637" s="71">
        <v>-44.82</v>
      </c>
      <c r="J637" s="70" t="s">
        <v>644</v>
      </c>
      <c r="K637" s="70" t="s">
        <v>48</v>
      </c>
      <c r="L637" s="74">
        <v>46098</v>
      </c>
    </row>
    <row r="638" spans="1:12" hidden="1" x14ac:dyDescent="0.25">
      <c r="A638" s="70" t="s">
        <v>911</v>
      </c>
      <c r="B638" s="70" t="s">
        <v>1819</v>
      </c>
      <c r="C638" s="70" t="s">
        <v>1820</v>
      </c>
      <c r="D638" s="70">
        <v>1514</v>
      </c>
      <c r="E638" s="70">
        <v>1</v>
      </c>
      <c r="F638" s="71">
        <v>217.9402</v>
      </c>
      <c r="G638" s="71">
        <v>299.7</v>
      </c>
      <c r="H638" s="71">
        <v>217.9402</v>
      </c>
      <c r="I638" s="71">
        <v>299.7</v>
      </c>
      <c r="J638" s="70" t="s">
        <v>644</v>
      </c>
      <c r="K638" s="70" t="s">
        <v>48</v>
      </c>
      <c r="L638" s="74">
        <v>46098</v>
      </c>
    </row>
    <row r="639" spans="1:12" hidden="1" x14ac:dyDescent="0.25">
      <c r="A639" s="70" t="s">
        <v>922</v>
      </c>
      <c r="B639" s="70" t="s">
        <v>935</v>
      </c>
      <c r="C639" s="70" t="s">
        <v>936</v>
      </c>
      <c r="D639" s="70">
        <v>1514</v>
      </c>
      <c r="E639" s="70">
        <v>-1</v>
      </c>
      <c r="F639" s="71">
        <v>217.9402</v>
      </c>
      <c r="G639" s="71">
        <v>299.7</v>
      </c>
      <c r="H639" s="71">
        <v>-217.9402</v>
      </c>
      <c r="I639" s="71">
        <v>-299.7</v>
      </c>
      <c r="J639" s="70" t="s">
        <v>644</v>
      </c>
      <c r="K639" s="70" t="s">
        <v>48</v>
      </c>
      <c r="L639" s="74">
        <v>46098</v>
      </c>
    </row>
    <row r="640" spans="1:12" hidden="1" x14ac:dyDescent="0.25">
      <c r="A640" s="70" t="s">
        <v>911</v>
      </c>
      <c r="B640" s="70" t="s">
        <v>1821</v>
      </c>
      <c r="C640" s="70" t="s">
        <v>1822</v>
      </c>
      <c r="D640" s="70">
        <v>1514</v>
      </c>
      <c r="E640" s="70">
        <v>1</v>
      </c>
      <c r="F640" s="71">
        <v>7.7851999999999997</v>
      </c>
      <c r="G640" s="71">
        <v>20.74</v>
      </c>
      <c r="H640" s="71">
        <v>7.7851999999999997</v>
      </c>
      <c r="I640" s="71">
        <v>20.74</v>
      </c>
      <c r="J640" s="70" t="s">
        <v>644</v>
      </c>
      <c r="K640" s="70" t="s">
        <v>48</v>
      </c>
      <c r="L640" s="74">
        <v>46098</v>
      </c>
    </row>
    <row r="641" spans="1:12" hidden="1" x14ac:dyDescent="0.25">
      <c r="A641" s="70" t="s">
        <v>922</v>
      </c>
      <c r="B641" s="70" t="s">
        <v>1823</v>
      </c>
      <c r="C641" s="70" t="s">
        <v>1824</v>
      </c>
      <c r="D641" s="70">
        <v>1514</v>
      </c>
      <c r="E641" s="70">
        <v>-1</v>
      </c>
      <c r="F641" s="71">
        <v>7.9657999999999998</v>
      </c>
      <c r="G641" s="71">
        <v>20.74</v>
      </c>
      <c r="H641" s="71">
        <v>-7.9657999999999998</v>
      </c>
      <c r="I641" s="71">
        <v>-20.74</v>
      </c>
      <c r="J641" s="70" t="s">
        <v>644</v>
      </c>
      <c r="K641" s="70" t="s">
        <v>48</v>
      </c>
      <c r="L641" s="74">
        <v>46098</v>
      </c>
    </row>
    <row r="642" spans="1:12" hidden="1" x14ac:dyDescent="0.25">
      <c r="A642" s="70" t="s">
        <v>911</v>
      </c>
      <c r="B642" s="70" t="s">
        <v>1825</v>
      </c>
      <c r="C642" s="70" t="s">
        <v>1826</v>
      </c>
      <c r="D642" s="70">
        <v>1514</v>
      </c>
      <c r="E642" s="70">
        <v>1</v>
      </c>
      <c r="F642" s="71">
        <v>72.623000000000005</v>
      </c>
      <c r="G642" s="71">
        <v>182.14</v>
      </c>
      <c r="H642" s="71">
        <v>72.623000000000005</v>
      </c>
      <c r="I642" s="71">
        <v>182.14</v>
      </c>
      <c r="J642" s="70" t="s">
        <v>644</v>
      </c>
      <c r="K642" s="70" t="s">
        <v>48</v>
      </c>
      <c r="L642" s="74">
        <v>46098</v>
      </c>
    </row>
    <row r="643" spans="1:12" hidden="1" x14ac:dyDescent="0.25">
      <c r="A643" s="70" t="s">
        <v>922</v>
      </c>
      <c r="B643" s="70" t="s">
        <v>1827</v>
      </c>
      <c r="C643" s="70" t="s">
        <v>1828</v>
      </c>
      <c r="D643" s="70">
        <v>1514</v>
      </c>
      <c r="E643" s="70">
        <v>-1</v>
      </c>
      <c r="F643" s="71">
        <v>95.041399999999996</v>
      </c>
      <c r="G643" s="71">
        <v>182.14</v>
      </c>
      <c r="H643" s="71">
        <v>-95.041399999999996</v>
      </c>
      <c r="I643" s="71">
        <v>-182.14</v>
      </c>
      <c r="J643" s="70" t="s">
        <v>644</v>
      </c>
      <c r="K643" s="70" t="s">
        <v>48</v>
      </c>
      <c r="L643" s="74">
        <v>46098</v>
      </c>
    </row>
    <row r="644" spans="1:12" hidden="1" x14ac:dyDescent="0.25">
      <c r="A644" s="70" t="s">
        <v>911</v>
      </c>
      <c r="B644" s="70" t="s">
        <v>1128</v>
      </c>
      <c r="C644" s="70" t="s">
        <v>1129</v>
      </c>
      <c r="D644" s="70">
        <v>1514</v>
      </c>
      <c r="E644" s="70">
        <v>4</v>
      </c>
      <c r="F644" s="71">
        <v>10.407400000000001</v>
      </c>
      <c r="G644" s="71">
        <v>22.41</v>
      </c>
      <c r="H644" s="71">
        <v>41.629600000000003</v>
      </c>
      <c r="I644" s="71">
        <v>89.64</v>
      </c>
      <c r="J644" s="70" t="s">
        <v>644</v>
      </c>
      <c r="K644" s="70" t="s">
        <v>48</v>
      </c>
      <c r="L644" s="74">
        <v>46098</v>
      </c>
    </row>
    <row r="645" spans="1:12" hidden="1" x14ac:dyDescent="0.25">
      <c r="A645" s="70" t="s">
        <v>922</v>
      </c>
      <c r="B645" s="70" t="s">
        <v>1170</v>
      </c>
      <c r="C645" s="70" t="s">
        <v>1171</v>
      </c>
      <c r="D645" s="70">
        <v>1514</v>
      </c>
      <c r="E645" s="70">
        <v>-4</v>
      </c>
      <c r="F645" s="71">
        <v>10.39415</v>
      </c>
      <c r="G645" s="71">
        <v>20.41</v>
      </c>
      <c r="H645" s="71">
        <v>-41.576599999999999</v>
      </c>
      <c r="I645" s="71">
        <v>-81.64</v>
      </c>
      <c r="J645" s="70" t="s">
        <v>644</v>
      </c>
      <c r="K645" s="70" t="s">
        <v>48</v>
      </c>
      <c r="L645" s="74">
        <v>46098</v>
      </c>
    </row>
    <row r="646" spans="1:12" hidden="1" x14ac:dyDescent="0.25">
      <c r="A646" s="70" t="s">
        <v>911</v>
      </c>
      <c r="B646" s="70" t="s">
        <v>1829</v>
      </c>
      <c r="C646" s="70" t="s">
        <v>1830</v>
      </c>
      <c r="D646" s="70">
        <v>1514</v>
      </c>
      <c r="E646" s="70">
        <v>2</v>
      </c>
      <c r="F646" s="71">
        <v>82.640199999999993</v>
      </c>
      <c r="G646" s="71">
        <v>207.56</v>
      </c>
      <c r="H646" s="71">
        <v>165.28039999999999</v>
      </c>
      <c r="I646" s="71">
        <v>415.12</v>
      </c>
      <c r="J646" s="70" t="s">
        <v>644</v>
      </c>
      <c r="K646" s="70" t="s">
        <v>48</v>
      </c>
      <c r="L646" s="74">
        <v>46098</v>
      </c>
    </row>
    <row r="647" spans="1:12" hidden="1" x14ac:dyDescent="0.25">
      <c r="A647" s="70" t="s">
        <v>922</v>
      </c>
      <c r="B647" s="70" t="s">
        <v>1831</v>
      </c>
      <c r="C647" s="70" t="s">
        <v>1832</v>
      </c>
      <c r="D647" s="70">
        <v>1514</v>
      </c>
      <c r="E647" s="70">
        <v>-2</v>
      </c>
      <c r="F647" s="71">
        <v>67.165075000000002</v>
      </c>
      <c r="G647" s="71">
        <v>169.43</v>
      </c>
      <c r="H647" s="71">
        <v>-134.33015</v>
      </c>
      <c r="I647" s="71">
        <v>-338.86</v>
      </c>
      <c r="J647" s="70" t="s">
        <v>644</v>
      </c>
      <c r="K647" s="70" t="s">
        <v>48</v>
      </c>
      <c r="L647" s="74">
        <v>46098</v>
      </c>
    </row>
    <row r="648" spans="1:12" hidden="1" x14ac:dyDescent="0.25">
      <c r="A648" s="70" t="s">
        <v>911</v>
      </c>
      <c r="B648" s="70" t="s">
        <v>1833</v>
      </c>
      <c r="C648" s="70" t="s">
        <v>1834</v>
      </c>
      <c r="D648" s="70">
        <v>1514</v>
      </c>
      <c r="E648" s="70">
        <v>2</v>
      </c>
      <c r="F648" s="71">
        <v>82.755300000000005</v>
      </c>
      <c r="G648" s="71">
        <v>207.56</v>
      </c>
      <c r="H648" s="71">
        <v>165.51060000000001</v>
      </c>
      <c r="I648" s="71">
        <v>415.12</v>
      </c>
      <c r="J648" s="70" t="s">
        <v>644</v>
      </c>
      <c r="K648" s="70" t="s">
        <v>48</v>
      </c>
      <c r="L648" s="74">
        <v>46098</v>
      </c>
    </row>
    <row r="649" spans="1:12" hidden="1" x14ac:dyDescent="0.25">
      <c r="A649" s="70" t="s">
        <v>922</v>
      </c>
      <c r="B649" s="70" t="s">
        <v>1831</v>
      </c>
      <c r="C649" s="70" t="s">
        <v>1832</v>
      </c>
      <c r="D649" s="70">
        <v>1514</v>
      </c>
      <c r="E649" s="70">
        <v>-2</v>
      </c>
      <c r="F649" s="71">
        <v>67.165075000000002</v>
      </c>
      <c r="G649" s="71">
        <v>169.43</v>
      </c>
      <c r="H649" s="71">
        <v>-134.33015</v>
      </c>
      <c r="I649" s="71">
        <v>-338.86</v>
      </c>
      <c r="J649" s="70" t="s">
        <v>644</v>
      </c>
      <c r="K649" s="70" t="s">
        <v>48</v>
      </c>
      <c r="L649" s="74">
        <v>46098</v>
      </c>
    </row>
    <row r="650" spans="1:12" hidden="1" x14ac:dyDescent="0.25">
      <c r="A650" s="70" t="s">
        <v>1367</v>
      </c>
      <c r="B650" s="70" t="s">
        <v>1835</v>
      </c>
      <c r="C650" s="70" t="s">
        <v>1836</v>
      </c>
      <c r="D650" s="70">
        <v>1514</v>
      </c>
      <c r="E650" s="70">
        <v>-2</v>
      </c>
      <c r="F650" s="71">
        <v>22.878599999999999</v>
      </c>
      <c r="G650" s="71">
        <v>33.5</v>
      </c>
      <c r="H650" s="71">
        <v>-45.757199999999997</v>
      </c>
      <c r="I650" s="71">
        <v>-67</v>
      </c>
      <c r="J650" s="70" t="s">
        <v>644</v>
      </c>
      <c r="K650" s="70" t="s">
        <v>48</v>
      </c>
      <c r="L650" s="74">
        <v>46098</v>
      </c>
    </row>
    <row r="651" spans="1:12" hidden="1" x14ac:dyDescent="0.25">
      <c r="A651" s="70" t="s">
        <v>1367</v>
      </c>
      <c r="B651" s="70" t="s">
        <v>1837</v>
      </c>
      <c r="C651" s="70" t="s">
        <v>1838</v>
      </c>
      <c r="D651" s="70">
        <v>1514</v>
      </c>
      <c r="E651" s="70">
        <v>-1</v>
      </c>
      <c r="F651" s="71">
        <v>26.6934</v>
      </c>
      <c r="G651" s="71">
        <v>39.090000000000003</v>
      </c>
      <c r="H651" s="71">
        <v>-26.6934</v>
      </c>
      <c r="I651" s="71">
        <v>-39.090000000000003</v>
      </c>
      <c r="J651" s="70" t="s">
        <v>644</v>
      </c>
      <c r="K651" s="70" t="s">
        <v>48</v>
      </c>
      <c r="L651" s="74">
        <v>46098</v>
      </c>
    </row>
    <row r="652" spans="1:12" hidden="1" x14ac:dyDescent="0.25">
      <c r="A652" s="70" t="s">
        <v>1367</v>
      </c>
      <c r="B652" s="70" t="s">
        <v>1839</v>
      </c>
      <c r="C652" s="70" t="s">
        <v>1840</v>
      </c>
      <c r="D652" s="70">
        <v>1514</v>
      </c>
      <c r="E652" s="70">
        <v>-1</v>
      </c>
      <c r="F652" s="71">
        <v>22.878599999999999</v>
      </c>
      <c r="G652" s="71">
        <v>33.5</v>
      </c>
      <c r="H652" s="71">
        <v>-22.878599999999999</v>
      </c>
      <c r="I652" s="71">
        <v>-33.5</v>
      </c>
      <c r="J652" s="70" t="s">
        <v>644</v>
      </c>
      <c r="K652" s="70" t="s">
        <v>48</v>
      </c>
      <c r="L652" s="74">
        <v>46098</v>
      </c>
    </row>
    <row r="653" spans="1:12" hidden="1" x14ac:dyDescent="0.25">
      <c r="A653" s="70" t="s">
        <v>1367</v>
      </c>
      <c r="B653" s="70" t="s">
        <v>1841</v>
      </c>
      <c r="C653" s="70" t="s">
        <v>1842</v>
      </c>
      <c r="D653" s="70">
        <v>1514</v>
      </c>
      <c r="E653" s="70">
        <v>-1</v>
      </c>
      <c r="F653" s="71">
        <v>7.3562000000000003</v>
      </c>
      <c r="G653" s="71">
        <v>24.15</v>
      </c>
      <c r="H653" s="71">
        <v>-7.3562000000000003</v>
      </c>
      <c r="I653" s="71">
        <v>-24.15</v>
      </c>
      <c r="J653" s="70" t="s">
        <v>644</v>
      </c>
      <c r="K653" s="70" t="s">
        <v>48</v>
      </c>
      <c r="L653" s="74">
        <v>46098</v>
      </c>
    </row>
    <row r="654" spans="1:12" hidden="1" x14ac:dyDescent="0.25">
      <c r="A654" s="70" t="s">
        <v>1468</v>
      </c>
      <c r="B654" s="70" t="s">
        <v>1469</v>
      </c>
      <c r="C654" s="70" t="s">
        <v>1470</v>
      </c>
      <c r="D654" s="70">
        <v>1707</v>
      </c>
      <c r="E654" s="70">
        <v>-2</v>
      </c>
      <c r="F654" s="71">
        <v>225.65</v>
      </c>
      <c r="G654" s="71">
        <v>320.37</v>
      </c>
      <c r="H654" s="71">
        <v>-451.3</v>
      </c>
      <c r="I654" s="71">
        <v>-640.74</v>
      </c>
      <c r="J654" s="70" t="s">
        <v>487</v>
      </c>
      <c r="K654" s="70" t="s">
        <v>48</v>
      </c>
      <c r="L654" s="74">
        <v>46094</v>
      </c>
    </row>
    <row r="655" spans="1:12" hidden="1" x14ac:dyDescent="0.25">
      <c r="A655" s="70" t="s">
        <v>877</v>
      </c>
      <c r="B655" s="70" t="s">
        <v>1571</v>
      </c>
      <c r="C655" s="70" t="s">
        <v>1572</v>
      </c>
      <c r="D655" s="70">
        <v>3042</v>
      </c>
      <c r="E655" s="70">
        <v>-1</v>
      </c>
      <c r="F655" s="71">
        <v>32.423999999999999</v>
      </c>
      <c r="G655" s="71">
        <v>50.6</v>
      </c>
      <c r="H655" s="71">
        <v>-32.423999999999999</v>
      </c>
      <c r="I655" s="71">
        <v>-50.6</v>
      </c>
      <c r="J655" s="70" t="s">
        <v>500</v>
      </c>
      <c r="K655" s="70" t="s">
        <v>48</v>
      </c>
      <c r="L655" s="74">
        <v>46105</v>
      </c>
    </row>
    <row r="656" spans="1:12" hidden="1" x14ac:dyDescent="0.25">
      <c r="A656" s="70" t="s">
        <v>877</v>
      </c>
      <c r="B656" s="70" t="s">
        <v>1567</v>
      </c>
      <c r="C656" s="70" t="s">
        <v>1568</v>
      </c>
      <c r="D656" s="70">
        <v>3042</v>
      </c>
      <c r="E656" s="70">
        <v>-1</v>
      </c>
      <c r="F656" s="71">
        <v>28.003799999999998</v>
      </c>
      <c r="G656" s="71">
        <v>45.13</v>
      </c>
      <c r="H656" s="71">
        <v>-28.003799999999998</v>
      </c>
      <c r="I656" s="71">
        <v>-45.13</v>
      </c>
      <c r="J656" s="70" t="s">
        <v>500</v>
      </c>
      <c r="K656" s="70" t="s">
        <v>48</v>
      </c>
      <c r="L656" s="74">
        <v>46105</v>
      </c>
    </row>
    <row r="657" spans="1:12" hidden="1" x14ac:dyDescent="0.25">
      <c r="A657" s="70" t="s">
        <v>877</v>
      </c>
      <c r="B657" s="70" t="s">
        <v>1843</v>
      </c>
      <c r="C657" s="70" t="s">
        <v>1844</v>
      </c>
      <c r="D657" s="70">
        <v>3042</v>
      </c>
      <c r="E657" s="70">
        <v>-1</v>
      </c>
      <c r="F657" s="71">
        <v>7.6329000000000002</v>
      </c>
      <c r="G657" s="71">
        <v>28.16</v>
      </c>
      <c r="H657" s="71">
        <v>-7.6329000000000002</v>
      </c>
      <c r="I657" s="71">
        <v>-28.16</v>
      </c>
      <c r="J657" s="70" t="s">
        <v>500</v>
      </c>
      <c r="K657" s="70" t="s">
        <v>48</v>
      </c>
      <c r="L657" s="74">
        <v>46105</v>
      </c>
    </row>
    <row r="658" spans="1:12" hidden="1" x14ac:dyDescent="0.25">
      <c r="A658" s="70" t="s">
        <v>877</v>
      </c>
      <c r="B658" s="70" t="s">
        <v>1845</v>
      </c>
      <c r="C658" s="70" t="s">
        <v>1846</v>
      </c>
      <c r="D658" s="70">
        <v>3042</v>
      </c>
      <c r="E658" s="70">
        <v>-1</v>
      </c>
      <c r="F658" s="71">
        <v>14.74</v>
      </c>
      <c r="G658" s="71">
        <v>22.01</v>
      </c>
      <c r="H658" s="71">
        <v>-14.74</v>
      </c>
      <c r="I658" s="71">
        <v>-22.01</v>
      </c>
      <c r="J658" s="70" t="s">
        <v>500</v>
      </c>
      <c r="K658" s="70" t="s">
        <v>48</v>
      </c>
      <c r="L658" s="74">
        <v>46105</v>
      </c>
    </row>
    <row r="659" spans="1:12" hidden="1" x14ac:dyDescent="0.25">
      <c r="A659" s="70" t="s">
        <v>911</v>
      </c>
      <c r="B659" s="70" t="s">
        <v>1847</v>
      </c>
      <c r="C659" s="70" t="s">
        <v>1848</v>
      </c>
      <c r="D659" s="70">
        <v>3042</v>
      </c>
      <c r="E659" s="70">
        <v>1</v>
      </c>
      <c r="F659" s="71">
        <v>1.7</v>
      </c>
      <c r="G659" s="71">
        <v>6.81</v>
      </c>
      <c r="H659" s="71">
        <v>1.7</v>
      </c>
      <c r="I659" s="71">
        <v>6.81</v>
      </c>
      <c r="J659" s="70" t="s">
        <v>500</v>
      </c>
      <c r="K659" s="70" t="s">
        <v>48</v>
      </c>
      <c r="L659" s="74">
        <v>46105</v>
      </c>
    </row>
    <row r="660" spans="1:12" hidden="1" x14ac:dyDescent="0.25">
      <c r="A660" s="70" t="s">
        <v>922</v>
      </c>
      <c r="B660" s="70" t="s">
        <v>1849</v>
      </c>
      <c r="C660" s="70" t="s">
        <v>1850</v>
      </c>
      <c r="D660" s="70">
        <v>3042</v>
      </c>
      <c r="E660" s="70">
        <v>-1</v>
      </c>
      <c r="F660" s="71">
        <v>1.88</v>
      </c>
      <c r="G660" s="71">
        <v>7.51</v>
      </c>
      <c r="H660" s="71">
        <v>-1.88</v>
      </c>
      <c r="I660" s="71">
        <v>-7.51</v>
      </c>
      <c r="J660" s="70" t="s">
        <v>500</v>
      </c>
      <c r="K660" s="70" t="s">
        <v>48</v>
      </c>
      <c r="L660" s="74">
        <v>46105</v>
      </c>
    </row>
    <row r="661" spans="1:12" hidden="1" x14ac:dyDescent="0.25">
      <c r="A661" s="70" t="s">
        <v>911</v>
      </c>
      <c r="B661" s="70" t="s">
        <v>1851</v>
      </c>
      <c r="C661" s="70" t="s">
        <v>1852</v>
      </c>
      <c r="D661" s="70">
        <v>3042</v>
      </c>
      <c r="E661" s="70">
        <v>1</v>
      </c>
      <c r="F661" s="71">
        <v>8.4174222222222195</v>
      </c>
      <c r="G661" s="71">
        <v>13.83</v>
      </c>
      <c r="H661" s="71">
        <v>8.4174222222222195</v>
      </c>
      <c r="I661" s="71">
        <v>13.83</v>
      </c>
      <c r="J661" s="70" t="s">
        <v>500</v>
      </c>
      <c r="K661" s="70" t="s">
        <v>48</v>
      </c>
      <c r="L661" s="74">
        <v>46105</v>
      </c>
    </row>
    <row r="662" spans="1:12" hidden="1" x14ac:dyDescent="0.25">
      <c r="A662" s="70" t="s">
        <v>922</v>
      </c>
      <c r="B662" s="70" t="s">
        <v>1575</v>
      </c>
      <c r="C662" s="70" t="s">
        <v>1576</v>
      </c>
      <c r="D662" s="70">
        <v>3042</v>
      </c>
      <c r="E662" s="70">
        <v>-1</v>
      </c>
      <c r="F662" s="71">
        <v>8.4174000000000007</v>
      </c>
      <c r="G662" s="71">
        <v>13.83</v>
      </c>
      <c r="H662" s="71">
        <v>-8.4174000000000007</v>
      </c>
      <c r="I662" s="71">
        <v>-13.83</v>
      </c>
      <c r="J662" s="70" t="s">
        <v>500</v>
      </c>
      <c r="K662" s="70" t="s">
        <v>48</v>
      </c>
      <c r="L662" s="74">
        <v>46105</v>
      </c>
    </row>
    <row r="663" spans="1:12" hidden="1" x14ac:dyDescent="0.25">
      <c r="A663" s="70" t="s">
        <v>911</v>
      </c>
      <c r="B663" s="70" t="s">
        <v>1853</v>
      </c>
      <c r="C663" s="70" t="s">
        <v>1854</v>
      </c>
      <c r="D663" s="70">
        <v>3042</v>
      </c>
      <c r="E663" s="70">
        <v>1</v>
      </c>
      <c r="F663" s="71">
        <v>4.9190880000000003</v>
      </c>
      <c r="G663" s="71">
        <v>8.08</v>
      </c>
      <c r="H663" s="71">
        <v>4.9190880000000003</v>
      </c>
      <c r="I663" s="71">
        <v>8.08</v>
      </c>
      <c r="J663" s="70" t="s">
        <v>500</v>
      </c>
      <c r="K663" s="70" t="s">
        <v>48</v>
      </c>
      <c r="L663" s="74">
        <v>46105</v>
      </c>
    </row>
    <row r="664" spans="1:12" hidden="1" x14ac:dyDescent="0.25">
      <c r="A664" s="70" t="s">
        <v>922</v>
      </c>
      <c r="B664" s="70" t="s">
        <v>1855</v>
      </c>
      <c r="C664" s="70" t="s">
        <v>1856</v>
      </c>
      <c r="D664" s="70">
        <v>3042</v>
      </c>
      <c r="E664" s="70">
        <v>-1</v>
      </c>
      <c r="F664" s="71">
        <v>4.9190904761904797</v>
      </c>
      <c r="G664" s="71">
        <v>8.08</v>
      </c>
      <c r="H664" s="71">
        <v>-4.9190904761904797</v>
      </c>
      <c r="I664" s="71">
        <v>-8.08</v>
      </c>
      <c r="J664" s="70" t="s">
        <v>500</v>
      </c>
      <c r="K664" s="70" t="s">
        <v>48</v>
      </c>
      <c r="L664" s="74">
        <v>46105</v>
      </c>
    </row>
    <row r="665" spans="1:12" hidden="1" x14ac:dyDescent="0.25">
      <c r="A665" s="70" t="s">
        <v>911</v>
      </c>
      <c r="B665" s="70" t="s">
        <v>1857</v>
      </c>
      <c r="C665" s="70" t="s">
        <v>1858</v>
      </c>
      <c r="D665" s="70">
        <v>3042</v>
      </c>
      <c r="E665" s="70">
        <v>2</v>
      </c>
      <c r="F665" s="71">
        <v>3.1602000000000001</v>
      </c>
      <c r="G665" s="71">
        <v>5.19</v>
      </c>
      <c r="H665" s="71">
        <v>6.3204000000000002</v>
      </c>
      <c r="I665" s="71">
        <v>10.38</v>
      </c>
      <c r="J665" s="70" t="s">
        <v>500</v>
      </c>
      <c r="K665" s="70" t="s">
        <v>48</v>
      </c>
      <c r="L665" s="74">
        <v>46105</v>
      </c>
    </row>
    <row r="666" spans="1:12" hidden="1" x14ac:dyDescent="0.25">
      <c r="A666" s="70" t="s">
        <v>922</v>
      </c>
      <c r="B666" s="70" t="s">
        <v>1859</v>
      </c>
      <c r="C666" s="70" t="s">
        <v>1860</v>
      </c>
      <c r="D666" s="70">
        <v>3042</v>
      </c>
      <c r="E666" s="70">
        <v>-2</v>
      </c>
      <c r="F666" s="71">
        <v>3.16032363636364</v>
      </c>
      <c r="G666" s="71">
        <v>5.19</v>
      </c>
      <c r="H666" s="71">
        <v>-6.32064727272728</v>
      </c>
      <c r="I666" s="71">
        <v>-10.38</v>
      </c>
      <c r="J666" s="70" t="s">
        <v>500</v>
      </c>
      <c r="K666" s="70" t="s">
        <v>48</v>
      </c>
      <c r="L666" s="74">
        <v>46105</v>
      </c>
    </row>
    <row r="667" spans="1:12" hidden="1" x14ac:dyDescent="0.25">
      <c r="A667" s="70" t="s">
        <v>911</v>
      </c>
      <c r="B667" s="70" t="s">
        <v>1861</v>
      </c>
      <c r="C667" s="70" t="s">
        <v>1862</v>
      </c>
      <c r="D667" s="70">
        <v>3042</v>
      </c>
      <c r="E667" s="70">
        <v>1</v>
      </c>
      <c r="F667" s="71">
        <v>19.16</v>
      </c>
      <c r="G667" s="71">
        <v>28.61</v>
      </c>
      <c r="H667" s="71">
        <v>19.16</v>
      </c>
      <c r="I667" s="71">
        <v>28.61</v>
      </c>
      <c r="J667" s="70" t="s">
        <v>500</v>
      </c>
      <c r="K667" s="70" t="s">
        <v>48</v>
      </c>
      <c r="L667" s="74">
        <v>46105</v>
      </c>
    </row>
    <row r="668" spans="1:12" hidden="1" x14ac:dyDescent="0.25">
      <c r="A668" s="70" t="s">
        <v>922</v>
      </c>
      <c r="B668" s="70" t="s">
        <v>1583</v>
      </c>
      <c r="C668" s="70" t="s">
        <v>1584</v>
      </c>
      <c r="D668" s="70">
        <v>3042</v>
      </c>
      <c r="E668" s="70">
        <v>-1</v>
      </c>
      <c r="F668" s="71">
        <v>19.16</v>
      </c>
      <c r="G668" s="71">
        <v>28.61</v>
      </c>
      <c r="H668" s="71">
        <v>-19.16</v>
      </c>
      <c r="I668" s="71">
        <v>-28.61</v>
      </c>
      <c r="J668" s="70" t="s">
        <v>500</v>
      </c>
      <c r="K668" s="70" t="s">
        <v>48</v>
      </c>
      <c r="L668" s="74">
        <v>46105</v>
      </c>
    </row>
    <row r="669" spans="1:12" hidden="1" x14ac:dyDescent="0.25">
      <c r="A669" s="70" t="s">
        <v>911</v>
      </c>
      <c r="B669" s="70" t="s">
        <v>1505</v>
      </c>
      <c r="C669" s="70" t="s">
        <v>1506</v>
      </c>
      <c r="D669" s="70">
        <v>3042</v>
      </c>
      <c r="E669" s="70">
        <v>2</v>
      </c>
      <c r="F669" s="71">
        <v>16.212199999999999</v>
      </c>
      <c r="G669" s="71">
        <v>24.22</v>
      </c>
      <c r="H669" s="71">
        <v>32.424399999999999</v>
      </c>
      <c r="I669" s="71">
        <v>48.44</v>
      </c>
      <c r="J669" s="70" t="s">
        <v>500</v>
      </c>
      <c r="K669" s="70" t="s">
        <v>48</v>
      </c>
      <c r="L669" s="74">
        <v>46105</v>
      </c>
    </row>
    <row r="670" spans="1:12" hidden="1" x14ac:dyDescent="0.25">
      <c r="A670" s="70" t="s">
        <v>922</v>
      </c>
      <c r="B670" s="70" t="s">
        <v>1863</v>
      </c>
      <c r="C670" s="70" t="s">
        <v>1864</v>
      </c>
      <c r="D670" s="70">
        <v>3042</v>
      </c>
      <c r="E670" s="70">
        <v>-2</v>
      </c>
      <c r="F670" s="71">
        <v>16.212766666666699</v>
      </c>
      <c r="G670" s="71">
        <v>24.22</v>
      </c>
      <c r="H670" s="71">
        <v>-32.425533333333398</v>
      </c>
      <c r="I670" s="71">
        <v>-48.44</v>
      </c>
      <c r="J670" s="70" t="s">
        <v>500</v>
      </c>
      <c r="K670" s="70" t="s">
        <v>48</v>
      </c>
      <c r="L670" s="74">
        <v>46105</v>
      </c>
    </row>
    <row r="671" spans="1:12" hidden="1" x14ac:dyDescent="0.25">
      <c r="A671" s="70" t="s">
        <v>911</v>
      </c>
      <c r="B671" s="70" t="s">
        <v>1541</v>
      </c>
      <c r="C671" s="70" t="s">
        <v>1542</v>
      </c>
      <c r="D671" s="70">
        <v>3042</v>
      </c>
      <c r="E671" s="70">
        <v>2</v>
      </c>
      <c r="F671" s="71">
        <v>17.685849999999999</v>
      </c>
      <c r="G671" s="71">
        <v>26.42</v>
      </c>
      <c r="H671" s="71">
        <v>35.371699999999997</v>
      </c>
      <c r="I671" s="71">
        <v>52.84</v>
      </c>
      <c r="J671" s="70" t="s">
        <v>500</v>
      </c>
      <c r="K671" s="70" t="s">
        <v>48</v>
      </c>
      <c r="L671" s="74">
        <v>46105</v>
      </c>
    </row>
    <row r="672" spans="1:12" hidden="1" x14ac:dyDescent="0.25">
      <c r="A672" s="70" t="s">
        <v>922</v>
      </c>
      <c r="B672" s="70" t="s">
        <v>1865</v>
      </c>
      <c r="C672" s="70" t="s">
        <v>1866</v>
      </c>
      <c r="D672" s="70">
        <v>3042</v>
      </c>
      <c r="E672" s="70">
        <v>-2</v>
      </c>
      <c r="F672" s="71">
        <v>17.686199999999999</v>
      </c>
      <c r="G672" s="71">
        <v>26.42</v>
      </c>
      <c r="H672" s="71">
        <v>-35.372399999999999</v>
      </c>
      <c r="I672" s="71">
        <v>-52.84</v>
      </c>
      <c r="J672" s="70" t="s">
        <v>500</v>
      </c>
      <c r="K672" s="70" t="s">
        <v>48</v>
      </c>
      <c r="L672" s="74">
        <v>46105</v>
      </c>
    </row>
    <row r="673" spans="1:12" hidden="1" x14ac:dyDescent="0.25">
      <c r="A673" s="70" t="s">
        <v>911</v>
      </c>
      <c r="B673" s="70" t="s">
        <v>1501</v>
      </c>
      <c r="C673" s="70" t="s">
        <v>1502</v>
      </c>
      <c r="D673" s="70">
        <v>3042</v>
      </c>
      <c r="E673" s="70">
        <v>1</v>
      </c>
      <c r="F673" s="71">
        <v>30.213999999999999</v>
      </c>
      <c r="G673" s="71">
        <v>47.15</v>
      </c>
      <c r="H673" s="71">
        <v>30.213999999999999</v>
      </c>
      <c r="I673" s="71">
        <v>47.15</v>
      </c>
      <c r="J673" s="70" t="s">
        <v>500</v>
      </c>
      <c r="K673" s="70" t="s">
        <v>48</v>
      </c>
      <c r="L673" s="74">
        <v>46105</v>
      </c>
    </row>
    <row r="674" spans="1:12" hidden="1" x14ac:dyDescent="0.25">
      <c r="A674" s="70" t="s">
        <v>922</v>
      </c>
      <c r="B674" s="70" t="s">
        <v>1867</v>
      </c>
      <c r="C674" s="70" t="s">
        <v>1868</v>
      </c>
      <c r="D674" s="70">
        <v>3042</v>
      </c>
      <c r="E674" s="70">
        <v>-1</v>
      </c>
      <c r="F674" s="71">
        <v>28.7</v>
      </c>
      <c r="G674" s="71">
        <v>47.15</v>
      </c>
      <c r="H674" s="71">
        <v>-28.7</v>
      </c>
      <c r="I674" s="71">
        <v>-47.15</v>
      </c>
      <c r="J674" s="70" t="s">
        <v>500</v>
      </c>
      <c r="K674" s="70" t="s">
        <v>48</v>
      </c>
      <c r="L674" s="74">
        <v>46105</v>
      </c>
    </row>
    <row r="675" spans="1:12" hidden="1" x14ac:dyDescent="0.25">
      <c r="A675" s="70" t="s">
        <v>911</v>
      </c>
      <c r="B675" s="70" t="s">
        <v>1591</v>
      </c>
      <c r="C675" s="70" t="s">
        <v>1592</v>
      </c>
      <c r="D675" s="70">
        <v>3042</v>
      </c>
      <c r="E675" s="70">
        <v>1</v>
      </c>
      <c r="F675" s="71">
        <v>17.684999999999999</v>
      </c>
      <c r="G675" s="71">
        <v>26.42</v>
      </c>
      <c r="H675" s="71">
        <v>17.684999999999999</v>
      </c>
      <c r="I675" s="71">
        <v>26.42</v>
      </c>
      <c r="J675" s="70" t="s">
        <v>500</v>
      </c>
      <c r="K675" s="70" t="s">
        <v>48</v>
      </c>
      <c r="L675" s="74">
        <v>46105</v>
      </c>
    </row>
    <row r="676" spans="1:12" hidden="1" x14ac:dyDescent="0.25">
      <c r="A676" s="70" t="s">
        <v>922</v>
      </c>
      <c r="B676" s="70" t="s">
        <v>1869</v>
      </c>
      <c r="C676" s="70" t="s">
        <v>1870</v>
      </c>
      <c r="D676" s="70">
        <v>3042</v>
      </c>
      <c r="E676" s="70">
        <v>-1</v>
      </c>
      <c r="F676" s="71">
        <v>14.736000000000001</v>
      </c>
      <c r="G676" s="71">
        <v>23</v>
      </c>
      <c r="H676" s="71">
        <v>-14.736000000000001</v>
      </c>
      <c r="I676" s="71">
        <v>-23</v>
      </c>
      <c r="J676" s="70" t="s">
        <v>500</v>
      </c>
      <c r="K676" s="70" t="s">
        <v>48</v>
      </c>
      <c r="L676" s="74">
        <v>46105</v>
      </c>
    </row>
    <row r="677" spans="1:12" hidden="1" x14ac:dyDescent="0.25">
      <c r="A677" s="70" t="s">
        <v>911</v>
      </c>
      <c r="B677" s="70" t="s">
        <v>1871</v>
      </c>
      <c r="C677" s="70" t="s">
        <v>1872</v>
      </c>
      <c r="D677" s="70">
        <v>3042</v>
      </c>
      <c r="E677" s="70">
        <v>1</v>
      </c>
      <c r="F677" s="71">
        <v>8.8497000000000003</v>
      </c>
      <c r="G677" s="71">
        <v>32.659999999999997</v>
      </c>
      <c r="H677" s="71">
        <v>8.8497000000000003</v>
      </c>
      <c r="I677" s="71">
        <v>32.659999999999997</v>
      </c>
      <c r="J677" s="70" t="s">
        <v>500</v>
      </c>
      <c r="K677" s="70" t="s">
        <v>48</v>
      </c>
      <c r="L677" s="74">
        <v>46105</v>
      </c>
    </row>
    <row r="678" spans="1:12" hidden="1" x14ac:dyDescent="0.25">
      <c r="A678" s="70" t="s">
        <v>922</v>
      </c>
      <c r="B678" s="70" t="s">
        <v>1873</v>
      </c>
      <c r="C678" s="70" t="s">
        <v>1874</v>
      </c>
      <c r="D678" s="70">
        <v>3042</v>
      </c>
      <c r="E678" s="70">
        <v>-1</v>
      </c>
      <c r="F678" s="71">
        <v>6.4161000000000001</v>
      </c>
      <c r="G678" s="71">
        <v>23.68</v>
      </c>
      <c r="H678" s="71">
        <v>-6.4161000000000001</v>
      </c>
      <c r="I678" s="71">
        <v>-23.68</v>
      </c>
      <c r="J678" s="70" t="s">
        <v>500</v>
      </c>
      <c r="K678" s="70" t="s">
        <v>48</v>
      </c>
      <c r="L678" s="74">
        <v>46105</v>
      </c>
    </row>
    <row r="679" spans="1:12" hidden="1" x14ac:dyDescent="0.25">
      <c r="A679" s="70" t="s">
        <v>877</v>
      </c>
      <c r="B679" s="70" t="s">
        <v>1875</v>
      </c>
      <c r="C679" s="70" t="s">
        <v>1876</v>
      </c>
      <c r="D679" s="70">
        <v>1521</v>
      </c>
      <c r="E679" s="70">
        <v>-1</v>
      </c>
      <c r="F679" s="71">
        <v>57.476999999999997</v>
      </c>
      <c r="G679" s="71">
        <v>148.91</v>
      </c>
      <c r="H679" s="71">
        <v>-57.476999999999997</v>
      </c>
      <c r="I679" s="71">
        <v>-148.91</v>
      </c>
      <c r="J679" s="70" t="s">
        <v>496</v>
      </c>
      <c r="K679" s="70" t="s">
        <v>48</v>
      </c>
      <c r="L679" s="74">
        <v>46100</v>
      </c>
    </row>
    <row r="680" spans="1:12" hidden="1" x14ac:dyDescent="0.25">
      <c r="A680" s="70" t="s">
        <v>877</v>
      </c>
      <c r="B680" s="70" t="s">
        <v>1007</v>
      </c>
      <c r="C680" s="70" t="s">
        <v>1008</v>
      </c>
      <c r="D680" s="70">
        <v>1521</v>
      </c>
      <c r="E680" s="70">
        <v>-1</v>
      </c>
      <c r="F680" s="71">
        <v>27.909075000000001</v>
      </c>
      <c r="G680" s="71">
        <v>72.62</v>
      </c>
      <c r="H680" s="71">
        <v>-27.909075000000001</v>
      </c>
      <c r="I680" s="71">
        <v>-72.62</v>
      </c>
      <c r="J680" s="70" t="s">
        <v>496</v>
      </c>
      <c r="K680" s="70" t="s">
        <v>48</v>
      </c>
      <c r="L680" s="74">
        <v>46100</v>
      </c>
    </row>
    <row r="681" spans="1:12" hidden="1" x14ac:dyDescent="0.25">
      <c r="A681" s="70" t="s">
        <v>877</v>
      </c>
      <c r="B681" s="70" t="s">
        <v>994</v>
      </c>
      <c r="C681" s="70" t="s">
        <v>995</v>
      </c>
      <c r="D681" s="70">
        <v>1521</v>
      </c>
      <c r="E681" s="70">
        <v>-1</v>
      </c>
      <c r="F681" s="71">
        <v>2.41706666666667</v>
      </c>
      <c r="G681" s="71">
        <v>3.94</v>
      </c>
      <c r="H681" s="71">
        <v>-2.41706666666667</v>
      </c>
      <c r="I681" s="71">
        <v>-3.94</v>
      </c>
      <c r="J681" s="70" t="s">
        <v>496</v>
      </c>
      <c r="K681" s="70" t="s">
        <v>48</v>
      </c>
      <c r="L681" s="74">
        <v>46100</v>
      </c>
    </row>
    <row r="682" spans="1:12" hidden="1" x14ac:dyDescent="0.25">
      <c r="A682" s="70" t="s">
        <v>877</v>
      </c>
      <c r="B682" s="70" t="s">
        <v>1877</v>
      </c>
      <c r="C682" s="70" t="s">
        <v>1878</v>
      </c>
      <c r="D682" s="70">
        <v>1521</v>
      </c>
      <c r="E682" s="70">
        <v>-7</v>
      </c>
      <c r="F682" s="71">
        <v>2.46E-2</v>
      </c>
      <c r="G682" s="71">
        <v>0.34</v>
      </c>
      <c r="H682" s="71">
        <v>-0.17219999999999999</v>
      </c>
      <c r="I682" s="71">
        <v>-2.38</v>
      </c>
      <c r="J682" s="70" t="s">
        <v>496</v>
      </c>
      <c r="K682" s="70" t="s">
        <v>48</v>
      </c>
      <c r="L682" s="74">
        <v>46100</v>
      </c>
    </row>
    <row r="683" spans="1:12" hidden="1" x14ac:dyDescent="0.25">
      <c r="A683" s="70" t="s">
        <v>898</v>
      </c>
      <c r="B683" s="70" t="s">
        <v>1058</v>
      </c>
      <c r="C683" s="70" t="s">
        <v>1059</v>
      </c>
      <c r="D683" s="70">
        <v>1521</v>
      </c>
      <c r="E683" s="70">
        <v>1</v>
      </c>
      <c r="F683" s="71">
        <v>126.684</v>
      </c>
      <c r="G683" s="71">
        <v>174.21</v>
      </c>
      <c r="H683" s="71">
        <v>126.684</v>
      </c>
      <c r="I683" s="71">
        <v>174.21</v>
      </c>
      <c r="J683" s="70" t="s">
        <v>496</v>
      </c>
      <c r="K683" s="70" t="s">
        <v>48</v>
      </c>
      <c r="L683" s="74">
        <v>46100</v>
      </c>
    </row>
    <row r="684" spans="1:12" hidden="1" x14ac:dyDescent="0.25">
      <c r="A684" s="70" t="s">
        <v>898</v>
      </c>
      <c r="B684" s="70" t="s">
        <v>1879</v>
      </c>
      <c r="C684" s="70" t="s">
        <v>1880</v>
      </c>
      <c r="D684" s="70">
        <v>1521</v>
      </c>
      <c r="E684" s="70">
        <v>1</v>
      </c>
      <c r="F684" s="71">
        <v>42.778500000000001</v>
      </c>
      <c r="G684" s="71">
        <v>58.82</v>
      </c>
      <c r="H684" s="71">
        <v>42.778500000000001</v>
      </c>
      <c r="I684" s="71">
        <v>58.82</v>
      </c>
      <c r="J684" s="70" t="s">
        <v>496</v>
      </c>
      <c r="K684" s="70" t="s">
        <v>48</v>
      </c>
      <c r="L684" s="74">
        <v>46100</v>
      </c>
    </row>
    <row r="685" spans="1:12" hidden="1" x14ac:dyDescent="0.25">
      <c r="A685" s="70" t="s">
        <v>898</v>
      </c>
      <c r="B685" s="70" t="s">
        <v>1881</v>
      </c>
      <c r="C685" s="70" t="s">
        <v>1882</v>
      </c>
      <c r="D685" s="70">
        <v>1521</v>
      </c>
      <c r="E685" s="70">
        <v>1</v>
      </c>
      <c r="F685" s="71">
        <v>16.174299999999999</v>
      </c>
      <c r="G685" s="71">
        <v>43.62</v>
      </c>
      <c r="H685" s="71">
        <v>16.174299999999999</v>
      </c>
      <c r="I685" s="71">
        <v>43.62</v>
      </c>
      <c r="J685" s="70" t="s">
        <v>496</v>
      </c>
      <c r="K685" s="70" t="s">
        <v>48</v>
      </c>
      <c r="L685" s="74">
        <v>46100</v>
      </c>
    </row>
    <row r="686" spans="1:12" hidden="1" x14ac:dyDescent="0.25">
      <c r="A686" s="70" t="s">
        <v>898</v>
      </c>
      <c r="B686" s="70" t="s">
        <v>1011</v>
      </c>
      <c r="C686" s="70" t="s">
        <v>1012</v>
      </c>
      <c r="D686" s="70">
        <v>1521</v>
      </c>
      <c r="E686" s="70">
        <v>1</v>
      </c>
      <c r="F686" s="71">
        <v>30.142900000000001</v>
      </c>
      <c r="G686" s="71">
        <v>42.08</v>
      </c>
      <c r="H686" s="71">
        <v>30.142900000000001</v>
      </c>
      <c r="I686" s="71">
        <v>42.08</v>
      </c>
      <c r="J686" s="70" t="s">
        <v>496</v>
      </c>
      <c r="K686" s="70" t="s">
        <v>48</v>
      </c>
      <c r="L686" s="74">
        <v>46100</v>
      </c>
    </row>
    <row r="687" spans="1:12" hidden="1" x14ac:dyDescent="0.25">
      <c r="A687" s="70" t="s">
        <v>898</v>
      </c>
      <c r="B687" s="70" t="s">
        <v>1102</v>
      </c>
      <c r="C687" s="70" t="s">
        <v>1103</v>
      </c>
      <c r="D687" s="70">
        <v>1521</v>
      </c>
      <c r="E687" s="70">
        <v>1</v>
      </c>
      <c r="F687" s="71">
        <v>17.564399999999999</v>
      </c>
      <c r="G687" s="71">
        <v>25.72</v>
      </c>
      <c r="H687" s="71">
        <v>17.564399999999999</v>
      </c>
      <c r="I687" s="71">
        <v>25.72</v>
      </c>
      <c r="J687" s="70" t="s">
        <v>496</v>
      </c>
      <c r="K687" s="70" t="s">
        <v>48</v>
      </c>
      <c r="L687" s="74">
        <v>46100</v>
      </c>
    </row>
    <row r="688" spans="1:12" hidden="1" x14ac:dyDescent="0.25">
      <c r="A688" s="70" t="s">
        <v>898</v>
      </c>
      <c r="B688" s="70" t="s">
        <v>1883</v>
      </c>
      <c r="C688" s="70" t="s">
        <v>1884</v>
      </c>
      <c r="D688" s="70">
        <v>1521</v>
      </c>
      <c r="E688" s="70">
        <v>1</v>
      </c>
      <c r="F688" s="71">
        <v>7.0621999999999998</v>
      </c>
      <c r="G688" s="71">
        <v>18.2</v>
      </c>
      <c r="H688" s="71">
        <v>7.0621999999999998</v>
      </c>
      <c r="I688" s="71">
        <v>18.2</v>
      </c>
      <c r="J688" s="70" t="s">
        <v>496</v>
      </c>
      <c r="K688" s="70" t="s">
        <v>48</v>
      </c>
      <c r="L688" s="74">
        <v>46100</v>
      </c>
    </row>
    <row r="689" spans="1:12" hidden="1" x14ac:dyDescent="0.25">
      <c r="A689" s="70" t="s">
        <v>911</v>
      </c>
      <c r="B689" s="70" t="s">
        <v>1885</v>
      </c>
      <c r="C689" s="70" t="s">
        <v>1886</v>
      </c>
      <c r="D689" s="70">
        <v>1521</v>
      </c>
      <c r="E689" s="70">
        <v>1</v>
      </c>
      <c r="F689" s="71">
        <v>148.5324</v>
      </c>
      <c r="G689" s="71">
        <v>258.66000000000003</v>
      </c>
      <c r="H689" s="71">
        <v>148.5324</v>
      </c>
      <c r="I689" s="71">
        <v>258.66000000000003</v>
      </c>
      <c r="J689" s="70" t="s">
        <v>496</v>
      </c>
      <c r="K689" s="70" t="s">
        <v>48</v>
      </c>
      <c r="L689" s="74">
        <v>46100</v>
      </c>
    </row>
    <row r="690" spans="1:12" hidden="1" x14ac:dyDescent="0.25">
      <c r="A690" s="70" t="s">
        <v>922</v>
      </c>
      <c r="B690" s="70" t="s">
        <v>1887</v>
      </c>
      <c r="C690" s="70" t="s">
        <v>1888</v>
      </c>
      <c r="D690" s="70">
        <v>1521</v>
      </c>
      <c r="E690" s="70">
        <v>-1</v>
      </c>
      <c r="F690" s="71">
        <v>136.02209999999999</v>
      </c>
      <c r="G690" s="71">
        <v>311.06</v>
      </c>
      <c r="H690" s="71">
        <v>-136.02209999999999</v>
      </c>
      <c r="I690" s="71">
        <v>-311.06</v>
      </c>
      <c r="J690" s="70" t="s">
        <v>496</v>
      </c>
      <c r="K690" s="70" t="s">
        <v>48</v>
      </c>
      <c r="L690" s="74">
        <v>46100</v>
      </c>
    </row>
    <row r="691" spans="1:12" hidden="1" x14ac:dyDescent="0.25">
      <c r="A691" s="70" t="s">
        <v>911</v>
      </c>
      <c r="B691" s="70" t="s">
        <v>1889</v>
      </c>
      <c r="C691" s="70" t="s">
        <v>1890</v>
      </c>
      <c r="D691" s="70">
        <v>1521</v>
      </c>
      <c r="E691" s="70">
        <v>1</v>
      </c>
      <c r="F691" s="71">
        <v>173.67850000000001</v>
      </c>
      <c r="G691" s="71">
        <v>364.57</v>
      </c>
      <c r="H691" s="71">
        <v>173.67850000000001</v>
      </c>
      <c r="I691" s="71">
        <v>364.57</v>
      </c>
      <c r="J691" s="70" t="s">
        <v>496</v>
      </c>
      <c r="K691" s="70" t="s">
        <v>48</v>
      </c>
      <c r="L691" s="74">
        <v>46100</v>
      </c>
    </row>
    <row r="692" spans="1:12" hidden="1" x14ac:dyDescent="0.25">
      <c r="A692" s="70" t="s">
        <v>922</v>
      </c>
      <c r="B692" s="70" t="s">
        <v>1891</v>
      </c>
      <c r="C692" s="70" t="s">
        <v>1892</v>
      </c>
      <c r="D692" s="70">
        <v>1521</v>
      </c>
      <c r="E692" s="70">
        <v>-1</v>
      </c>
      <c r="F692" s="71">
        <v>182.92449999999999</v>
      </c>
      <c r="G692" s="71">
        <v>407.98</v>
      </c>
      <c r="H692" s="71">
        <v>-182.92449999999999</v>
      </c>
      <c r="I692" s="71">
        <v>-407.98</v>
      </c>
      <c r="J692" s="70" t="s">
        <v>496</v>
      </c>
      <c r="K692" s="70" t="s">
        <v>48</v>
      </c>
      <c r="L692" s="74">
        <v>46100</v>
      </c>
    </row>
    <row r="693" spans="1:12" hidden="1" x14ac:dyDescent="0.25">
      <c r="A693" s="70" t="s">
        <v>911</v>
      </c>
      <c r="B693" s="70" t="s">
        <v>1188</v>
      </c>
      <c r="C693" s="70" t="s">
        <v>1189</v>
      </c>
      <c r="D693" s="70">
        <v>1521</v>
      </c>
      <c r="E693" s="70">
        <v>1</v>
      </c>
      <c r="F693" s="71">
        <v>274.61725000000001</v>
      </c>
      <c r="G693" s="71">
        <v>657.62</v>
      </c>
      <c r="H693" s="71">
        <v>274.61725000000001</v>
      </c>
      <c r="I693" s="71">
        <v>657.62</v>
      </c>
      <c r="J693" s="70" t="s">
        <v>496</v>
      </c>
      <c r="K693" s="70" t="s">
        <v>48</v>
      </c>
      <c r="L693" s="74">
        <v>46100</v>
      </c>
    </row>
    <row r="694" spans="1:12" hidden="1" x14ac:dyDescent="0.25">
      <c r="A694" s="70" t="s">
        <v>922</v>
      </c>
      <c r="B694" s="70" t="s">
        <v>1186</v>
      </c>
      <c r="C694" s="70" t="s">
        <v>1187</v>
      </c>
      <c r="D694" s="70">
        <v>1521</v>
      </c>
      <c r="E694" s="70">
        <v>-1</v>
      </c>
      <c r="F694" s="71">
        <v>276.05549999999999</v>
      </c>
      <c r="G694" s="71">
        <v>688.49</v>
      </c>
      <c r="H694" s="71">
        <v>-276.05549999999999</v>
      </c>
      <c r="I694" s="71">
        <v>-688.49</v>
      </c>
      <c r="J694" s="70" t="s">
        <v>496</v>
      </c>
      <c r="K694" s="70" t="s">
        <v>48</v>
      </c>
      <c r="L694" s="74">
        <v>46100</v>
      </c>
    </row>
    <row r="695" spans="1:12" hidden="1" x14ac:dyDescent="0.25">
      <c r="A695" s="70" t="s">
        <v>911</v>
      </c>
      <c r="B695" s="70" t="s">
        <v>1893</v>
      </c>
      <c r="C695" s="70" t="s">
        <v>1894</v>
      </c>
      <c r="D695" s="70">
        <v>1521</v>
      </c>
      <c r="E695" s="70">
        <v>1</v>
      </c>
      <c r="F695" s="71">
        <v>9.7789000000000001</v>
      </c>
      <c r="G695" s="71">
        <v>22.08</v>
      </c>
      <c r="H695" s="71">
        <v>9.7789000000000001</v>
      </c>
      <c r="I695" s="71">
        <v>22.08</v>
      </c>
      <c r="J695" s="70" t="s">
        <v>496</v>
      </c>
      <c r="K695" s="70" t="s">
        <v>48</v>
      </c>
      <c r="L695" s="74">
        <v>46100</v>
      </c>
    </row>
    <row r="696" spans="1:12" hidden="1" x14ac:dyDescent="0.25">
      <c r="A696" s="70" t="s">
        <v>922</v>
      </c>
      <c r="B696" s="70" t="s">
        <v>1130</v>
      </c>
      <c r="C696" s="70" t="s">
        <v>1131</v>
      </c>
      <c r="D696" s="70">
        <v>1521</v>
      </c>
      <c r="E696" s="70">
        <v>-1</v>
      </c>
      <c r="F696" s="71">
        <v>9.83765</v>
      </c>
      <c r="G696" s="71">
        <v>24.47</v>
      </c>
      <c r="H696" s="71">
        <v>-9.83765</v>
      </c>
      <c r="I696" s="71">
        <v>-24.47</v>
      </c>
      <c r="J696" s="70" t="s">
        <v>496</v>
      </c>
      <c r="K696" s="70" t="s">
        <v>48</v>
      </c>
      <c r="L696" s="74">
        <v>46100</v>
      </c>
    </row>
    <row r="697" spans="1:12" hidden="1" x14ac:dyDescent="0.25">
      <c r="A697" s="70" t="s">
        <v>911</v>
      </c>
      <c r="B697" s="70" t="s">
        <v>1046</v>
      </c>
      <c r="C697" s="70" t="s">
        <v>1047</v>
      </c>
      <c r="D697" s="70">
        <v>1521</v>
      </c>
      <c r="E697" s="70">
        <v>1</v>
      </c>
      <c r="F697" s="71">
        <v>21.216000000000001</v>
      </c>
      <c r="G697" s="71">
        <v>64.86</v>
      </c>
      <c r="H697" s="71">
        <v>21.216000000000001</v>
      </c>
      <c r="I697" s="71">
        <v>64.86</v>
      </c>
      <c r="J697" s="70" t="s">
        <v>496</v>
      </c>
      <c r="K697" s="70" t="s">
        <v>48</v>
      </c>
      <c r="L697" s="74">
        <v>46100</v>
      </c>
    </row>
    <row r="698" spans="1:12" hidden="1" x14ac:dyDescent="0.25">
      <c r="A698" s="70" t="s">
        <v>922</v>
      </c>
      <c r="B698" s="70" t="s">
        <v>1048</v>
      </c>
      <c r="C698" s="70" t="s">
        <v>1047</v>
      </c>
      <c r="D698" s="70">
        <v>1521</v>
      </c>
      <c r="E698" s="70">
        <v>-1</v>
      </c>
      <c r="F698" s="71">
        <v>29.065100000000001</v>
      </c>
      <c r="G698" s="71">
        <v>67.239999999999995</v>
      </c>
      <c r="H698" s="71">
        <v>-29.065100000000001</v>
      </c>
      <c r="I698" s="71">
        <v>-67.239999999999995</v>
      </c>
      <c r="J698" s="70" t="s">
        <v>496</v>
      </c>
      <c r="K698" s="70" t="s">
        <v>48</v>
      </c>
      <c r="L698" s="74">
        <v>46100</v>
      </c>
    </row>
    <row r="699" spans="1:12" hidden="1" x14ac:dyDescent="0.25">
      <c r="A699" s="70" t="s">
        <v>911</v>
      </c>
      <c r="B699" s="70" t="s">
        <v>1192</v>
      </c>
      <c r="C699" s="70" t="s">
        <v>1193</v>
      </c>
      <c r="D699" s="70">
        <v>1521</v>
      </c>
      <c r="E699" s="70">
        <v>1</v>
      </c>
      <c r="F699" s="71">
        <v>16.759799999999998</v>
      </c>
      <c r="G699" s="71">
        <v>33.119999999999997</v>
      </c>
      <c r="H699" s="71">
        <v>16.759799999999998</v>
      </c>
      <c r="I699" s="71">
        <v>33.119999999999997</v>
      </c>
      <c r="J699" s="70" t="s">
        <v>496</v>
      </c>
      <c r="K699" s="70" t="s">
        <v>48</v>
      </c>
      <c r="L699" s="74">
        <v>46100</v>
      </c>
    </row>
    <row r="700" spans="1:12" hidden="1" x14ac:dyDescent="0.25">
      <c r="A700" s="70" t="s">
        <v>922</v>
      </c>
      <c r="B700" s="70" t="s">
        <v>1895</v>
      </c>
      <c r="C700" s="70" t="s">
        <v>1896</v>
      </c>
      <c r="D700" s="70">
        <v>1521</v>
      </c>
      <c r="E700" s="70">
        <v>-1</v>
      </c>
      <c r="F700" s="71">
        <v>16.759799999999998</v>
      </c>
      <c r="G700" s="71">
        <v>33.119999999999997</v>
      </c>
      <c r="H700" s="71">
        <v>-16.759799999999998</v>
      </c>
      <c r="I700" s="71">
        <v>-33.119999999999997</v>
      </c>
      <c r="J700" s="70" t="s">
        <v>496</v>
      </c>
      <c r="K700" s="70" t="s">
        <v>48</v>
      </c>
      <c r="L700" s="74">
        <v>46100</v>
      </c>
    </row>
    <row r="701" spans="1:12" hidden="1" x14ac:dyDescent="0.25">
      <c r="A701" s="70" t="s">
        <v>911</v>
      </c>
      <c r="B701" s="70" t="s">
        <v>1897</v>
      </c>
      <c r="C701" s="70" t="s">
        <v>1898</v>
      </c>
      <c r="D701" s="70">
        <v>1521</v>
      </c>
      <c r="E701" s="70">
        <v>1</v>
      </c>
      <c r="F701" s="71">
        <v>15.5755</v>
      </c>
      <c r="G701" s="71">
        <v>42</v>
      </c>
      <c r="H701" s="71">
        <v>15.5755</v>
      </c>
      <c r="I701" s="71">
        <v>42</v>
      </c>
      <c r="J701" s="70" t="s">
        <v>496</v>
      </c>
      <c r="K701" s="70" t="s">
        <v>48</v>
      </c>
      <c r="L701" s="74">
        <v>46100</v>
      </c>
    </row>
    <row r="702" spans="1:12" hidden="1" x14ac:dyDescent="0.25">
      <c r="A702" s="70" t="s">
        <v>922</v>
      </c>
      <c r="B702" s="70" t="s">
        <v>1899</v>
      </c>
      <c r="C702" s="70" t="s">
        <v>1900</v>
      </c>
      <c r="D702" s="70">
        <v>1521</v>
      </c>
      <c r="E702" s="70">
        <v>-1</v>
      </c>
      <c r="F702" s="71">
        <v>15.5754</v>
      </c>
      <c r="G702" s="71">
        <v>42</v>
      </c>
      <c r="H702" s="71">
        <v>-15.5754</v>
      </c>
      <c r="I702" s="71">
        <v>-42</v>
      </c>
      <c r="J702" s="70" t="s">
        <v>496</v>
      </c>
      <c r="K702" s="70" t="s">
        <v>48</v>
      </c>
      <c r="L702" s="74">
        <v>46100</v>
      </c>
    </row>
    <row r="703" spans="1:12" hidden="1" x14ac:dyDescent="0.25">
      <c r="A703" s="70" t="s">
        <v>911</v>
      </c>
      <c r="B703" s="70" t="s">
        <v>1901</v>
      </c>
      <c r="C703" s="70" t="s">
        <v>1902</v>
      </c>
      <c r="D703" s="70">
        <v>1521</v>
      </c>
      <c r="E703" s="70">
        <v>1</v>
      </c>
      <c r="F703" s="71">
        <v>73.031999999999996</v>
      </c>
      <c r="G703" s="71">
        <v>106.93</v>
      </c>
      <c r="H703" s="71">
        <v>73.031999999999996</v>
      </c>
      <c r="I703" s="71">
        <v>106.93</v>
      </c>
      <c r="J703" s="70" t="s">
        <v>496</v>
      </c>
      <c r="K703" s="70" t="s">
        <v>48</v>
      </c>
      <c r="L703" s="74">
        <v>46100</v>
      </c>
    </row>
    <row r="704" spans="1:12" hidden="1" x14ac:dyDescent="0.25">
      <c r="A704" s="70" t="s">
        <v>922</v>
      </c>
      <c r="B704" s="70" t="s">
        <v>1903</v>
      </c>
      <c r="C704" s="70" t="s">
        <v>1904</v>
      </c>
      <c r="D704" s="70">
        <v>1521</v>
      </c>
      <c r="E704" s="70">
        <v>-1</v>
      </c>
      <c r="F704" s="71">
        <v>73.031999999999996</v>
      </c>
      <c r="G704" s="71">
        <v>106.93</v>
      </c>
      <c r="H704" s="71">
        <v>-73.031999999999996</v>
      </c>
      <c r="I704" s="71">
        <v>-106.93</v>
      </c>
      <c r="J704" s="70" t="s">
        <v>496</v>
      </c>
      <c r="K704" s="70" t="s">
        <v>48</v>
      </c>
      <c r="L704" s="74">
        <v>46100</v>
      </c>
    </row>
    <row r="705" spans="1:12" hidden="1" x14ac:dyDescent="0.25">
      <c r="A705" s="70" t="s">
        <v>911</v>
      </c>
      <c r="B705" s="70" t="s">
        <v>1905</v>
      </c>
      <c r="C705" s="70" t="s">
        <v>1906</v>
      </c>
      <c r="D705" s="70">
        <v>1521</v>
      </c>
      <c r="E705" s="70">
        <v>1</v>
      </c>
      <c r="F705" s="71">
        <v>31.2834</v>
      </c>
      <c r="G705" s="71">
        <v>45.8</v>
      </c>
      <c r="H705" s="71">
        <v>31.2834</v>
      </c>
      <c r="I705" s="71">
        <v>45.8</v>
      </c>
      <c r="J705" s="70" t="s">
        <v>496</v>
      </c>
      <c r="K705" s="70" t="s">
        <v>48</v>
      </c>
      <c r="L705" s="74">
        <v>46100</v>
      </c>
    </row>
    <row r="706" spans="1:12" hidden="1" x14ac:dyDescent="0.25">
      <c r="A706" s="70" t="s">
        <v>922</v>
      </c>
      <c r="B706" s="70" t="s">
        <v>1907</v>
      </c>
      <c r="C706" s="70" t="s">
        <v>1908</v>
      </c>
      <c r="D706" s="70">
        <v>1521</v>
      </c>
      <c r="E706" s="70">
        <v>-1</v>
      </c>
      <c r="F706" s="71">
        <v>31.2834</v>
      </c>
      <c r="G706" s="71">
        <v>45.8</v>
      </c>
      <c r="H706" s="71">
        <v>-31.2834</v>
      </c>
      <c r="I706" s="71">
        <v>-45.8</v>
      </c>
      <c r="J706" s="70" t="s">
        <v>496</v>
      </c>
      <c r="K706" s="70" t="s">
        <v>48</v>
      </c>
      <c r="L706" s="74">
        <v>46100</v>
      </c>
    </row>
    <row r="707" spans="1:12" hidden="1" x14ac:dyDescent="0.25">
      <c r="A707" s="70" t="s">
        <v>911</v>
      </c>
      <c r="B707" s="70" t="s">
        <v>1029</v>
      </c>
      <c r="C707" s="70" t="s">
        <v>1030</v>
      </c>
      <c r="D707" s="70">
        <v>1521</v>
      </c>
      <c r="E707" s="70">
        <v>1</v>
      </c>
      <c r="F707" s="71">
        <v>373.55500000000001</v>
      </c>
      <c r="G707" s="71">
        <v>933.64</v>
      </c>
      <c r="H707" s="71">
        <v>373.55500000000001</v>
      </c>
      <c r="I707" s="71">
        <v>933.64</v>
      </c>
      <c r="J707" s="70" t="s">
        <v>496</v>
      </c>
      <c r="K707" s="70" t="s">
        <v>48</v>
      </c>
      <c r="L707" s="74">
        <v>46100</v>
      </c>
    </row>
    <row r="708" spans="1:12" hidden="1" x14ac:dyDescent="0.25">
      <c r="A708" s="70" t="s">
        <v>922</v>
      </c>
      <c r="B708" s="70" t="s">
        <v>1027</v>
      </c>
      <c r="C708" s="70" t="s">
        <v>1028</v>
      </c>
      <c r="D708" s="70">
        <v>1521</v>
      </c>
      <c r="E708" s="70">
        <v>-1</v>
      </c>
      <c r="F708" s="71">
        <v>379.78050000000002</v>
      </c>
      <c r="G708" s="71">
        <v>891.77</v>
      </c>
      <c r="H708" s="71">
        <v>-379.78050000000002</v>
      </c>
      <c r="I708" s="71">
        <v>-891.77</v>
      </c>
      <c r="J708" s="70" t="s">
        <v>496</v>
      </c>
      <c r="K708" s="70" t="s">
        <v>48</v>
      </c>
      <c r="L708" s="74">
        <v>46100</v>
      </c>
    </row>
    <row r="709" spans="1:12" hidden="1" x14ac:dyDescent="0.25">
      <c r="A709" s="70" t="s">
        <v>877</v>
      </c>
      <c r="B709" s="70" t="s">
        <v>1100</v>
      </c>
      <c r="C709" s="70" t="s">
        <v>1101</v>
      </c>
      <c r="D709" s="70">
        <v>1501</v>
      </c>
      <c r="E709" s="70">
        <v>-1</v>
      </c>
      <c r="F709" s="71">
        <v>21.418600000000001</v>
      </c>
      <c r="G709" s="71">
        <v>55.73</v>
      </c>
      <c r="H709" s="71">
        <v>-21.418600000000001</v>
      </c>
      <c r="I709" s="71">
        <v>-55.73</v>
      </c>
      <c r="J709" s="70" t="s">
        <v>646</v>
      </c>
      <c r="K709" s="70" t="s">
        <v>48</v>
      </c>
      <c r="L709" s="74">
        <v>46079</v>
      </c>
    </row>
    <row r="710" spans="1:12" hidden="1" x14ac:dyDescent="0.25">
      <c r="A710" s="70" t="s">
        <v>877</v>
      </c>
      <c r="B710" s="70" t="s">
        <v>1909</v>
      </c>
      <c r="C710" s="70" t="s">
        <v>1910</v>
      </c>
      <c r="D710" s="70">
        <v>1501</v>
      </c>
      <c r="E710" s="70">
        <v>-1</v>
      </c>
      <c r="F710" s="71">
        <v>26.6934</v>
      </c>
      <c r="G710" s="71">
        <v>39.090000000000003</v>
      </c>
      <c r="H710" s="71">
        <v>-26.6934</v>
      </c>
      <c r="I710" s="71">
        <v>-39.090000000000003</v>
      </c>
      <c r="J710" s="70" t="s">
        <v>646</v>
      </c>
      <c r="K710" s="70" t="s">
        <v>48</v>
      </c>
      <c r="L710" s="74">
        <v>46079</v>
      </c>
    </row>
    <row r="711" spans="1:12" hidden="1" x14ac:dyDescent="0.25">
      <c r="A711" s="70" t="s">
        <v>877</v>
      </c>
      <c r="B711" s="70" t="s">
        <v>1911</v>
      </c>
      <c r="C711" s="70" t="s">
        <v>1912</v>
      </c>
      <c r="D711" s="70">
        <v>1501</v>
      </c>
      <c r="E711" s="70">
        <v>-1</v>
      </c>
      <c r="F711" s="71">
        <v>19.645499999999998</v>
      </c>
      <c r="G711" s="71">
        <v>28.77</v>
      </c>
      <c r="H711" s="71">
        <v>-19.645499999999998</v>
      </c>
      <c r="I711" s="71">
        <v>-28.77</v>
      </c>
      <c r="J711" s="70" t="s">
        <v>646</v>
      </c>
      <c r="K711" s="70" t="s">
        <v>48</v>
      </c>
      <c r="L711" s="74">
        <v>46079</v>
      </c>
    </row>
    <row r="712" spans="1:12" hidden="1" x14ac:dyDescent="0.25">
      <c r="A712" s="70" t="s">
        <v>877</v>
      </c>
      <c r="B712" s="70" t="s">
        <v>1913</v>
      </c>
      <c r="C712" s="70" t="s">
        <v>1914</v>
      </c>
      <c r="D712" s="70">
        <v>1501</v>
      </c>
      <c r="E712" s="70">
        <v>-1</v>
      </c>
      <c r="F712" s="71">
        <v>8.9733999999999998</v>
      </c>
      <c r="G712" s="71">
        <v>22.74</v>
      </c>
      <c r="H712" s="71">
        <v>-8.9733999999999998</v>
      </c>
      <c r="I712" s="71">
        <v>-22.74</v>
      </c>
      <c r="J712" s="70" t="s">
        <v>646</v>
      </c>
      <c r="K712" s="70" t="s">
        <v>48</v>
      </c>
      <c r="L712" s="74">
        <v>46079</v>
      </c>
    </row>
    <row r="713" spans="1:12" hidden="1" x14ac:dyDescent="0.25">
      <c r="A713" s="70" t="s">
        <v>877</v>
      </c>
      <c r="B713" s="70" t="s">
        <v>1915</v>
      </c>
      <c r="C713" s="70" t="s">
        <v>1916</v>
      </c>
      <c r="D713" s="70">
        <v>1501</v>
      </c>
      <c r="E713" s="70">
        <v>-2</v>
      </c>
      <c r="F713" s="71">
        <v>4.75</v>
      </c>
      <c r="G713" s="71">
        <v>11.24</v>
      </c>
      <c r="H713" s="71">
        <v>-9.5</v>
      </c>
      <c r="I713" s="71">
        <v>-22.48</v>
      </c>
      <c r="J713" s="70" t="s">
        <v>646</v>
      </c>
      <c r="K713" s="70" t="s">
        <v>48</v>
      </c>
      <c r="L713" s="74">
        <v>46079</v>
      </c>
    </row>
    <row r="714" spans="1:12" hidden="1" x14ac:dyDescent="0.25">
      <c r="A714" s="70" t="s">
        <v>877</v>
      </c>
      <c r="B714" s="70" t="s">
        <v>1917</v>
      </c>
      <c r="C714" s="70" t="s">
        <v>1918</v>
      </c>
      <c r="D714" s="70">
        <v>1501</v>
      </c>
      <c r="E714" s="70">
        <v>-1</v>
      </c>
      <c r="F714" s="71">
        <v>10.898199999999999</v>
      </c>
      <c r="G714" s="71">
        <v>20.74</v>
      </c>
      <c r="H714" s="71">
        <v>-10.898199999999999</v>
      </c>
      <c r="I714" s="71">
        <v>-20.74</v>
      </c>
      <c r="J714" s="70" t="s">
        <v>646</v>
      </c>
      <c r="K714" s="70" t="s">
        <v>48</v>
      </c>
      <c r="L714" s="74">
        <v>46079</v>
      </c>
    </row>
    <row r="715" spans="1:12" hidden="1" x14ac:dyDescent="0.25">
      <c r="A715" s="70" t="s">
        <v>877</v>
      </c>
      <c r="B715" s="70" t="s">
        <v>1919</v>
      </c>
      <c r="C715" s="70" t="s">
        <v>1920</v>
      </c>
      <c r="D715" s="70">
        <v>1501</v>
      </c>
      <c r="E715" s="70">
        <v>-1</v>
      </c>
      <c r="F715" s="71">
        <v>5.5631000000000004</v>
      </c>
      <c r="G715" s="71">
        <v>19.79</v>
      </c>
      <c r="H715" s="71">
        <v>-5.5631000000000004</v>
      </c>
      <c r="I715" s="71">
        <v>-19.79</v>
      </c>
      <c r="J715" s="70" t="s">
        <v>646</v>
      </c>
      <c r="K715" s="70" t="s">
        <v>48</v>
      </c>
      <c r="L715" s="74">
        <v>46079</v>
      </c>
    </row>
    <row r="716" spans="1:12" hidden="1" x14ac:dyDescent="0.25">
      <c r="A716" s="70" t="s">
        <v>877</v>
      </c>
      <c r="B716" s="70" t="s">
        <v>812</v>
      </c>
      <c r="C716" s="70" t="s">
        <v>813</v>
      </c>
      <c r="D716" s="70">
        <v>1501</v>
      </c>
      <c r="E716" s="70">
        <v>-6</v>
      </c>
      <c r="F716" s="71">
        <v>1.8012947368421099</v>
      </c>
      <c r="G716" s="71">
        <v>2.96</v>
      </c>
      <c r="H716" s="71">
        <v>-10.8077684210527</v>
      </c>
      <c r="I716" s="71">
        <v>-17.760000000000002</v>
      </c>
      <c r="J716" s="70" t="s">
        <v>646</v>
      </c>
      <c r="K716" s="70" t="s">
        <v>48</v>
      </c>
      <c r="L716" s="74">
        <v>46079</v>
      </c>
    </row>
    <row r="717" spans="1:12" hidden="1" x14ac:dyDescent="0.25">
      <c r="A717" s="70" t="s">
        <v>877</v>
      </c>
      <c r="B717" s="70" t="s">
        <v>1921</v>
      </c>
      <c r="C717" s="70" t="s">
        <v>1922</v>
      </c>
      <c r="D717" s="70">
        <v>1501</v>
      </c>
      <c r="E717" s="70">
        <v>-1</v>
      </c>
      <c r="F717" s="71">
        <v>10.0128</v>
      </c>
      <c r="G717" s="71">
        <v>16.170000000000002</v>
      </c>
      <c r="H717" s="71">
        <v>-10.0128</v>
      </c>
      <c r="I717" s="71">
        <v>-16.170000000000002</v>
      </c>
      <c r="J717" s="70" t="s">
        <v>646</v>
      </c>
      <c r="K717" s="70" t="s">
        <v>48</v>
      </c>
      <c r="L717" s="74">
        <v>46079</v>
      </c>
    </row>
    <row r="718" spans="1:12" hidden="1" x14ac:dyDescent="0.25">
      <c r="A718" s="70" t="s">
        <v>877</v>
      </c>
      <c r="B718" s="70" t="s">
        <v>1923</v>
      </c>
      <c r="C718" s="70" t="s">
        <v>1924</v>
      </c>
      <c r="D718" s="70">
        <v>1501</v>
      </c>
      <c r="E718" s="70">
        <v>-1</v>
      </c>
      <c r="F718" s="71">
        <v>7.4617000000000004</v>
      </c>
      <c r="G718" s="71">
        <v>16.12</v>
      </c>
      <c r="H718" s="71">
        <v>-7.4617000000000004</v>
      </c>
      <c r="I718" s="71">
        <v>-16.12</v>
      </c>
      <c r="J718" s="70" t="s">
        <v>646</v>
      </c>
      <c r="K718" s="70" t="s">
        <v>48</v>
      </c>
      <c r="L718" s="74">
        <v>46079</v>
      </c>
    </row>
    <row r="719" spans="1:12" hidden="1" x14ac:dyDescent="0.25">
      <c r="A719" s="70" t="s">
        <v>877</v>
      </c>
      <c r="B719" s="70" t="s">
        <v>1925</v>
      </c>
      <c r="C719" s="70" t="s">
        <v>1926</v>
      </c>
      <c r="D719" s="70">
        <v>1501</v>
      </c>
      <c r="E719" s="70">
        <v>-1</v>
      </c>
      <c r="F719" s="71">
        <v>8.0330999999999992</v>
      </c>
      <c r="G719" s="71">
        <v>15.87</v>
      </c>
      <c r="H719" s="71">
        <v>-8.0330999999999992</v>
      </c>
      <c r="I719" s="71">
        <v>-15.87</v>
      </c>
      <c r="J719" s="70" t="s">
        <v>646</v>
      </c>
      <c r="K719" s="70" t="s">
        <v>48</v>
      </c>
      <c r="L719" s="74">
        <v>46079</v>
      </c>
    </row>
    <row r="720" spans="1:12" hidden="1" x14ac:dyDescent="0.25">
      <c r="A720" s="70" t="s">
        <v>877</v>
      </c>
      <c r="B720" s="70" t="s">
        <v>1637</v>
      </c>
      <c r="C720" s="70" t="s">
        <v>1638</v>
      </c>
      <c r="D720" s="70">
        <v>1501</v>
      </c>
      <c r="E720" s="70">
        <v>-2</v>
      </c>
      <c r="F720" s="71">
        <v>2.9335</v>
      </c>
      <c r="G720" s="71">
        <v>5.86</v>
      </c>
      <c r="H720" s="71">
        <v>-5.867</v>
      </c>
      <c r="I720" s="71">
        <v>-11.72</v>
      </c>
      <c r="J720" s="70" t="s">
        <v>646</v>
      </c>
      <c r="K720" s="70" t="s">
        <v>48</v>
      </c>
      <c r="L720" s="74">
        <v>46079</v>
      </c>
    </row>
    <row r="721" spans="1:12" hidden="1" x14ac:dyDescent="0.25">
      <c r="A721" s="70" t="s">
        <v>877</v>
      </c>
      <c r="B721" s="70" t="s">
        <v>699</v>
      </c>
      <c r="C721" s="70" t="s">
        <v>1714</v>
      </c>
      <c r="D721" s="70">
        <v>1501</v>
      </c>
      <c r="E721" s="70">
        <v>-1</v>
      </c>
      <c r="F721" s="71">
        <v>5.5004999999999997</v>
      </c>
      <c r="G721" s="71">
        <v>11.65</v>
      </c>
      <c r="H721" s="71">
        <v>-5.5004999999999997</v>
      </c>
      <c r="I721" s="71">
        <v>-11.65</v>
      </c>
      <c r="J721" s="70" t="s">
        <v>646</v>
      </c>
      <c r="K721" s="70" t="s">
        <v>48</v>
      </c>
      <c r="L721" s="74">
        <v>46079</v>
      </c>
    </row>
    <row r="722" spans="1:12" hidden="1" x14ac:dyDescent="0.25">
      <c r="A722" s="70" t="s">
        <v>877</v>
      </c>
      <c r="B722" s="70" t="s">
        <v>719</v>
      </c>
      <c r="C722" s="70" t="s">
        <v>1927</v>
      </c>
      <c r="D722" s="70">
        <v>1501</v>
      </c>
      <c r="E722" s="70">
        <v>-1</v>
      </c>
      <c r="F722" s="71">
        <v>6.8502999999999998</v>
      </c>
      <c r="G722" s="71">
        <v>10.46</v>
      </c>
      <c r="H722" s="71">
        <v>-6.8502999999999998</v>
      </c>
      <c r="I722" s="71">
        <v>-10.46</v>
      </c>
      <c r="J722" s="70" t="s">
        <v>646</v>
      </c>
      <c r="K722" s="70" t="s">
        <v>48</v>
      </c>
      <c r="L722" s="74">
        <v>46079</v>
      </c>
    </row>
    <row r="723" spans="1:12" hidden="1" x14ac:dyDescent="0.25">
      <c r="A723" s="70" t="s">
        <v>877</v>
      </c>
      <c r="B723" s="70" t="s">
        <v>721</v>
      </c>
      <c r="C723" s="70" t="s">
        <v>1928</v>
      </c>
      <c r="D723" s="70">
        <v>1501</v>
      </c>
      <c r="E723" s="70">
        <v>-1</v>
      </c>
      <c r="F723" s="71">
        <v>6.8802000000000003</v>
      </c>
      <c r="G723" s="71">
        <v>10.37</v>
      </c>
      <c r="H723" s="71">
        <v>-6.8802000000000003</v>
      </c>
      <c r="I723" s="71">
        <v>-10.37</v>
      </c>
      <c r="J723" s="70" t="s">
        <v>646</v>
      </c>
      <c r="K723" s="70" t="s">
        <v>48</v>
      </c>
      <c r="L723" s="74">
        <v>46079</v>
      </c>
    </row>
    <row r="724" spans="1:12" hidden="1" x14ac:dyDescent="0.25">
      <c r="A724" s="70" t="s">
        <v>877</v>
      </c>
      <c r="B724" s="70" t="s">
        <v>1929</v>
      </c>
      <c r="C724" s="70" t="s">
        <v>1930</v>
      </c>
      <c r="D724" s="70">
        <v>1501</v>
      </c>
      <c r="E724" s="70">
        <v>-1</v>
      </c>
      <c r="F724" s="71">
        <v>4.7670000000000003</v>
      </c>
      <c r="G724" s="71">
        <v>9.43</v>
      </c>
      <c r="H724" s="71">
        <v>-4.7670000000000003</v>
      </c>
      <c r="I724" s="71">
        <v>-9.43</v>
      </c>
      <c r="J724" s="70" t="s">
        <v>646</v>
      </c>
      <c r="K724" s="70" t="s">
        <v>48</v>
      </c>
      <c r="L724" s="74">
        <v>46079</v>
      </c>
    </row>
    <row r="725" spans="1:12" hidden="1" x14ac:dyDescent="0.25">
      <c r="A725" s="70" t="s">
        <v>877</v>
      </c>
      <c r="B725" s="70" t="s">
        <v>1931</v>
      </c>
      <c r="C725" s="70" t="s">
        <v>1932</v>
      </c>
      <c r="D725" s="70">
        <v>1501</v>
      </c>
      <c r="E725" s="70">
        <v>-1</v>
      </c>
      <c r="F725" s="71">
        <v>3.4388999999999998</v>
      </c>
      <c r="G725" s="71">
        <v>8.86</v>
      </c>
      <c r="H725" s="71">
        <v>-3.4388999999999998</v>
      </c>
      <c r="I725" s="71">
        <v>-8.86</v>
      </c>
      <c r="J725" s="70" t="s">
        <v>646</v>
      </c>
      <c r="K725" s="70" t="s">
        <v>48</v>
      </c>
      <c r="L725" s="74">
        <v>46079</v>
      </c>
    </row>
    <row r="726" spans="1:12" hidden="1" x14ac:dyDescent="0.25">
      <c r="A726" s="70" t="s">
        <v>877</v>
      </c>
      <c r="B726" s="70" t="s">
        <v>909</v>
      </c>
      <c r="C726" s="70" t="s">
        <v>910</v>
      </c>
      <c r="D726" s="70">
        <v>1501</v>
      </c>
      <c r="E726" s="70">
        <v>-3</v>
      </c>
      <c r="F726" s="71">
        <v>0.70099999999999996</v>
      </c>
      <c r="G726" s="71">
        <v>1.78</v>
      </c>
      <c r="H726" s="71">
        <v>-2.1030000000000002</v>
      </c>
      <c r="I726" s="71">
        <v>-5.34</v>
      </c>
      <c r="J726" s="70" t="s">
        <v>646</v>
      </c>
      <c r="K726" s="70" t="s">
        <v>48</v>
      </c>
      <c r="L726" s="74">
        <v>46079</v>
      </c>
    </row>
    <row r="727" spans="1:12" hidden="1" x14ac:dyDescent="0.25">
      <c r="A727" s="70" t="s">
        <v>877</v>
      </c>
      <c r="B727" s="70" t="s">
        <v>1933</v>
      </c>
      <c r="C727" s="70" t="s">
        <v>1934</v>
      </c>
      <c r="D727" s="70">
        <v>1501</v>
      </c>
      <c r="E727" s="70">
        <v>-1</v>
      </c>
      <c r="F727" s="71">
        <v>1.9610000000000001</v>
      </c>
      <c r="G727" s="71">
        <v>4.9400000000000004</v>
      </c>
      <c r="H727" s="71">
        <v>-1.9610000000000001</v>
      </c>
      <c r="I727" s="71">
        <v>-4.9400000000000004</v>
      </c>
      <c r="J727" s="70" t="s">
        <v>646</v>
      </c>
      <c r="K727" s="70" t="s">
        <v>48</v>
      </c>
      <c r="L727" s="74">
        <v>46079</v>
      </c>
    </row>
    <row r="728" spans="1:12" hidden="1" x14ac:dyDescent="0.25">
      <c r="A728" s="70" t="s">
        <v>877</v>
      </c>
      <c r="B728" s="70" t="s">
        <v>1668</v>
      </c>
      <c r="C728" s="70" t="s">
        <v>1669</v>
      </c>
      <c r="D728" s="70">
        <v>1501</v>
      </c>
      <c r="E728" s="70">
        <v>-1</v>
      </c>
      <c r="F728" s="71">
        <v>1.1127</v>
      </c>
      <c r="G728" s="71">
        <v>3.96</v>
      </c>
      <c r="H728" s="71">
        <v>-1.1127</v>
      </c>
      <c r="I728" s="71">
        <v>-3.96</v>
      </c>
      <c r="J728" s="70" t="s">
        <v>646</v>
      </c>
      <c r="K728" s="70" t="s">
        <v>48</v>
      </c>
      <c r="L728" s="74">
        <v>46079</v>
      </c>
    </row>
    <row r="729" spans="1:12" hidden="1" x14ac:dyDescent="0.25">
      <c r="A729" s="70" t="s">
        <v>877</v>
      </c>
      <c r="B729" s="70" t="s">
        <v>794</v>
      </c>
      <c r="C729" s="70" t="s">
        <v>795</v>
      </c>
      <c r="D729" s="70">
        <v>1501</v>
      </c>
      <c r="E729" s="70">
        <v>-1</v>
      </c>
      <c r="F729" s="71">
        <v>2.3047</v>
      </c>
      <c r="G729" s="71">
        <v>3.78</v>
      </c>
      <c r="H729" s="71">
        <v>-2.3047</v>
      </c>
      <c r="I729" s="71">
        <v>-3.78</v>
      </c>
      <c r="J729" s="70" t="s">
        <v>646</v>
      </c>
      <c r="K729" s="70" t="s">
        <v>48</v>
      </c>
      <c r="L729" s="74">
        <v>46079</v>
      </c>
    </row>
    <row r="730" spans="1:12" hidden="1" x14ac:dyDescent="0.25">
      <c r="A730" s="70" t="s">
        <v>877</v>
      </c>
      <c r="B730" s="70" t="s">
        <v>806</v>
      </c>
      <c r="C730" s="70" t="s">
        <v>807</v>
      </c>
      <c r="D730" s="70">
        <v>1501</v>
      </c>
      <c r="E730" s="70">
        <v>-1</v>
      </c>
      <c r="F730" s="71">
        <v>2.3004552631578901</v>
      </c>
      <c r="G730" s="71">
        <v>3.78</v>
      </c>
      <c r="H730" s="71">
        <v>-2.3004552631578901</v>
      </c>
      <c r="I730" s="71">
        <v>-3.78</v>
      </c>
      <c r="J730" s="70" t="s">
        <v>646</v>
      </c>
      <c r="K730" s="70" t="s">
        <v>48</v>
      </c>
      <c r="L730" s="74">
        <v>46079</v>
      </c>
    </row>
    <row r="731" spans="1:12" hidden="1" x14ac:dyDescent="0.25">
      <c r="A731" s="70" t="s">
        <v>877</v>
      </c>
      <c r="B731" s="70" t="s">
        <v>1935</v>
      </c>
      <c r="C731" s="70" t="s">
        <v>1936</v>
      </c>
      <c r="D731" s="70">
        <v>1501</v>
      </c>
      <c r="E731" s="70">
        <v>-2</v>
      </c>
      <c r="F731" s="71">
        <v>0.75290000000000001</v>
      </c>
      <c r="G731" s="71">
        <v>1.62</v>
      </c>
      <c r="H731" s="71">
        <v>-1.5058</v>
      </c>
      <c r="I731" s="71">
        <v>-3.24</v>
      </c>
      <c r="J731" s="70" t="s">
        <v>646</v>
      </c>
      <c r="K731" s="70" t="s">
        <v>48</v>
      </c>
      <c r="L731" s="74">
        <v>46079</v>
      </c>
    </row>
    <row r="732" spans="1:12" hidden="1" x14ac:dyDescent="0.25">
      <c r="A732" s="70" t="s">
        <v>877</v>
      </c>
      <c r="B732" s="70" t="s">
        <v>735</v>
      </c>
      <c r="C732" s="70" t="s">
        <v>736</v>
      </c>
      <c r="D732" s="70">
        <v>1501</v>
      </c>
      <c r="E732" s="70">
        <v>-1</v>
      </c>
      <c r="F732" s="71">
        <v>1.8075000000000001</v>
      </c>
      <c r="G732" s="71">
        <v>2.96</v>
      </c>
      <c r="H732" s="71">
        <v>-1.8075000000000001</v>
      </c>
      <c r="I732" s="71">
        <v>-2.96</v>
      </c>
      <c r="J732" s="70" t="s">
        <v>646</v>
      </c>
      <c r="K732" s="70" t="s">
        <v>48</v>
      </c>
      <c r="L732" s="74">
        <v>46079</v>
      </c>
    </row>
    <row r="733" spans="1:12" hidden="1" x14ac:dyDescent="0.25">
      <c r="A733" s="70" t="s">
        <v>877</v>
      </c>
      <c r="B733" s="70" t="s">
        <v>733</v>
      </c>
      <c r="C733" s="70" t="s">
        <v>734</v>
      </c>
      <c r="D733" s="70">
        <v>1501</v>
      </c>
      <c r="E733" s="70">
        <v>-1</v>
      </c>
      <c r="F733" s="71">
        <v>1.8</v>
      </c>
      <c r="G733" s="71">
        <v>2.96</v>
      </c>
      <c r="H733" s="71">
        <v>-1.8</v>
      </c>
      <c r="I733" s="71">
        <v>-2.96</v>
      </c>
      <c r="J733" s="70" t="s">
        <v>646</v>
      </c>
      <c r="K733" s="70" t="s">
        <v>48</v>
      </c>
      <c r="L733" s="74">
        <v>46079</v>
      </c>
    </row>
    <row r="734" spans="1:12" hidden="1" x14ac:dyDescent="0.25">
      <c r="A734" s="70" t="s">
        <v>877</v>
      </c>
      <c r="B734" s="70" t="s">
        <v>743</v>
      </c>
      <c r="C734" s="70" t="s">
        <v>744</v>
      </c>
      <c r="D734" s="70">
        <v>1501</v>
      </c>
      <c r="E734" s="70">
        <v>-8</v>
      </c>
      <c r="F734" s="71">
        <v>4.2299999999999997E-2</v>
      </c>
      <c r="G734" s="71">
        <v>0.06</v>
      </c>
      <c r="H734" s="71">
        <v>-0.33839999999999998</v>
      </c>
      <c r="I734" s="71">
        <v>-0.48</v>
      </c>
      <c r="J734" s="70" t="s">
        <v>646</v>
      </c>
      <c r="K734" s="70" t="s">
        <v>48</v>
      </c>
      <c r="L734" s="74">
        <v>46079</v>
      </c>
    </row>
    <row r="735" spans="1:12" hidden="1" x14ac:dyDescent="0.25">
      <c r="A735" s="70" t="s">
        <v>898</v>
      </c>
      <c r="B735" s="70" t="s">
        <v>1937</v>
      </c>
      <c r="C735" s="70" t="s">
        <v>1938</v>
      </c>
      <c r="D735" s="70">
        <v>1501</v>
      </c>
      <c r="E735" s="70">
        <v>1</v>
      </c>
      <c r="F735" s="71">
        <v>72.695400000000006</v>
      </c>
      <c r="G735" s="71">
        <v>101.87</v>
      </c>
      <c r="H735" s="71">
        <v>72.695400000000006</v>
      </c>
      <c r="I735" s="71">
        <v>101.87</v>
      </c>
      <c r="J735" s="70" t="s">
        <v>646</v>
      </c>
      <c r="K735" s="70" t="s">
        <v>48</v>
      </c>
      <c r="L735" s="74">
        <v>46079</v>
      </c>
    </row>
    <row r="736" spans="1:12" hidden="1" x14ac:dyDescent="0.25">
      <c r="A736" s="70" t="s">
        <v>898</v>
      </c>
      <c r="B736" s="70" t="s">
        <v>1939</v>
      </c>
      <c r="C736" s="70" t="s">
        <v>1940</v>
      </c>
      <c r="D736" s="70">
        <v>1501</v>
      </c>
      <c r="E736" s="70">
        <v>1</v>
      </c>
      <c r="F736" s="71">
        <v>28.429300000000001</v>
      </c>
      <c r="G736" s="71">
        <v>69.819999999999993</v>
      </c>
      <c r="H736" s="71">
        <v>28.429300000000001</v>
      </c>
      <c r="I736" s="71">
        <v>69.819999999999993</v>
      </c>
      <c r="J736" s="70" t="s">
        <v>646</v>
      </c>
      <c r="K736" s="70" t="s">
        <v>48</v>
      </c>
      <c r="L736" s="74">
        <v>46079</v>
      </c>
    </row>
    <row r="737" spans="1:12" hidden="1" x14ac:dyDescent="0.25">
      <c r="A737" s="70" t="s">
        <v>898</v>
      </c>
      <c r="B737" s="70" t="s">
        <v>872</v>
      </c>
      <c r="C737" s="70" t="s">
        <v>961</v>
      </c>
      <c r="D737" s="70">
        <v>1501</v>
      </c>
      <c r="E737" s="70">
        <v>1</v>
      </c>
      <c r="F737" s="71">
        <v>7.9565999999999999</v>
      </c>
      <c r="G737" s="71">
        <v>28.11</v>
      </c>
      <c r="H737" s="71">
        <v>7.9565999999999999</v>
      </c>
      <c r="I737" s="71">
        <v>28.11</v>
      </c>
      <c r="J737" s="70" t="s">
        <v>646</v>
      </c>
      <c r="K737" s="70" t="s">
        <v>48</v>
      </c>
      <c r="L737" s="74">
        <v>46079</v>
      </c>
    </row>
    <row r="738" spans="1:12" hidden="1" x14ac:dyDescent="0.25">
      <c r="A738" s="70" t="s">
        <v>898</v>
      </c>
      <c r="B738" s="70" t="s">
        <v>1635</v>
      </c>
      <c r="C738" s="70" t="s">
        <v>1636</v>
      </c>
      <c r="D738" s="70">
        <v>1501</v>
      </c>
      <c r="E738" s="70">
        <v>2</v>
      </c>
      <c r="F738" s="71">
        <v>4.7293000000000003</v>
      </c>
      <c r="G738" s="71">
        <v>13.88</v>
      </c>
      <c r="H738" s="71">
        <v>9.4586000000000006</v>
      </c>
      <c r="I738" s="71">
        <v>27.76</v>
      </c>
      <c r="J738" s="70" t="s">
        <v>646</v>
      </c>
      <c r="K738" s="70" t="s">
        <v>48</v>
      </c>
      <c r="L738" s="74">
        <v>46079</v>
      </c>
    </row>
    <row r="739" spans="1:12" hidden="1" x14ac:dyDescent="0.25">
      <c r="A739" s="70" t="s">
        <v>898</v>
      </c>
      <c r="B739" s="70" t="s">
        <v>986</v>
      </c>
      <c r="C739" s="70" t="s">
        <v>987</v>
      </c>
      <c r="D739" s="70">
        <v>1501</v>
      </c>
      <c r="E739" s="70">
        <v>1</v>
      </c>
      <c r="F739" s="71">
        <v>4.7413999999999996</v>
      </c>
      <c r="G739" s="71">
        <v>13.76</v>
      </c>
      <c r="H739" s="71">
        <v>4.7413999999999996</v>
      </c>
      <c r="I739" s="71">
        <v>13.76</v>
      </c>
      <c r="J739" s="70" t="s">
        <v>646</v>
      </c>
      <c r="K739" s="70" t="s">
        <v>48</v>
      </c>
      <c r="L739" s="74">
        <v>46079</v>
      </c>
    </row>
    <row r="740" spans="1:12" hidden="1" x14ac:dyDescent="0.25">
      <c r="A740" s="70" t="s">
        <v>898</v>
      </c>
      <c r="B740" s="70" t="s">
        <v>1941</v>
      </c>
      <c r="C740" s="70" t="s">
        <v>1942</v>
      </c>
      <c r="D740" s="70">
        <v>1501</v>
      </c>
      <c r="E740" s="70">
        <v>1</v>
      </c>
      <c r="F740" s="71">
        <v>3.5375000000000001</v>
      </c>
      <c r="G740" s="71">
        <v>7.78</v>
      </c>
      <c r="H740" s="71">
        <v>3.5375000000000001</v>
      </c>
      <c r="I740" s="71">
        <v>7.78</v>
      </c>
      <c r="J740" s="70" t="s">
        <v>646</v>
      </c>
      <c r="K740" s="70" t="s">
        <v>48</v>
      </c>
      <c r="L740" s="74">
        <v>46079</v>
      </c>
    </row>
    <row r="741" spans="1:12" hidden="1" x14ac:dyDescent="0.25">
      <c r="A741" s="70" t="s">
        <v>898</v>
      </c>
      <c r="B741" s="70" t="s">
        <v>1943</v>
      </c>
      <c r="C741" s="70" t="s">
        <v>1944</v>
      </c>
      <c r="D741" s="70">
        <v>1501</v>
      </c>
      <c r="E741" s="70">
        <v>1</v>
      </c>
      <c r="F741" s="71">
        <v>2.0966</v>
      </c>
      <c r="G741" s="71">
        <v>6.62</v>
      </c>
      <c r="H741" s="71">
        <v>2.0966</v>
      </c>
      <c r="I741" s="71">
        <v>6.62</v>
      </c>
      <c r="J741" s="70" t="s">
        <v>646</v>
      </c>
      <c r="K741" s="70" t="s">
        <v>48</v>
      </c>
      <c r="L741" s="74">
        <v>46079</v>
      </c>
    </row>
    <row r="742" spans="1:12" hidden="1" x14ac:dyDescent="0.25">
      <c r="A742" s="70" t="s">
        <v>911</v>
      </c>
      <c r="B742" s="70" t="s">
        <v>1945</v>
      </c>
      <c r="C742" s="70" t="s">
        <v>1946</v>
      </c>
      <c r="D742" s="70">
        <v>1501</v>
      </c>
      <c r="E742" s="70">
        <v>1</v>
      </c>
      <c r="F742" s="71">
        <v>51.211799999999997</v>
      </c>
      <c r="G742" s="71">
        <v>78.66</v>
      </c>
      <c r="H742" s="71">
        <v>51.211799999999997</v>
      </c>
      <c r="I742" s="71">
        <v>78.66</v>
      </c>
      <c r="J742" s="70" t="s">
        <v>646</v>
      </c>
      <c r="K742" s="70" t="s">
        <v>48</v>
      </c>
      <c r="L742" s="74">
        <v>46079</v>
      </c>
    </row>
    <row r="743" spans="1:12" hidden="1" x14ac:dyDescent="0.25">
      <c r="A743" s="70" t="s">
        <v>922</v>
      </c>
      <c r="B743" s="70" t="s">
        <v>1947</v>
      </c>
      <c r="C743" s="70" t="s">
        <v>1948</v>
      </c>
      <c r="D743" s="70">
        <v>1501</v>
      </c>
      <c r="E743" s="70">
        <v>-1</v>
      </c>
      <c r="F743" s="71">
        <v>66.095600000000005</v>
      </c>
      <c r="G743" s="71">
        <v>89.64</v>
      </c>
      <c r="H743" s="71">
        <v>-66.095600000000005</v>
      </c>
      <c r="I743" s="71">
        <v>-89.64</v>
      </c>
      <c r="J743" s="70" t="s">
        <v>646</v>
      </c>
      <c r="K743" s="70" t="s">
        <v>48</v>
      </c>
      <c r="L743" s="74">
        <v>46079</v>
      </c>
    </row>
    <row r="744" spans="1:12" hidden="1" x14ac:dyDescent="0.25">
      <c r="A744" s="70" t="s">
        <v>911</v>
      </c>
      <c r="B744" s="70" t="s">
        <v>1046</v>
      </c>
      <c r="C744" s="70" t="s">
        <v>1047</v>
      </c>
      <c r="D744" s="70">
        <v>1501</v>
      </c>
      <c r="E744" s="70">
        <v>1</v>
      </c>
      <c r="F744" s="71">
        <v>22.885200000000001</v>
      </c>
      <c r="G744" s="71">
        <v>64.86</v>
      </c>
      <c r="H744" s="71">
        <v>22.885200000000001</v>
      </c>
      <c r="I744" s="71">
        <v>64.86</v>
      </c>
      <c r="J744" s="70" t="s">
        <v>646</v>
      </c>
      <c r="K744" s="70" t="s">
        <v>48</v>
      </c>
      <c r="L744" s="74">
        <v>46079</v>
      </c>
    </row>
    <row r="745" spans="1:12" hidden="1" x14ac:dyDescent="0.25">
      <c r="A745" s="70" t="s">
        <v>922</v>
      </c>
      <c r="B745" s="70" t="s">
        <v>1048</v>
      </c>
      <c r="C745" s="70" t="s">
        <v>1047</v>
      </c>
      <c r="D745" s="70">
        <v>1501</v>
      </c>
      <c r="E745" s="70">
        <v>-1</v>
      </c>
      <c r="F745" s="71">
        <v>29.065100000000001</v>
      </c>
      <c r="G745" s="71">
        <v>67.239999999999995</v>
      </c>
      <c r="H745" s="71">
        <v>-29.065100000000001</v>
      </c>
      <c r="I745" s="71">
        <v>-67.239999999999995</v>
      </c>
      <c r="J745" s="70" t="s">
        <v>646</v>
      </c>
      <c r="K745" s="70" t="s">
        <v>48</v>
      </c>
      <c r="L745" s="74">
        <v>46079</v>
      </c>
    </row>
    <row r="746" spans="1:12" hidden="1" x14ac:dyDescent="0.25">
      <c r="A746" s="70" t="s">
        <v>911</v>
      </c>
      <c r="B746" s="70" t="s">
        <v>1949</v>
      </c>
      <c r="C746" s="70" t="s">
        <v>1950</v>
      </c>
      <c r="D746" s="70">
        <v>1501</v>
      </c>
      <c r="E746" s="70">
        <v>1</v>
      </c>
      <c r="F746" s="71">
        <v>25.673400000000001</v>
      </c>
      <c r="G746" s="71">
        <v>68.42</v>
      </c>
      <c r="H746" s="71">
        <v>25.673400000000001</v>
      </c>
      <c r="I746" s="71">
        <v>68.42</v>
      </c>
      <c r="J746" s="70" t="s">
        <v>646</v>
      </c>
      <c r="K746" s="70" t="s">
        <v>48</v>
      </c>
      <c r="L746" s="74">
        <v>46079</v>
      </c>
    </row>
    <row r="747" spans="1:12" hidden="1" x14ac:dyDescent="0.25">
      <c r="A747" s="70" t="s">
        <v>922</v>
      </c>
      <c r="B747" s="70" t="s">
        <v>1951</v>
      </c>
      <c r="C747" s="70" t="s">
        <v>1952</v>
      </c>
      <c r="D747" s="70">
        <v>1501</v>
      </c>
      <c r="E747" s="70">
        <v>-1</v>
      </c>
      <c r="F747" s="71">
        <v>25.673400000000001</v>
      </c>
      <c r="G747" s="71">
        <v>68.42</v>
      </c>
      <c r="H747" s="71">
        <v>-25.673400000000001</v>
      </c>
      <c r="I747" s="71">
        <v>-68.42</v>
      </c>
      <c r="J747" s="70" t="s">
        <v>646</v>
      </c>
      <c r="K747" s="70" t="s">
        <v>48</v>
      </c>
      <c r="L747" s="74">
        <v>46079</v>
      </c>
    </row>
    <row r="748" spans="1:12" hidden="1" x14ac:dyDescent="0.25">
      <c r="A748" s="70" t="s">
        <v>911</v>
      </c>
      <c r="B748" s="70" t="s">
        <v>1953</v>
      </c>
      <c r="C748" s="70" t="s">
        <v>1954</v>
      </c>
      <c r="D748" s="70">
        <v>1501</v>
      </c>
      <c r="E748" s="70">
        <v>1</v>
      </c>
      <c r="F748" s="71">
        <v>41.449599999999997</v>
      </c>
      <c r="G748" s="71">
        <v>57</v>
      </c>
      <c r="H748" s="71">
        <v>41.449599999999997</v>
      </c>
      <c r="I748" s="71">
        <v>57</v>
      </c>
      <c r="J748" s="70" t="s">
        <v>646</v>
      </c>
      <c r="K748" s="70" t="s">
        <v>48</v>
      </c>
      <c r="L748" s="74">
        <v>46079</v>
      </c>
    </row>
    <row r="749" spans="1:12" hidden="1" x14ac:dyDescent="0.25">
      <c r="A749" s="70" t="s">
        <v>922</v>
      </c>
      <c r="B749" s="70" t="s">
        <v>1955</v>
      </c>
      <c r="C749" s="70" t="s">
        <v>1956</v>
      </c>
      <c r="D749" s="70">
        <v>1501</v>
      </c>
      <c r="E749" s="70">
        <v>-1</v>
      </c>
      <c r="F749" s="71">
        <v>41.447699999999998</v>
      </c>
      <c r="G749" s="71">
        <v>57</v>
      </c>
      <c r="H749" s="71">
        <v>-41.447699999999998</v>
      </c>
      <c r="I749" s="71">
        <v>-57</v>
      </c>
      <c r="J749" s="70" t="s">
        <v>646</v>
      </c>
      <c r="K749" s="70" t="s">
        <v>48</v>
      </c>
      <c r="L749" s="74">
        <v>46079</v>
      </c>
    </row>
    <row r="750" spans="1:12" hidden="1" x14ac:dyDescent="0.25">
      <c r="A750" s="70" t="s">
        <v>911</v>
      </c>
      <c r="B750" s="70" t="s">
        <v>1957</v>
      </c>
      <c r="C750" s="70" t="s">
        <v>1958</v>
      </c>
      <c r="D750" s="70">
        <v>1501</v>
      </c>
      <c r="E750" s="70">
        <v>1</v>
      </c>
      <c r="F750" s="71">
        <v>73.511399999999995</v>
      </c>
      <c r="G750" s="71">
        <v>110.26</v>
      </c>
      <c r="H750" s="71">
        <v>73.511399999999995</v>
      </c>
      <c r="I750" s="71">
        <v>110.26</v>
      </c>
      <c r="J750" s="70" t="s">
        <v>646</v>
      </c>
      <c r="K750" s="70" t="s">
        <v>48</v>
      </c>
      <c r="L750" s="74">
        <v>46079</v>
      </c>
    </row>
    <row r="751" spans="1:12" hidden="1" x14ac:dyDescent="0.25">
      <c r="A751" s="70" t="s">
        <v>922</v>
      </c>
      <c r="B751" s="70" t="s">
        <v>1959</v>
      </c>
      <c r="C751" s="70" t="s">
        <v>1960</v>
      </c>
      <c r="D751" s="70">
        <v>1501</v>
      </c>
      <c r="E751" s="70">
        <v>-1</v>
      </c>
      <c r="F751" s="71">
        <v>73.508700000000005</v>
      </c>
      <c r="G751" s="71">
        <v>110.26</v>
      </c>
      <c r="H751" s="71">
        <v>-73.508700000000005</v>
      </c>
      <c r="I751" s="71">
        <v>-110.26</v>
      </c>
      <c r="J751" s="70" t="s">
        <v>646</v>
      </c>
      <c r="K751" s="70" t="s">
        <v>48</v>
      </c>
      <c r="L751" s="74">
        <v>46079</v>
      </c>
    </row>
    <row r="752" spans="1:12" hidden="1" x14ac:dyDescent="0.25">
      <c r="A752" s="70" t="s">
        <v>911</v>
      </c>
      <c r="B752" s="70" t="s">
        <v>1961</v>
      </c>
      <c r="C752" s="70" t="s">
        <v>1962</v>
      </c>
      <c r="D752" s="70">
        <v>1501</v>
      </c>
      <c r="E752" s="70">
        <v>1</v>
      </c>
      <c r="F752" s="71">
        <v>104.8105</v>
      </c>
      <c r="G752" s="71">
        <v>145.72999999999999</v>
      </c>
      <c r="H752" s="71">
        <v>104.8105</v>
      </c>
      <c r="I752" s="71">
        <v>145.72999999999999</v>
      </c>
      <c r="J752" s="70" t="s">
        <v>646</v>
      </c>
      <c r="K752" s="70" t="s">
        <v>48</v>
      </c>
      <c r="L752" s="74">
        <v>46079</v>
      </c>
    </row>
    <row r="753" spans="1:12" hidden="1" x14ac:dyDescent="0.25">
      <c r="A753" s="70" t="s">
        <v>922</v>
      </c>
      <c r="B753" s="70" t="s">
        <v>1963</v>
      </c>
      <c r="C753" s="70" t="s">
        <v>1964</v>
      </c>
      <c r="D753" s="70">
        <v>1501</v>
      </c>
      <c r="E753" s="70">
        <v>-1</v>
      </c>
      <c r="F753" s="71">
        <v>104.8105</v>
      </c>
      <c r="G753" s="71">
        <v>145.72999999999999</v>
      </c>
      <c r="H753" s="71">
        <v>-104.8105</v>
      </c>
      <c r="I753" s="71">
        <v>-145.72999999999999</v>
      </c>
      <c r="J753" s="70" t="s">
        <v>646</v>
      </c>
      <c r="K753" s="70" t="s">
        <v>48</v>
      </c>
      <c r="L753" s="74">
        <v>46079</v>
      </c>
    </row>
    <row r="754" spans="1:12" hidden="1" x14ac:dyDescent="0.25">
      <c r="A754" s="70" t="s">
        <v>911</v>
      </c>
      <c r="B754" s="70" t="s">
        <v>737</v>
      </c>
      <c r="C754" s="70" t="s">
        <v>738</v>
      </c>
      <c r="D754" s="70">
        <v>1501</v>
      </c>
      <c r="E754" s="70">
        <v>32</v>
      </c>
      <c r="F754" s="71">
        <v>3.15</v>
      </c>
      <c r="G754" s="71">
        <v>5.18</v>
      </c>
      <c r="H754" s="71">
        <v>100.8</v>
      </c>
      <c r="I754" s="71">
        <v>165.76</v>
      </c>
      <c r="J754" s="70" t="s">
        <v>646</v>
      </c>
      <c r="K754" s="70" t="s">
        <v>48</v>
      </c>
      <c r="L754" s="74">
        <v>46079</v>
      </c>
    </row>
    <row r="755" spans="1:12" hidden="1" x14ac:dyDescent="0.25">
      <c r="A755" s="70" t="s">
        <v>922</v>
      </c>
      <c r="B755" s="70" t="s">
        <v>1965</v>
      </c>
      <c r="C755" s="70" t="s">
        <v>1966</v>
      </c>
      <c r="D755" s="70">
        <v>1501</v>
      </c>
      <c r="E755" s="70">
        <v>-32</v>
      </c>
      <c r="F755" s="71">
        <v>3.15</v>
      </c>
      <c r="G755" s="71">
        <v>5.18</v>
      </c>
      <c r="H755" s="71">
        <v>-100.8</v>
      </c>
      <c r="I755" s="71">
        <v>-165.76</v>
      </c>
      <c r="J755" s="70" t="s">
        <v>646</v>
      </c>
      <c r="K755" s="70" t="s">
        <v>48</v>
      </c>
      <c r="L755" s="74">
        <v>46079</v>
      </c>
    </row>
    <row r="756" spans="1:12" hidden="1" x14ac:dyDescent="0.25">
      <c r="A756" s="70" t="s">
        <v>911</v>
      </c>
      <c r="B756" s="70" t="s">
        <v>1967</v>
      </c>
      <c r="C756" s="70" t="s">
        <v>1968</v>
      </c>
      <c r="D756" s="70">
        <v>1501</v>
      </c>
      <c r="E756" s="70">
        <v>1</v>
      </c>
      <c r="F756" s="71">
        <v>20.540400000000002</v>
      </c>
      <c r="G756" s="71">
        <v>28.37</v>
      </c>
      <c r="H756" s="71">
        <v>20.540400000000002</v>
      </c>
      <c r="I756" s="71">
        <v>28.37</v>
      </c>
      <c r="J756" s="70" t="s">
        <v>646</v>
      </c>
      <c r="K756" s="70" t="s">
        <v>48</v>
      </c>
      <c r="L756" s="74">
        <v>46079</v>
      </c>
    </row>
    <row r="757" spans="1:12" hidden="1" x14ac:dyDescent="0.25">
      <c r="A757" s="70" t="s">
        <v>922</v>
      </c>
      <c r="B757" s="70" t="s">
        <v>1969</v>
      </c>
      <c r="C757" s="70" t="s">
        <v>1970</v>
      </c>
      <c r="D757" s="70">
        <v>1501</v>
      </c>
      <c r="E757" s="70">
        <v>-1</v>
      </c>
      <c r="F757" s="71">
        <v>20.098700000000001</v>
      </c>
      <c r="G757" s="71">
        <v>27.63</v>
      </c>
      <c r="H757" s="71">
        <v>-20.098700000000001</v>
      </c>
      <c r="I757" s="71">
        <v>-27.63</v>
      </c>
      <c r="J757" s="70" t="s">
        <v>646</v>
      </c>
      <c r="K757" s="70" t="s">
        <v>48</v>
      </c>
      <c r="L757" s="74">
        <v>46079</v>
      </c>
    </row>
    <row r="758" spans="1:12" hidden="1" x14ac:dyDescent="0.25">
      <c r="A758" s="70" t="s">
        <v>911</v>
      </c>
      <c r="B758" s="70" t="s">
        <v>1967</v>
      </c>
      <c r="C758" s="70" t="s">
        <v>1968</v>
      </c>
      <c r="D758" s="70">
        <v>1501</v>
      </c>
      <c r="E758" s="70">
        <v>1</v>
      </c>
      <c r="F758" s="71">
        <v>20.540400000000002</v>
      </c>
      <c r="G758" s="71">
        <v>28.37</v>
      </c>
      <c r="H758" s="71">
        <v>20.540400000000002</v>
      </c>
      <c r="I758" s="71">
        <v>28.37</v>
      </c>
      <c r="J758" s="70" t="s">
        <v>646</v>
      </c>
      <c r="K758" s="70" t="s">
        <v>48</v>
      </c>
      <c r="L758" s="74">
        <v>46079</v>
      </c>
    </row>
    <row r="759" spans="1:12" hidden="1" x14ac:dyDescent="0.25">
      <c r="A759" s="70" t="s">
        <v>922</v>
      </c>
      <c r="B759" s="70" t="s">
        <v>1971</v>
      </c>
      <c r="C759" s="70" t="s">
        <v>1972</v>
      </c>
      <c r="D759" s="70">
        <v>1501</v>
      </c>
      <c r="E759" s="70">
        <v>-1</v>
      </c>
      <c r="F759" s="71">
        <v>20.099799999999998</v>
      </c>
      <c r="G759" s="71">
        <v>27.63</v>
      </c>
      <c r="H759" s="71">
        <v>-20.099799999999998</v>
      </c>
      <c r="I759" s="71">
        <v>-27.63</v>
      </c>
      <c r="J759" s="70" t="s">
        <v>646</v>
      </c>
      <c r="K759" s="70" t="s">
        <v>48</v>
      </c>
      <c r="L759" s="74">
        <v>46079</v>
      </c>
    </row>
    <row r="760" spans="1:12" hidden="1" x14ac:dyDescent="0.25">
      <c r="A760" s="70" t="s">
        <v>911</v>
      </c>
      <c r="B760" s="70" t="s">
        <v>1973</v>
      </c>
      <c r="C760" s="70" t="s">
        <v>1974</v>
      </c>
      <c r="D760" s="70">
        <v>1501</v>
      </c>
      <c r="E760" s="70">
        <v>1</v>
      </c>
      <c r="F760" s="71">
        <v>6.6848000000000001</v>
      </c>
      <c r="G760" s="71">
        <v>10.24</v>
      </c>
      <c r="H760" s="71">
        <v>6.6848000000000001</v>
      </c>
      <c r="I760" s="71">
        <v>10.24</v>
      </c>
      <c r="J760" s="70" t="s">
        <v>646</v>
      </c>
      <c r="K760" s="70" t="s">
        <v>48</v>
      </c>
      <c r="L760" s="74">
        <v>46079</v>
      </c>
    </row>
    <row r="761" spans="1:12" hidden="1" x14ac:dyDescent="0.25">
      <c r="A761" s="70" t="s">
        <v>922</v>
      </c>
      <c r="B761" s="70" t="s">
        <v>727</v>
      </c>
      <c r="C761" s="70" t="s">
        <v>728</v>
      </c>
      <c r="D761" s="70">
        <v>1501</v>
      </c>
      <c r="E761" s="70">
        <v>-1</v>
      </c>
      <c r="F761" s="71">
        <v>4.3877750000000004</v>
      </c>
      <c r="G761" s="71">
        <v>8.41</v>
      </c>
      <c r="H761" s="71">
        <v>-4.3877750000000004</v>
      </c>
      <c r="I761" s="71">
        <v>-8.41</v>
      </c>
      <c r="J761" s="70" t="s">
        <v>646</v>
      </c>
      <c r="K761" s="70" t="s">
        <v>48</v>
      </c>
      <c r="L761" s="74">
        <v>46079</v>
      </c>
    </row>
    <row r="762" spans="1:12" hidden="1" x14ac:dyDescent="0.25">
      <c r="A762" s="70" t="s">
        <v>911</v>
      </c>
      <c r="B762" s="70" t="s">
        <v>804</v>
      </c>
      <c r="C762" s="70" t="s">
        <v>805</v>
      </c>
      <c r="D762" s="70">
        <v>1501</v>
      </c>
      <c r="E762" s="70">
        <v>1</v>
      </c>
      <c r="F762" s="71">
        <v>3.5</v>
      </c>
      <c r="G762" s="71">
        <v>5.75</v>
      </c>
      <c r="H762" s="71">
        <v>3.5</v>
      </c>
      <c r="I762" s="71">
        <v>5.75</v>
      </c>
      <c r="J762" s="70" t="s">
        <v>646</v>
      </c>
      <c r="K762" s="70" t="s">
        <v>48</v>
      </c>
      <c r="L762" s="74">
        <v>46079</v>
      </c>
    </row>
    <row r="763" spans="1:12" hidden="1" x14ac:dyDescent="0.25">
      <c r="A763" s="70" t="s">
        <v>922</v>
      </c>
      <c r="B763" s="70" t="s">
        <v>1975</v>
      </c>
      <c r="C763" s="70" t="s">
        <v>1976</v>
      </c>
      <c r="D763" s="70">
        <v>1501</v>
      </c>
      <c r="E763" s="70">
        <v>-1</v>
      </c>
      <c r="F763" s="71">
        <v>2.3013499999999998</v>
      </c>
      <c r="G763" s="71">
        <v>3.78</v>
      </c>
      <c r="H763" s="71">
        <v>-2.3013499999999998</v>
      </c>
      <c r="I763" s="71">
        <v>-3.78</v>
      </c>
      <c r="J763" s="70" t="s">
        <v>646</v>
      </c>
      <c r="K763" s="70" t="s">
        <v>48</v>
      </c>
      <c r="L763" s="74">
        <v>46079</v>
      </c>
    </row>
    <row r="764" spans="1:12" hidden="1" x14ac:dyDescent="0.25">
      <c r="A764" s="70" t="s">
        <v>911</v>
      </c>
      <c r="B764" s="70" t="s">
        <v>1977</v>
      </c>
      <c r="C764" s="70" t="s">
        <v>1978</v>
      </c>
      <c r="D764" s="70">
        <v>1501</v>
      </c>
      <c r="E764" s="70">
        <v>1</v>
      </c>
      <c r="F764" s="71">
        <v>23.78</v>
      </c>
      <c r="G764" s="71">
        <v>53.88</v>
      </c>
      <c r="H764" s="71">
        <v>23.78</v>
      </c>
      <c r="I764" s="71">
        <v>53.88</v>
      </c>
      <c r="J764" s="70" t="s">
        <v>646</v>
      </c>
      <c r="K764" s="70" t="s">
        <v>48</v>
      </c>
      <c r="L764" s="74">
        <v>46079</v>
      </c>
    </row>
    <row r="765" spans="1:12" hidden="1" x14ac:dyDescent="0.25">
      <c r="A765" s="70" t="s">
        <v>922</v>
      </c>
      <c r="B765" s="70" t="s">
        <v>1979</v>
      </c>
      <c r="C765" s="70" t="s">
        <v>1980</v>
      </c>
      <c r="D765" s="70">
        <v>1501</v>
      </c>
      <c r="E765" s="70">
        <v>-1</v>
      </c>
      <c r="F765" s="71">
        <v>36.794800000000002</v>
      </c>
      <c r="G765" s="71">
        <v>50.6</v>
      </c>
      <c r="H765" s="71">
        <v>-36.794800000000002</v>
      </c>
      <c r="I765" s="71">
        <v>-50.6</v>
      </c>
      <c r="J765" s="70" t="s">
        <v>646</v>
      </c>
      <c r="K765" s="70" t="s">
        <v>48</v>
      </c>
      <c r="L765" s="74">
        <v>46079</v>
      </c>
    </row>
    <row r="766" spans="1:12" hidden="1" x14ac:dyDescent="0.25">
      <c r="A766" s="70" t="s">
        <v>911</v>
      </c>
      <c r="B766" s="70" t="s">
        <v>711</v>
      </c>
      <c r="C766" s="70" t="s">
        <v>712</v>
      </c>
      <c r="D766" s="70">
        <v>1501</v>
      </c>
      <c r="E766" s="70">
        <v>2</v>
      </c>
      <c r="F766" s="71">
        <v>3.2130000000000001</v>
      </c>
      <c r="G766" s="71">
        <v>5.77</v>
      </c>
      <c r="H766" s="71">
        <v>6.4260000000000002</v>
      </c>
      <c r="I766" s="71">
        <v>11.54</v>
      </c>
      <c r="J766" s="70" t="s">
        <v>646</v>
      </c>
      <c r="K766" s="70" t="s">
        <v>48</v>
      </c>
      <c r="L766" s="74">
        <v>46079</v>
      </c>
    </row>
    <row r="767" spans="1:12" hidden="1" x14ac:dyDescent="0.25">
      <c r="A767" s="70" t="s">
        <v>922</v>
      </c>
      <c r="B767" s="70" t="s">
        <v>1801</v>
      </c>
      <c r="C767" s="70" t="s">
        <v>1802</v>
      </c>
      <c r="D767" s="70">
        <v>1501</v>
      </c>
      <c r="E767" s="70">
        <v>-2</v>
      </c>
      <c r="F767" s="71">
        <v>1.7739</v>
      </c>
      <c r="G767" s="71">
        <v>3.85</v>
      </c>
      <c r="H767" s="71">
        <v>-3.5478000000000001</v>
      </c>
      <c r="I767" s="71">
        <v>-7.7</v>
      </c>
      <c r="J767" s="70" t="s">
        <v>646</v>
      </c>
      <c r="K767" s="70" t="s">
        <v>48</v>
      </c>
      <c r="L767" s="74">
        <v>46079</v>
      </c>
    </row>
    <row r="768" spans="1:12" hidden="1" x14ac:dyDescent="0.25">
      <c r="A768" s="70" t="s">
        <v>911</v>
      </c>
      <c r="B768" s="70" t="s">
        <v>1981</v>
      </c>
      <c r="C768" s="70" t="s">
        <v>1982</v>
      </c>
      <c r="D768" s="70">
        <v>1501</v>
      </c>
      <c r="E768" s="70">
        <v>1</v>
      </c>
      <c r="F768" s="71">
        <v>39.991100000000003</v>
      </c>
      <c r="G768" s="71">
        <v>80.73</v>
      </c>
      <c r="H768" s="71">
        <v>39.991100000000003</v>
      </c>
      <c r="I768" s="71">
        <v>80.73</v>
      </c>
      <c r="J768" s="70" t="s">
        <v>646</v>
      </c>
      <c r="K768" s="70" t="s">
        <v>48</v>
      </c>
      <c r="L768" s="74">
        <v>46079</v>
      </c>
    </row>
    <row r="769" spans="1:12" hidden="1" x14ac:dyDescent="0.25">
      <c r="A769" s="70" t="s">
        <v>922</v>
      </c>
      <c r="B769" s="70" t="s">
        <v>1983</v>
      </c>
      <c r="C769" s="70" t="s">
        <v>1984</v>
      </c>
      <c r="D769" s="70">
        <v>1501</v>
      </c>
      <c r="E769" s="70">
        <v>-1</v>
      </c>
      <c r="F769" s="71">
        <v>37.719200000000001</v>
      </c>
      <c r="G769" s="71">
        <v>76.12</v>
      </c>
      <c r="H769" s="71">
        <v>-37.719200000000001</v>
      </c>
      <c r="I769" s="71">
        <v>-76.12</v>
      </c>
      <c r="J769" s="70" t="s">
        <v>646</v>
      </c>
      <c r="K769" s="70" t="s">
        <v>48</v>
      </c>
      <c r="L769" s="74">
        <v>46079</v>
      </c>
    </row>
    <row r="770" spans="1:12" hidden="1" x14ac:dyDescent="0.25">
      <c r="A770" s="70" t="s">
        <v>911</v>
      </c>
      <c r="B770" s="70" t="s">
        <v>1985</v>
      </c>
      <c r="C770" s="70" t="s">
        <v>1986</v>
      </c>
      <c r="D770" s="70">
        <v>1501</v>
      </c>
      <c r="E770" s="70">
        <v>1</v>
      </c>
      <c r="F770" s="71">
        <v>67.783600000000007</v>
      </c>
      <c r="G770" s="71">
        <v>94.35</v>
      </c>
      <c r="H770" s="71">
        <v>67.783600000000007</v>
      </c>
      <c r="I770" s="71">
        <v>94.35</v>
      </c>
      <c r="J770" s="70" t="s">
        <v>646</v>
      </c>
      <c r="K770" s="70" t="s">
        <v>48</v>
      </c>
      <c r="L770" s="74">
        <v>46079</v>
      </c>
    </row>
    <row r="771" spans="1:12" hidden="1" x14ac:dyDescent="0.25">
      <c r="A771" s="70" t="s">
        <v>922</v>
      </c>
      <c r="B771" s="70" t="s">
        <v>1987</v>
      </c>
      <c r="C771" s="70" t="s">
        <v>1988</v>
      </c>
      <c r="D771" s="70">
        <v>1501</v>
      </c>
      <c r="E771" s="70">
        <v>-1</v>
      </c>
      <c r="F771" s="71">
        <v>61.128599999999999</v>
      </c>
      <c r="G771" s="71">
        <v>89.5</v>
      </c>
      <c r="H771" s="71">
        <v>-61.128599999999999</v>
      </c>
      <c r="I771" s="71">
        <v>-89.5</v>
      </c>
      <c r="J771" s="70" t="s">
        <v>646</v>
      </c>
      <c r="K771" s="70" t="s">
        <v>48</v>
      </c>
      <c r="L771" s="74">
        <v>46079</v>
      </c>
    </row>
    <row r="772" spans="1:12" hidden="1" x14ac:dyDescent="0.25">
      <c r="A772" s="70" t="s">
        <v>911</v>
      </c>
      <c r="B772" s="70" t="s">
        <v>1989</v>
      </c>
      <c r="C772" s="70" t="s">
        <v>1990</v>
      </c>
      <c r="D772" s="70">
        <v>1501</v>
      </c>
      <c r="E772" s="70">
        <v>1</v>
      </c>
      <c r="F772" s="71">
        <v>43.962699999999998</v>
      </c>
      <c r="G772" s="71">
        <v>99.48</v>
      </c>
      <c r="H772" s="71">
        <v>43.962699999999998</v>
      </c>
      <c r="I772" s="71">
        <v>99.48</v>
      </c>
      <c r="J772" s="70" t="s">
        <v>646</v>
      </c>
      <c r="K772" s="70" t="s">
        <v>48</v>
      </c>
      <c r="L772" s="74">
        <v>46079</v>
      </c>
    </row>
    <row r="773" spans="1:12" hidden="1" x14ac:dyDescent="0.25">
      <c r="A773" s="70" t="s">
        <v>922</v>
      </c>
      <c r="B773" s="70" t="s">
        <v>1991</v>
      </c>
      <c r="C773" s="70" t="s">
        <v>1992</v>
      </c>
      <c r="D773" s="70">
        <v>1501</v>
      </c>
      <c r="E773" s="70">
        <v>-1</v>
      </c>
      <c r="F773" s="71">
        <v>47.260599999999997</v>
      </c>
      <c r="G773" s="71">
        <v>93.41</v>
      </c>
      <c r="H773" s="71">
        <v>-47.260599999999997</v>
      </c>
      <c r="I773" s="71">
        <v>-93.41</v>
      </c>
      <c r="J773" s="70" t="s">
        <v>646</v>
      </c>
      <c r="K773" s="70" t="s">
        <v>48</v>
      </c>
      <c r="L773" s="74">
        <v>46079</v>
      </c>
    </row>
    <row r="774" spans="1:12" hidden="1" x14ac:dyDescent="0.25">
      <c r="A774" s="70" t="s">
        <v>911</v>
      </c>
      <c r="B774" s="70" t="s">
        <v>1993</v>
      </c>
      <c r="C774" s="70" t="s">
        <v>1994</v>
      </c>
      <c r="D774" s="70">
        <v>1501</v>
      </c>
      <c r="E774" s="70">
        <v>1</v>
      </c>
      <c r="F774" s="71">
        <v>105.63509999999999</v>
      </c>
      <c r="G774" s="71">
        <v>147.06</v>
      </c>
      <c r="H774" s="71">
        <v>105.63509999999999</v>
      </c>
      <c r="I774" s="71">
        <v>147.06</v>
      </c>
      <c r="J774" s="70" t="s">
        <v>646</v>
      </c>
      <c r="K774" s="70" t="s">
        <v>48</v>
      </c>
      <c r="L774" s="74">
        <v>46079</v>
      </c>
    </row>
    <row r="775" spans="1:12" hidden="1" x14ac:dyDescent="0.25">
      <c r="A775" s="70" t="s">
        <v>922</v>
      </c>
      <c r="B775" s="70" t="s">
        <v>1995</v>
      </c>
      <c r="C775" s="70" t="s">
        <v>1996</v>
      </c>
      <c r="D775" s="70">
        <v>1501</v>
      </c>
      <c r="E775" s="70">
        <v>-1</v>
      </c>
      <c r="F775" s="71">
        <v>94.676100000000005</v>
      </c>
      <c r="G775" s="71">
        <v>138.62</v>
      </c>
      <c r="H775" s="71">
        <v>-94.676100000000005</v>
      </c>
      <c r="I775" s="71">
        <v>-138.62</v>
      </c>
      <c r="J775" s="70" t="s">
        <v>646</v>
      </c>
      <c r="K775" s="70" t="s">
        <v>48</v>
      </c>
      <c r="L775" s="74">
        <v>46079</v>
      </c>
    </row>
    <row r="776" spans="1:12" hidden="1" x14ac:dyDescent="0.25">
      <c r="A776" s="70" t="s">
        <v>911</v>
      </c>
      <c r="B776" s="70" t="s">
        <v>1997</v>
      </c>
      <c r="C776" s="70" t="s">
        <v>1998</v>
      </c>
      <c r="D776" s="70">
        <v>1501</v>
      </c>
      <c r="E776" s="70">
        <v>1</v>
      </c>
      <c r="F776" s="71">
        <v>69.176400000000001</v>
      </c>
      <c r="G776" s="71">
        <v>101.29</v>
      </c>
      <c r="H776" s="71">
        <v>69.176400000000001</v>
      </c>
      <c r="I776" s="71">
        <v>101.29</v>
      </c>
      <c r="J776" s="70" t="s">
        <v>646</v>
      </c>
      <c r="K776" s="70" t="s">
        <v>48</v>
      </c>
      <c r="L776" s="74">
        <v>46079</v>
      </c>
    </row>
    <row r="777" spans="1:12" hidden="1" x14ac:dyDescent="0.25">
      <c r="A777" s="70" t="s">
        <v>922</v>
      </c>
      <c r="B777" s="70" t="s">
        <v>1999</v>
      </c>
      <c r="C777" s="70" t="s">
        <v>2000</v>
      </c>
      <c r="D777" s="70">
        <v>1501</v>
      </c>
      <c r="E777" s="70">
        <v>-1</v>
      </c>
      <c r="F777" s="71">
        <v>42.250599999999999</v>
      </c>
      <c r="G777" s="71">
        <v>85.32</v>
      </c>
      <c r="H777" s="71">
        <v>-42.250599999999999</v>
      </c>
      <c r="I777" s="71">
        <v>-85.32</v>
      </c>
      <c r="J777" s="70" t="s">
        <v>646</v>
      </c>
      <c r="K777" s="70" t="s">
        <v>48</v>
      </c>
      <c r="L777" s="74">
        <v>46079</v>
      </c>
    </row>
    <row r="778" spans="1:12" hidden="1" x14ac:dyDescent="0.25">
      <c r="A778" s="70" t="s">
        <v>1724</v>
      </c>
      <c r="B778" s="70" t="s">
        <v>994</v>
      </c>
      <c r="C778" s="70" t="s">
        <v>995</v>
      </c>
      <c r="D778" s="70">
        <v>1501</v>
      </c>
      <c r="E778" s="70">
        <v>-15</v>
      </c>
      <c r="F778" s="71">
        <v>2.448</v>
      </c>
      <c r="G778" s="71">
        <v>3.94</v>
      </c>
      <c r="H778" s="71">
        <v>-36.72</v>
      </c>
      <c r="I778" s="71">
        <v>-59.1</v>
      </c>
      <c r="J778" s="70" t="s">
        <v>646</v>
      </c>
      <c r="K778" s="70" t="s">
        <v>48</v>
      </c>
      <c r="L778" s="74">
        <v>46079</v>
      </c>
    </row>
    <row r="779" spans="1:12" hidden="1" x14ac:dyDescent="0.25">
      <c r="A779" s="70" t="s">
        <v>1724</v>
      </c>
      <c r="B779" s="70" t="s">
        <v>2001</v>
      </c>
      <c r="C779" s="70" t="s">
        <v>2002</v>
      </c>
      <c r="D779" s="70">
        <v>1501</v>
      </c>
      <c r="E779" s="70">
        <v>-2</v>
      </c>
      <c r="F779" s="71">
        <v>17.66704</v>
      </c>
      <c r="G779" s="71">
        <v>28.75</v>
      </c>
      <c r="H779" s="71">
        <v>-35.33408</v>
      </c>
      <c r="I779" s="71">
        <v>-57.5</v>
      </c>
      <c r="J779" s="70" t="s">
        <v>646</v>
      </c>
      <c r="K779" s="70" t="s">
        <v>48</v>
      </c>
      <c r="L779" s="74">
        <v>46079</v>
      </c>
    </row>
    <row r="780" spans="1:12" hidden="1" x14ac:dyDescent="0.25">
      <c r="A780" s="70" t="s">
        <v>1724</v>
      </c>
      <c r="B780" s="70" t="s">
        <v>733</v>
      </c>
      <c r="C780" s="70" t="s">
        <v>734</v>
      </c>
      <c r="D780" s="70">
        <v>1501</v>
      </c>
      <c r="E780" s="70">
        <v>-13</v>
      </c>
      <c r="F780" s="71">
        <v>1.8</v>
      </c>
      <c r="G780" s="71">
        <v>2.96</v>
      </c>
      <c r="H780" s="71">
        <v>-23.4</v>
      </c>
      <c r="I780" s="71">
        <v>-38.479999999999997</v>
      </c>
      <c r="J780" s="70" t="s">
        <v>646</v>
      </c>
      <c r="K780" s="70" t="s">
        <v>48</v>
      </c>
      <c r="L780" s="74">
        <v>46079</v>
      </c>
    </row>
    <row r="781" spans="1:12" hidden="1" x14ac:dyDescent="0.25">
      <c r="A781" s="70" t="s">
        <v>1724</v>
      </c>
      <c r="B781" s="70" t="s">
        <v>812</v>
      </c>
      <c r="C781" s="70" t="s">
        <v>813</v>
      </c>
      <c r="D781" s="70">
        <v>1501</v>
      </c>
      <c r="E781" s="70">
        <v>-10</v>
      </c>
      <c r="F781" s="71">
        <v>1.8012947368421099</v>
      </c>
      <c r="G781" s="71">
        <v>2.96</v>
      </c>
      <c r="H781" s="71">
        <v>-18.012947368421099</v>
      </c>
      <c r="I781" s="71">
        <v>-29.6</v>
      </c>
      <c r="J781" s="70" t="s">
        <v>646</v>
      </c>
      <c r="K781" s="70" t="s">
        <v>48</v>
      </c>
      <c r="L781" s="74">
        <v>46079</v>
      </c>
    </row>
    <row r="782" spans="1:12" hidden="1" x14ac:dyDescent="0.25">
      <c r="A782" s="70" t="s">
        <v>1724</v>
      </c>
      <c r="B782" s="70" t="s">
        <v>2003</v>
      </c>
      <c r="C782" s="70" t="s">
        <v>2004</v>
      </c>
      <c r="D782" s="70">
        <v>1501</v>
      </c>
      <c r="E782" s="70">
        <v>-6</v>
      </c>
      <c r="F782" s="71">
        <v>2.9935</v>
      </c>
      <c r="G782" s="71">
        <v>4.62</v>
      </c>
      <c r="H782" s="71">
        <v>-17.960999999999999</v>
      </c>
      <c r="I782" s="71">
        <v>-27.72</v>
      </c>
      <c r="J782" s="70" t="s">
        <v>646</v>
      </c>
      <c r="K782" s="70" t="s">
        <v>48</v>
      </c>
      <c r="L782" s="74">
        <v>46079</v>
      </c>
    </row>
    <row r="783" spans="1:12" hidden="1" x14ac:dyDescent="0.25">
      <c r="A783" s="70" t="s">
        <v>877</v>
      </c>
      <c r="B783" s="70" t="s">
        <v>2005</v>
      </c>
      <c r="C783" s="70" t="s">
        <v>2006</v>
      </c>
      <c r="D783" s="70">
        <v>1704</v>
      </c>
      <c r="E783" s="70">
        <v>-1</v>
      </c>
      <c r="F783" s="71">
        <v>20.8808333333333</v>
      </c>
      <c r="G783" s="71">
        <v>29.64</v>
      </c>
      <c r="H783" s="71">
        <v>-20.8808333333333</v>
      </c>
      <c r="I783" s="71">
        <v>-29.64</v>
      </c>
      <c r="J783" s="70" t="s">
        <v>512</v>
      </c>
      <c r="K783" s="70" t="s">
        <v>48</v>
      </c>
      <c r="L783" s="74">
        <v>46114</v>
      </c>
    </row>
    <row r="784" spans="1:12" hidden="1" x14ac:dyDescent="0.25">
      <c r="A784" s="70" t="s">
        <v>877</v>
      </c>
      <c r="B784" s="70" t="s">
        <v>2007</v>
      </c>
      <c r="C784" s="70" t="s">
        <v>2008</v>
      </c>
      <c r="D784" s="70">
        <v>1704</v>
      </c>
      <c r="E784" s="70">
        <v>-1</v>
      </c>
      <c r="F784" s="71">
        <v>1.00305</v>
      </c>
      <c r="G784" s="71">
        <v>2.84</v>
      </c>
      <c r="H784" s="71">
        <v>-1.00305</v>
      </c>
      <c r="I784" s="71">
        <v>-2.84</v>
      </c>
      <c r="J784" s="70" t="s">
        <v>512</v>
      </c>
      <c r="K784" s="70" t="s">
        <v>48</v>
      </c>
      <c r="L784" s="74">
        <v>46114</v>
      </c>
    </row>
    <row r="785" spans="1:12" hidden="1" x14ac:dyDescent="0.25">
      <c r="A785" s="70" t="s">
        <v>911</v>
      </c>
      <c r="B785" s="70" t="s">
        <v>1432</v>
      </c>
      <c r="C785" s="70" t="s">
        <v>1433</v>
      </c>
      <c r="D785" s="70">
        <v>1704</v>
      </c>
      <c r="E785" s="70">
        <v>1</v>
      </c>
      <c r="F785" s="71">
        <v>158.13532499999999</v>
      </c>
      <c r="G785" s="71">
        <v>327.95</v>
      </c>
      <c r="H785" s="71">
        <v>158.13532499999999</v>
      </c>
      <c r="I785" s="71">
        <v>327.95</v>
      </c>
      <c r="J785" s="70" t="s">
        <v>512</v>
      </c>
      <c r="K785" s="70" t="s">
        <v>48</v>
      </c>
      <c r="L785" s="74">
        <v>46114</v>
      </c>
    </row>
    <row r="786" spans="1:12" hidden="1" x14ac:dyDescent="0.25">
      <c r="A786" s="70" t="s">
        <v>922</v>
      </c>
      <c r="B786" s="70" t="s">
        <v>1434</v>
      </c>
      <c r="C786" s="70" t="s">
        <v>1435</v>
      </c>
      <c r="D786" s="70">
        <v>1704</v>
      </c>
      <c r="E786" s="70">
        <v>-1</v>
      </c>
      <c r="F786" s="71">
        <v>195.592186666667</v>
      </c>
      <c r="G786" s="71">
        <v>391.22</v>
      </c>
      <c r="H786" s="71">
        <v>-195.592186666667</v>
      </c>
      <c r="I786" s="71">
        <v>-391.22</v>
      </c>
      <c r="J786" s="70" t="s">
        <v>512</v>
      </c>
      <c r="K786" s="70" t="s">
        <v>48</v>
      </c>
      <c r="L786" s="74">
        <v>46114</v>
      </c>
    </row>
    <row r="787" spans="1:12" hidden="1" x14ac:dyDescent="0.25">
      <c r="A787" s="70" t="s">
        <v>911</v>
      </c>
      <c r="B787" s="70" t="s">
        <v>2009</v>
      </c>
      <c r="C787" s="70" t="s">
        <v>2010</v>
      </c>
      <c r="D787" s="70">
        <v>1704</v>
      </c>
      <c r="E787" s="70">
        <v>2</v>
      </c>
      <c r="F787" s="71">
        <v>16.446999999999999</v>
      </c>
      <c r="G787" s="71">
        <v>23.35</v>
      </c>
      <c r="H787" s="71">
        <v>32.893999999999998</v>
      </c>
      <c r="I787" s="71">
        <v>46.7</v>
      </c>
      <c r="J787" s="70" t="s">
        <v>512</v>
      </c>
      <c r="K787" s="70" t="s">
        <v>48</v>
      </c>
      <c r="L787" s="74">
        <v>46114</v>
      </c>
    </row>
    <row r="788" spans="1:12" hidden="1" x14ac:dyDescent="0.25">
      <c r="A788" s="70" t="s">
        <v>922</v>
      </c>
      <c r="B788" s="70" t="s">
        <v>2011</v>
      </c>
      <c r="C788" s="70" t="s">
        <v>2012</v>
      </c>
      <c r="D788" s="70">
        <v>1704</v>
      </c>
      <c r="E788" s="70">
        <v>-2</v>
      </c>
      <c r="F788" s="71">
        <v>16.447233333333301</v>
      </c>
      <c r="G788" s="71">
        <v>23.35</v>
      </c>
      <c r="H788" s="71">
        <v>-32.894466666666602</v>
      </c>
      <c r="I788" s="71">
        <v>-46.7</v>
      </c>
      <c r="J788" s="70" t="s">
        <v>512</v>
      </c>
      <c r="K788" s="70" t="s">
        <v>48</v>
      </c>
      <c r="L788" s="74">
        <v>46114</v>
      </c>
    </row>
    <row r="789" spans="1:12" hidden="1" x14ac:dyDescent="0.25">
      <c r="A789" s="70" t="s">
        <v>877</v>
      </c>
      <c r="B789" s="70" t="s">
        <v>1217</v>
      </c>
      <c r="C789" s="70" t="s">
        <v>1218</v>
      </c>
      <c r="D789" s="70">
        <v>1762</v>
      </c>
      <c r="E789" s="70">
        <v>-1</v>
      </c>
      <c r="F789" s="71">
        <v>31.683399999999999</v>
      </c>
      <c r="G789" s="71">
        <v>0</v>
      </c>
      <c r="H789" s="71">
        <v>-31.683399999999999</v>
      </c>
      <c r="I789" s="71">
        <v>0</v>
      </c>
      <c r="J789" s="70" t="s">
        <v>507</v>
      </c>
      <c r="K789" s="70" t="s">
        <v>48</v>
      </c>
      <c r="L789" s="74">
        <v>46108</v>
      </c>
    </row>
    <row r="790" spans="1:12" hidden="1" x14ac:dyDescent="0.25">
      <c r="A790" s="70" t="s">
        <v>877</v>
      </c>
      <c r="B790" s="70" t="s">
        <v>1271</v>
      </c>
      <c r="C790" s="70" t="s">
        <v>1272</v>
      </c>
      <c r="D790" s="70">
        <v>1762</v>
      </c>
      <c r="E790" s="70">
        <v>-1</v>
      </c>
      <c r="F790" s="71">
        <v>3.5261999999999998</v>
      </c>
      <c r="G790" s="71">
        <v>0</v>
      </c>
      <c r="H790" s="71">
        <v>-3.5261999999999998</v>
      </c>
      <c r="I790" s="71">
        <v>0</v>
      </c>
      <c r="J790" s="70" t="s">
        <v>507</v>
      </c>
      <c r="K790" s="70" t="s">
        <v>48</v>
      </c>
      <c r="L790" s="74">
        <v>46108</v>
      </c>
    </row>
    <row r="791" spans="1:12" hidden="1" x14ac:dyDescent="0.25">
      <c r="A791" s="70" t="s">
        <v>877</v>
      </c>
      <c r="B791" s="70" t="s">
        <v>719</v>
      </c>
      <c r="C791" s="70" t="s">
        <v>1927</v>
      </c>
      <c r="D791" s="70">
        <v>1519</v>
      </c>
      <c r="E791" s="70">
        <v>-1</v>
      </c>
      <c r="F791" s="71">
        <v>6.8958000000000004</v>
      </c>
      <c r="G791" s="71">
        <v>10.457000000000001</v>
      </c>
      <c r="H791" s="71">
        <v>-6.8958000000000004</v>
      </c>
      <c r="I791" s="71">
        <v>-10.457000000000001</v>
      </c>
      <c r="J791" s="70" t="s">
        <v>515</v>
      </c>
      <c r="K791" s="70" t="s">
        <v>48</v>
      </c>
      <c r="L791" s="74">
        <v>46121</v>
      </c>
    </row>
    <row r="792" spans="1:12" hidden="1" x14ac:dyDescent="0.25">
      <c r="A792" s="70" t="s">
        <v>911</v>
      </c>
      <c r="B792" s="70" t="s">
        <v>2013</v>
      </c>
      <c r="C792" s="70" t="s">
        <v>2014</v>
      </c>
      <c r="D792" s="70">
        <v>1519</v>
      </c>
      <c r="E792" s="70">
        <v>1</v>
      </c>
      <c r="F792" s="71">
        <v>109.58</v>
      </c>
      <c r="G792" s="71">
        <v>163.68</v>
      </c>
      <c r="H792" s="71">
        <v>109.58</v>
      </c>
      <c r="I792" s="71">
        <v>163.68</v>
      </c>
      <c r="J792" s="70" t="s">
        <v>515</v>
      </c>
      <c r="K792" s="70" t="s">
        <v>48</v>
      </c>
      <c r="L792" s="74">
        <v>46121</v>
      </c>
    </row>
    <row r="793" spans="1:12" hidden="1" x14ac:dyDescent="0.25">
      <c r="A793" s="70" t="s">
        <v>922</v>
      </c>
      <c r="B793" s="70" t="s">
        <v>665</v>
      </c>
      <c r="C793" s="70" t="s">
        <v>666</v>
      </c>
      <c r="D793" s="70">
        <v>1519</v>
      </c>
      <c r="E793" s="70">
        <v>-1</v>
      </c>
      <c r="F793" s="71">
        <v>111.7811</v>
      </c>
      <c r="G793" s="71">
        <v>163.68</v>
      </c>
      <c r="H793" s="71">
        <v>-111.7811</v>
      </c>
      <c r="I793" s="71">
        <v>-163.68</v>
      </c>
      <c r="J793" s="70" t="s">
        <v>515</v>
      </c>
      <c r="K793" s="70" t="s">
        <v>48</v>
      </c>
      <c r="L793" s="74">
        <v>46121</v>
      </c>
    </row>
    <row r="794" spans="1:12" hidden="1" x14ac:dyDescent="0.25">
      <c r="A794" s="70" t="s">
        <v>911</v>
      </c>
      <c r="B794" s="70" t="s">
        <v>2015</v>
      </c>
      <c r="C794" s="70" t="s">
        <v>2016</v>
      </c>
      <c r="D794" s="70">
        <v>1519</v>
      </c>
      <c r="E794" s="70">
        <v>1</v>
      </c>
      <c r="F794" s="71">
        <v>8.9792500000000004</v>
      </c>
      <c r="G794" s="71">
        <v>20.92</v>
      </c>
      <c r="H794" s="71">
        <v>8.9792500000000004</v>
      </c>
      <c r="I794" s="71">
        <v>20.92</v>
      </c>
      <c r="J794" s="70" t="s">
        <v>515</v>
      </c>
      <c r="K794" s="70" t="s">
        <v>48</v>
      </c>
      <c r="L794" s="74">
        <v>46121</v>
      </c>
    </row>
    <row r="795" spans="1:12" hidden="1" x14ac:dyDescent="0.25">
      <c r="A795" s="70" t="s">
        <v>922</v>
      </c>
      <c r="B795" s="70" t="s">
        <v>2017</v>
      </c>
      <c r="C795" s="70" t="s">
        <v>2018</v>
      </c>
      <c r="D795" s="70">
        <v>1519</v>
      </c>
      <c r="E795" s="70">
        <v>-1</v>
      </c>
      <c r="F795" s="71">
        <v>9.1625875000000008</v>
      </c>
      <c r="G795" s="71">
        <v>20.92</v>
      </c>
      <c r="H795" s="71">
        <v>-9.1625875000000008</v>
      </c>
      <c r="I795" s="71">
        <v>-20.92</v>
      </c>
      <c r="J795" s="70" t="s">
        <v>515</v>
      </c>
      <c r="K795" s="70" t="s">
        <v>48</v>
      </c>
      <c r="L795" s="74">
        <v>46121</v>
      </c>
    </row>
    <row r="796" spans="1:12" hidden="1" x14ac:dyDescent="0.25">
      <c r="A796" s="70" t="s">
        <v>911</v>
      </c>
      <c r="B796" s="70" t="s">
        <v>2019</v>
      </c>
      <c r="C796" s="70" t="s">
        <v>2020</v>
      </c>
      <c r="D796" s="70">
        <v>1519</v>
      </c>
      <c r="E796" s="70">
        <v>2</v>
      </c>
      <c r="F796" s="71">
        <v>13</v>
      </c>
      <c r="G796" s="71">
        <v>28.3</v>
      </c>
      <c r="H796" s="71">
        <v>26</v>
      </c>
      <c r="I796" s="71">
        <v>56.6</v>
      </c>
      <c r="J796" s="70" t="s">
        <v>515</v>
      </c>
      <c r="K796" s="70" t="s">
        <v>48</v>
      </c>
      <c r="L796" s="74">
        <v>46121</v>
      </c>
    </row>
    <row r="797" spans="1:12" hidden="1" x14ac:dyDescent="0.25">
      <c r="A797" s="70" t="s">
        <v>922</v>
      </c>
      <c r="B797" s="70" t="s">
        <v>2021</v>
      </c>
      <c r="C797" s="70" t="s">
        <v>2022</v>
      </c>
      <c r="D797" s="70">
        <v>1519</v>
      </c>
      <c r="E797" s="70">
        <v>-2</v>
      </c>
      <c r="F797" s="71">
        <v>13.0006</v>
      </c>
      <c r="G797" s="71">
        <v>28.3</v>
      </c>
      <c r="H797" s="71">
        <v>-26.001200000000001</v>
      </c>
      <c r="I797" s="71">
        <v>-56.6</v>
      </c>
      <c r="J797" s="70" t="s">
        <v>515</v>
      </c>
      <c r="K797" s="70" t="s">
        <v>48</v>
      </c>
      <c r="L797" s="74">
        <v>46121</v>
      </c>
    </row>
    <row r="798" spans="1:12" hidden="1" x14ac:dyDescent="0.25">
      <c r="A798" s="70" t="s">
        <v>911</v>
      </c>
      <c r="B798" s="70" t="s">
        <v>1789</v>
      </c>
      <c r="C798" s="70" t="s">
        <v>1790</v>
      </c>
      <c r="D798" s="70">
        <v>1519</v>
      </c>
      <c r="E798" s="70">
        <v>1</v>
      </c>
      <c r="F798" s="71">
        <v>19.490300000000001</v>
      </c>
      <c r="G798" s="71">
        <v>40.81</v>
      </c>
      <c r="H798" s="71">
        <v>19.490300000000001</v>
      </c>
      <c r="I798" s="71">
        <v>40.81</v>
      </c>
      <c r="J798" s="70" t="s">
        <v>515</v>
      </c>
      <c r="K798" s="70" t="s">
        <v>48</v>
      </c>
      <c r="L798" s="74">
        <v>46121</v>
      </c>
    </row>
    <row r="799" spans="1:12" hidden="1" x14ac:dyDescent="0.25">
      <c r="A799" s="70" t="s">
        <v>922</v>
      </c>
      <c r="B799" s="70" t="s">
        <v>2023</v>
      </c>
      <c r="C799" s="70" t="s">
        <v>2024</v>
      </c>
      <c r="D799" s="70">
        <v>1519</v>
      </c>
      <c r="E799" s="70">
        <v>-1</v>
      </c>
      <c r="F799" s="71">
        <v>19.490300000000001</v>
      </c>
      <c r="G799" s="71">
        <v>40.81</v>
      </c>
      <c r="H799" s="71">
        <v>-19.490300000000001</v>
      </c>
      <c r="I799" s="71">
        <v>-40.81</v>
      </c>
      <c r="J799" s="70" t="s">
        <v>515</v>
      </c>
      <c r="K799" s="70" t="s">
        <v>48</v>
      </c>
      <c r="L799" s="74">
        <v>46121</v>
      </c>
    </row>
    <row r="800" spans="1:12" hidden="1" x14ac:dyDescent="0.25">
      <c r="A800" s="70" t="s">
        <v>898</v>
      </c>
      <c r="B800" s="70" t="s">
        <v>2025</v>
      </c>
      <c r="C800" s="70" t="s">
        <v>2026</v>
      </c>
      <c r="D800" s="70">
        <v>1750</v>
      </c>
      <c r="E800" s="70">
        <v>1</v>
      </c>
      <c r="F800" s="71">
        <v>13.1411</v>
      </c>
      <c r="G800" s="71">
        <v>0</v>
      </c>
      <c r="H800" s="71">
        <v>13.1411</v>
      </c>
      <c r="I800" s="71">
        <v>0</v>
      </c>
      <c r="J800" s="70" t="s">
        <v>441</v>
      </c>
      <c r="K800" s="70" t="s">
        <v>48</v>
      </c>
      <c r="L800" s="74">
        <v>46053</v>
      </c>
    </row>
    <row r="801" spans="1:12" hidden="1" x14ac:dyDescent="0.25">
      <c r="A801" s="70" t="s">
        <v>898</v>
      </c>
      <c r="B801" s="70" t="s">
        <v>1487</v>
      </c>
      <c r="C801" s="70" t="s">
        <v>1488</v>
      </c>
      <c r="D801" s="70">
        <v>1726</v>
      </c>
      <c r="E801" s="70">
        <v>1</v>
      </c>
      <c r="F801" s="71">
        <v>2.27</v>
      </c>
      <c r="G801" s="71">
        <v>5.5439999999999996</v>
      </c>
      <c r="H801" s="71">
        <v>2.27</v>
      </c>
      <c r="I801" s="71">
        <v>5.5439999999999996</v>
      </c>
      <c r="J801" s="70" t="s">
        <v>519</v>
      </c>
      <c r="K801" s="70" t="s">
        <v>48</v>
      </c>
      <c r="L801" s="74">
        <v>46125</v>
      </c>
    </row>
    <row r="802" spans="1:12" hidden="1" x14ac:dyDescent="0.25">
      <c r="A802" s="70" t="s">
        <v>922</v>
      </c>
      <c r="B802" s="70" t="s">
        <v>2027</v>
      </c>
      <c r="C802" s="70" t="s">
        <v>2028</v>
      </c>
      <c r="D802" s="70">
        <v>1726</v>
      </c>
      <c r="E802" s="70">
        <v>-1</v>
      </c>
      <c r="F802" s="71">
        <v>71.13</v>
      </c>
      <c r="G802" s="71">
        <v>106.25149999999999</v>
      </c>
      <c r="H802" s="71">
        <v>-71.13</v>
      </c>
      <c r="I802" s="71">
        <v>-106.25149999999999</v>
      </c>
      <c r="J802" s="70" t="s">
        <v>519</v>
      </c>
      <c r="K802" s="70" t="s">
        <v>48</v>
      </c>
      <c r="L802" s="74">
        <v>46125</v>
      </c>
    </row>
    <row r="803" spans="1:12" hidden="1" x14ac:dyDescent="0.25">
      <c r="A803" s="70" t="s">
        <v>898</v>
      </c>
      <c r="B803" s="70" t="s">
        <v>1493</v>
      </c>
      <c r="C803" s="70" t="s">
        <v>1494</v>
      </c>
      <c r="D803" s="70">
        <v>1726</v>
      </c>
      <c r="E803" s="70">
        <v>1</v>
      </c>
      <c r="F803" s="71">
        <v>0</v>
      </c>
      <c r="G803" s="71">
        <v>25.11</v>
      </c>
      <c r="H803" s="71">
        <v>0</v>
      </c>
      <c r="I803" s="71">
        <v>25.11</v>
      </c>
      <c r="J803" s="70" t="s">
        <v>519</v>
      </c>
      <c r="K803" s="70" t="s">
        <v>48</v>
      </c>
      <c r="L803" s="74">
        <v>46125</v>
      </c>
    </row>
    <row r="804" spans="1:12" hidden="1" x14ac:dyDescent="0.25">
      <c r="A804" s="70" t="s">
        <v>911</v>
      </c>
      <c r="B804" s="70" t="s">
        <v>2029</v>
      </c>
      <c r="C804" s="70" t="s">
        <v>2030</v>
      </c>
      <c r="D804" s="70">
        <v>1726</v>
      </c>
      <c r="E804" s="70">
        <v>1</v>
      </c>
      <c r="F804" s="71">
        <v>70.48</v>
      </c>
      <c r="G804" s="71">
        <v>105.27</v>
      </c>
      <c r="H804" s="71">
        <v>70.48</v>
      </c>
      <c r="I804" s="71">
        <v>105.27</v>
      </c>
      <c r="J804" s="70" t="s">
        <v>519</v>
      </c>
      <c r="K804" s="70" t="s">
        <v>48</v>
      </c>
      <c r="L804" s="74">
        <v>46125</v>
      </c>
    </row>
    <row r="805" spans="1:12" hidden="1" x14ac:dyDescent="0.25">
      <c r="A805" s="70" t="s">
        <v>898</v>
      </c>
      <c r="B805" s="70" t="s">
        <v>1489</v>
      </c>
      <c r="C805" s="70" t="s">
        <v>1490</v>
      </c>
      <c r="D805" s="70">
        <v>1726</v>
      </c>
      <c r="E805" s="70">
        <v>1</v>
      </c>
      <c r="F805" s="71">
        <v>20.746600000000001</v>
      </c>
      <c r="G805" s="71">
        <v>29.46</v>
      </c>
      <c r="H805" s="71">
        <v>20.746600000000001</v>
      </c>
      <c r="I805" s="71">
        <v>29.46</v>
      </c>
      <c r="J805" s="70" t="s">
        <v>519</v>
      </c>
      <c r="K805" s="70" t="s">
        <v>48</v>
      </c>
      <c r="L805" s="74">
        <v>46125</v>
      </c>
    </row>
    <row r="806" spans="1:12" hidden="1" x14ac:dyDescent="0.25">
      <c r="A806" s="70" t="s">
        <v>898</v>
      </c>
      <c r="B806" s="70" t="s">
        <v>1497</v>
      </c>
      <c r="C806" s="70" t="s">
        <v>1498</v>
      </c>
      <c r="D806" s="70">
        <v>1726</v>
      </c>
      <c r="E806" s="70">
        <v>1</v>
      </c>
      <c r="F806" s="71">
        <v>60.1</v>
      </c>
      <c r="G806" s="71">
        <v>105.31</v>
      </c>
      <c r="H806" s="71">
        <v>60.1</v>
      </c>
      <c r="I806" s="71">
        <v>105.31</v>
      </c>
      <c r="J806" s="70" t="s">
        <v>519</v>
      </c>
      <c r="K806" s="70" t="s">
        <v>48</v>
      </c>
      <c r="L806" s="74">
        <v>46125</v>
      </c>
    </row>
    <row r="807" spans="1:12" hidden="1" x14ac:dyDescent="0.25">
      <c r="A807" s="70" t="s">
        <v>877</v>
      </c>
      <c r="B807" s="70" t="s">
        <v>2031</v>
      </c>
      <c r="C807" s="70" t="s">
        <v>2032</v>
      </c>
      <c r="D807" s="70">
        <v>1515</v>
      </c>
      <c r="E807" s="70">
        <v>-1</v>
      </c>
      <c r="F807" s="71">
        <v>105.6353</v>
      </c>
      <c r="G807" s="71">
        <v>147.06</v>
      </c>
      <c r="H807" s="71">
        <v>-105.6353</v>
      </c>
      <c r="I807" s="71">
        <v>-147.06</v>
      </c>
      <c r="J807" s="70" t="s">
        <v>522</v>
      </c>
      <c r="K807" s="70" t="s">
        <v>48</v>
      </c>
      <c r="L807" s="74">
        <v>46133</v>
      </c>
    </row>
    <row r="808" spans="1:12" hidden="1" x14ac:dyDescent="0.25">
      <c r="A808" s="70" t="s">
        <v>877</v>
      </c>
      <c r="B808" s="70" t="s">
        <v>2033</v>
      </c>
      <c r="C808" s="70" t="s">
        <v>2034</v>
      </c>
      <c r="D808" s="70">
        <v>1515</v>
      </c>
      <c r="E808" s="70">
        <v>-1</v>
      </c>
      <c r="F808" s="71">
        <v>84.482399999999998</v>
      </c>
      <c r="G808" s="71">
        <v>165.54</v>
      </c>
      <c r="H808" s="71">
        <v>-84.482399999999998</v>
      </c>
      <c r="I808" s="71">
        <v>-165.54</v>
      </c>
      <c r="J808" s="70" t="s">
        <v>522</v>
      </c>
      <c r="K808" s="70" t="s">
        <v>48</v>
      </c>
      <c r="L808" s="74">
        <v>46133</v>
      </c>
    </row>
    <row r="809" spans="1:12" hidden="1" x14ac:dyDescent="0.25">
      <c r="A809" s="70" t="s">
        <v>877</v>
      </c>
      <c r="B809" s="70" t="s">
        <v>1959</v>
      </c>
      <c r="C809" s="70" t="s">
        <v>1960</v>
      </c>
      <c r="D809" s="70">
        <v>1515</v>
      </c>
      <c r="E809" s="70">
        <v>-1</v>
      </c>
      <c r="F809" s="71">
        <v>73.508700000000005</v>
      </c>
      <c r="G809" s="71">
        <v>110.26</v>
      </c>
      <c r="H809" s="71">
        <v>-73.508700000000005</v>
      </c>
      <c r="I809" s="71">
        <v>-110.26</v>
      </c>
      <c r="J809" s="70" t="s">
        <v>522</v>
      </c>
      <c r="K809" s="70" t="s">
        <v>48</v>
      </c>
      <c r="L809" s="74">
        <v>46133</v>
      </c>
    </row>
    <row r="810" spans="1:12" hidden="1" x14ac:dyDescent="0.25">
      <c r="A810" s="70" t="s">
        <v>877</v>
      </c>
      <c r="B810" s="70" t="s">
        <v>916</v>
      </c>
      <c r="C810" s="70" t="s">
        <v>917</v>
      </c>
      <c r="D810" s="70">
        <v>1515</v>
      </c>
      <c r="E810" s="70">
        <v>-10</v>
      </c>
      <c r="F810" s="71">
        <v>7.14</v>
      </c>
      <c r="G810" s="71">
        <v>11.5</v>
      </c>
      <c r="H810" s="71">
        <v>-71.400000000000006</v>
      </c>
      <c r="I810" s="71">
        <v>-115</v>
      </c>
      <c r="J810" s="70" t="s">
        <v>522</v>
      </c>
      <c r="K810" s="70" t="s">
        <v>48</v>
      </c>
      <c r="L810" s="74">
        <v>46133</v>
      </c>
    </row>
    <row r="811" spans="1:12" hidden="1" x14ac:dyDescent="0.25">
      <c r="A811" s="70" t="s">
        <v>877</v>
      </c>
      <c r="B811" s="70" t="s">
        <v>2035</v>
      </c>
      <c r="C811" s="70" t="s">
        <v>2036</v>
      </c>
      <c r="D811" s="70">
        <v>1515</v>
      </c>
      <c r="E811" s="70">
        <v>-1</v>
      </c>
      <c r="F811" s="71">
        <v>65.718599999999995</v>
      </c>
      <c r="G811" s="71">
        <v>76.39</v>
      </c>
      <c r="H811" s="71">
        <v>-65.718599999999995</v>
      </c>
      <c r="I811" s="71">
        <v>-76.39</v>
      </c>
      <c r="J811" s="70" t="s">
        <v>522</v>
      </c>
      <c r="K811" s="70" t="s">
        <v>48</v>
      </c>
      <c r="L811" s="74">
        <v>46133</v>
      </c>
    </row>
    <row r="812" spans="1:12" hidden="1" x14ac:dyDescent="0.25">
      <c r="A812" s="70" t="s">
        <v>877</v>
      </c>
      <c r="B812" s="70" t="s">
        <v>2037</v>
      </c>
      <c r="C812" s="70" t="s">
        <v>2038</v>
      </c>
      <c r="D812" s="70">
        <v>1515</v>
      </c>
      <c r="E812" s="70">
        <v>-1</v>
      </c>
      <c r="F812" s="71">
        <v>58.5961</v>
      </c>
      <c r="G812" s="71">
        <v>120.69</v>
      </c>
      <c r="H812" s="71">
        <v>-58.5961</v>
      </c>
      <c r="I812" s="71">
        <v>-120.69</v>
      </c>
      <c r="J812" s="70" t="s">
        <v>522</v>
      </c>
      <c r="K812" s="70" t="s">
        <v>48</v>
      </c>
      <c r="L812" s="74">
        <v>46133</v>
      </c>
    </row>
    <row r="813" spans="1:12" hidden="1" x14ac:dyDescent="0.25">
      <c r="A813" s="70" t="s">
        <v>877</v>
      </c>
      <c r="B813" s="70" t="s">
        <v>2039</v>
      </c>
      <c r="C813" s="70" t="s">
        <v>2040</v>
      </c>
      <c r="D813" s="70">
        <v>1515</v>
      </c>
      <c r="E813" s="70">
        <v>-1</v>
      </c>
      <c r="F813" s="71">
        <v>58.166499999999999</v>
      </c>
      <c r="G813" s="71">
        <v>123.46</v>
      </c>
      <c r="H813" s="71">
        <v>-58.166499999999999</v>
      </c>
      <c r="I813" s="71">
        <v>-123.46</v>
      </c>
      <c r="J813" s="70" t="s">
        <v>522</v>
      </c>
      <c r="K813" s="70" t="s">
        <v>48</v>
      </c>
      <c r="L813" s="74">
        <v>46133</v>
      </c>
    </row>
    <row r="814" spans="1:12" hidden="1" x14ac:dyDescent="0.25">
      <c r="A814" s="70" t="s">
        <v>877</v>
      </c>
      <c r="B814" s="70" t="s">
        <v>2041</v>
      </c>
      <c r="C814" s="70" t="s">
        <v>2042</v>
      </c>
      <c r="D814" s="70">
        <v>1515</v>
      </c>
      <c r="E814" s="70">
        <v>-1</v>
      </c>
      <c r="F814" s="71">
        <v>56.552</v>
      </c>
      <c r="G814" s="71">
        <v>76.39</v>
      </c>
      <c r="H814" s="71">
        <v>-56.552</v>
      </c>
      <c r="I814" s="71">
        <v>-76.39</v>
      </c>
      <c r="J814" s="70" t="s">
        <v>522</v>
      </c>
      <c r="K814" s="70" t="s">
        <v>48</v>
      </c>
      <c r="L814" s="74">
        <v>46133</v>
      </c>
    </row>
    <row r="815" spans="1:12" hidden="1" x14ac:dyDescent="0.25">
      <c r="A815" s="70" t="s">
        <v>877</v>
      </c>
      <c r="B815" s="70" t="s">
        <v>2043</v>
      </c>
      <c r="C815" s="70" t="s">
        <v>2044</v>
      </c>
      <c r="D815" s="70">
        <v>1515</v>
      </c>
      <c r="E815" s="70">
        <v>-1</v>
      </c>
      <c r="F815" s="71">
        <v>56.008200000000002</v>
      </c>
      <c r="G815" s="71">
        <v>86.5</v>
      </c>
      <c r="H815" s="71">
        <v>-56.008200000000002</v>
      </c>
      <c r="I815" s="71">
        <v>-86.5</v>
      </c>
      <c r="J815" s="70" t="s">
        <v>522</v>
      </c>
      <c r="K815" s="70" t="s">
        <v>48</v>
      </c>
      <c r="L815" s="74">
        <v>46133</v>
      </c>
    </row>
    <row r="816" spans="1:12" hidden="1" x14ac:dyDescent="0.25">
      <c r="A816" s="70" t="s">
        <v>877</v>
      </c>
      <c r="B816" s="70" t="s">
        <v>2045</v>
      </c>
      <c r="C816" s="70" t="s">
        <v>2046</v>
      </c>
      <c r="D816" s="70">
        <v>1515</v>
      </c>
      <c r="E816" s="70">
        <v>-3</v>
      </c>
      <c r="F816" s="71">
        <v>18.483000000000001</v>
      </c>
      <c r="G816" s="71">
        <v>45.74</v>
      </c>
      <c r="H816" s="71">
        <v>-55.448999999999998</v>
      </c>
      <c r="I816" s="71">
        <v>-137.22</v>
      </c>
      <c r="J816" s="70" t="s">
        <v>522</v>
      </c>
      <c r="K816" s="70" t="s">
        <v>48</v>
      </c>
      <c r="L816" s="74">
        <v>46133</v>
      </c>
    </row>
    <row r="817" spans="1:12" hidden="1" x14ac:dyDescent="0.25">
      <c r="A817" s="70" t="s">
        <v>877</v>
      </c>
      <c r="B817" s="70" t="s">
        <v>2047</v>
      </c>
      <c r="C817" s="70" t="s">
        <v>2048</v>
      </c>
      <c r="D817" s="70">
        <v>1515</v>
      </c>
      <c r="E817" s="70">
        <v>-1</v>
      </c>
      <c r="F817" s="71">
        <v>54.850099999999998</v>
      </c>
      <c r="G817" s="71">
        <v>127.89</v>
      </c>
      <c r="H817" s="71">
        <v>-54.850099999999998</v>
      </c>
      <c r="I817" s="71">
        <v>-127.89</v>
      </c>
      <c r="J817" s="70" t="s">
        <v>522</v>
      </c>
      <c r="K817" s="70" t="s">
        <v>48</v>
      </c>
      <c r="L817" s="74">
        <v>46133</v>
      </c>
    </row>
    <row r="818" spans="1:12" hidden="1" x14ac:dyDescent="0.25">
      <c r="A818" s="70" t="s">
        <v>877</v>
      </c>
      <c r="B818" s="70" t="s">
        <v>2049</v>
      </c>
      <c r="C818" s="70" t="s">
        <v>2050</v>
      </c>
      <c r="D818" s="70">
        <v>1515</v>
      </c>
      <c r="E818" s="70">
        <v>-1</v>
      </c>
      <c r="F818" s="71">
        <v>52.601399999999998</v>
      </c>
      <c r="G818" s="71">
        <v>77.03</v>
      </c>
      <c r="H818" s="71">
        <v>-52.601399999999998</v>
      </c>
      <c r="I818" s="71">
        <v>-77.03</v>
      </c>
      <c r="J818" s="70" t="s">
        <v>522</v>
      </c>
      <c r="K818" s="70" t="s">
        <v>48</v>
      </c>
      <c r="L818" s="74">
        <v>46133</v>
      </c>
    </row>
    <row r="819" spans="1:12" hidden="1" x14ac:dyDescent="0.25">
      <c r="A819" s="70" t="s">
        <v>877</v>
      </c>
      <c r="B819" s="70" t="s">
        <v>2051</v>
      </c>
      <c r="C819" s="70" t="s">
        <v>2052</v>
      </c>
      <c r="D819" s="70">
        <v>1515</v>
      </c>
      <c r="E819" s="70">
        <v>-1</v>
      </c>
      <c r="F819" s="71">
        <v>47.736699999999999</v>
      </c>
      <c r="G819" s="71">
        <v>99.78</v>
      </c>
      <c r="H819" s="71">
        <v>-47.736699999999999</v>
      </c>
      <c r="I819" s="71">
        <v>-99.78</v>
      </c>
      <c r="J819" s="70" t="s">
        <v>522</v>
      </c>
      <c r="K819" s="70" t="s">
        <v>48</v>
      </c>
      <c r="L819" s="74">
        <v>46133</v>
      </c>
    </row>
    <row r="820" spans="1:12" hidden="1" x14ac:dyDescent="0.25">
      <c r="A820" s="70" t="s">
        <v>877</v>
      </c>
      <c r="B820" s="70" t="s">
        <v>2053</v>
      </c>
      <c r="C820" s="70" t="s">
        <v>2054</v>
      </c>
      <c r="D820" s="70">
        <v>1515</v>
      </c>
      <c r="E820" s="70">
        <v>-2</v>
      </c>
      <c r="F820" s="71">
        <v>21.459099999999999</v>
      </c>
      <c r="G820" s="71">
        <v>67.760000000000005</v>
      </c>
      <c r="H820" s="71">
        <v>-42.918199999999999</v>
      </c>
      <c r="I820" s="71">
        <v>-135.52000000000001</v>
      </c>
      <c r="J820" s="70" t="s">
        <v>522</v>
      </c>
      <c r="K820" s="70" t="s">
        <v>48</v>
      </c>
      <c r="L820" s="74">
        <v>46133</v>
      </c>
    </row>
    <row r="821" spans="1:12" hidden="1" x14ac:dyDescent="0.25">
      <c r="A821" s="70" t="s">
        <v>877</v>
      </c>
      <c r="B821" s="70" t="s">
        <v>2055</v>
      </c>
      <c r="C821" s="70" t="s">
        <v>2056</v>
      </c>
      <c r="D821" s="70">
        <v>1515</v>
      </c>
      <c r="E821" s="70">
        <v>-5</v>
      </c>
      <c r="F821" s="71">
        <v>8.5117999999999991</v>
      </c>
      <c r="G821" s="71">
        <v>12.32</v>
      </c>
      <c r="H821" s="71">
        <v>-42.558999999999997</v>
      </c>
      <c r="I821" s="71">
        <v>-61.6</v>
      </c>
      <c r="J821" s="70" t="s">
        <v>522</v>
      </c>
      <c r="K821" s="70" t="s">
        <v>48</v>
      </c>
      <c r="L821" s="74">
        <v>46133</v>
      </c>
    </row>
    <row r="822" spans="1:12" hidden="1" x14ac:dyDescent="0.25">
      <c r="A822" s="70" t="s">
        <v>877</v>
      </c>
      <c r="B822" s="70" t="s">
        <v>2057</v>
      </c>
      <c r="C822" s="70" t="s">
        <v>2058</v>
      </c>
      <c r="D822" s="70">
        <v>1515</v>
      </c>
      <c r="E822" s="70">
        <v>-1</v>
      </c>
      <c r="F822" s="71">
        <v>39.721600000000002</v>
      </c>
      <c r="G822" s="71">
        <v>87.68</v>
      </c>
      <c r="H822" s="71">
        <v>-39.721600000000002</v>
      </c>
      <c r="I822" s="71">
        <v>-87.68</v>
      </c>
      <c r="J822" s="70" t="s">
        <v>522</v>
      </c>
      <c r="K822" s="70" t="s">
        <v>48</v>
      </c>
      <c r="L822" s="74">
        <v>46133</v>
      </c>
    </row>
    <row r="823" spans="1:12" hidden="1" x14ac:dyDescent="0.25">
      <c r="A823" s="70" t="s">
        <v>877</v>
      </c>
      <c r="B823" s="70" t="s">
        <v>2059</v>
      </c>
      <c r="C823" s="70" t="s">
        <v>2060</v>
      </c>
      <c r="D823" s="70">
        <v>1515</v>
      </c>
      <c r="E823" s="70">
        <v>-1</v>
      </c>
      <c r="F823" s="71">
        <v>39.5047</v>
      </c>
      <c r="G823" s="71">
        <v>54.32</v>
      </c>
      <c r="H823" s="71">
        <v>-39.5047</v>
      </c>
      <c r="I823" s="71">
        <v>-54.32</v>
      </c>
      <c r="J823" s="70" t="s">
        <v>522</v>
      </c>
      <c r="K823" s="70" t="s">
        <v>48</v>
      </c>
      <c r="L823" s="74">
        <v>46133</v>
      </c>
    </row>
    <row r="824" spans="1:12" hidden="1" x14ac:dyDescent="0.25">
      <c r="A824" s="70" t="s">
        <v>877</v>
      </c>
      <c r="B824" s="70" t="s">
        <v>2061</v>
      </c>
      <c r="C824" s="70" t="s">
        <v>2062</v>
      </c>
      <c r="D824" s="70">
        <v>1515</v>
      </c>
      <c r="E824" s="70">
        <v>-2</v>
      </c>
      <c r="F824" s="71">
        <v>18.770600000000002</v>
      </c>
      <c r="G824" s="71">
        <v>38.25</v>
      </c>
      <c r="H824" s="71">
        <v>-37.541200000000003</v>
      </c>
      <c r="I824" s="71">
        <v>-76.5</v>
      </c>
      <c r="J824" s="70" t="s">
        <v>522</v>
      </c>
      <c r="K824" s="70" t="s">
        <v>48</v>
      </c>
      <c r="L824" s="74">
        <v>46133</v>
      </c>
    </row>
    <row r="825" spans="1:12" hidden="1" x14ac:dyDescent="0.25">
      <c r="A825" s="70" t="s">
        <v>877</v>
      </c>
      <c r="B825" s="70" t="s">
        <v>705</v>
      </c>
      <c r="C825" s="70" t="s">
        <v>706</v>
      </c>
      <c r="D825" s="70">
        <v>1515</v>
      </c>
      <c r="E825" s="70">
        <v>-17</v>
      </c>
      <c r="F825" s="71">
        <v>2.1241352941176501</v>
      </c>
      <c r="G825" s="71">
        <v>3.94</v>
      </c>
      <c r="H825" s="71">
        <v>-36.110300000000002</v>
      </c>
      <c r="I825" s="71">
        <v>-66.98</v>
      </c>
      <c r="J825" s="70" t="s">
        <v>522</v>
      </c>
      <c r="K825" s="70" t="s">
        <v>48</v>
      </c>
      <c r="L825" s="74">
        <v>46133</v>
      </c>
    </row>
    <row r="826" spans="1:12" hidden="1" x14ac:dyDescent="0.25">
      <c r="A826" s="70" t="s">
        <v>877</v>
      </c>
      <c r="B826" s="70" t="s">
        <v>2063</v>
      </c>
      <c r="C826" s="70" t="s">
        <v>2064</v>
      </c>
      <c r="D826" s="70">
        <v>1515</v>
      </c>
      <c r="E826" s="70">
        <v>-1</v>
      </c>
      <c r="F826" s="71">
        <v>35.459800000000001</v>
      </c>
      <c r="G826" s="71">
        <v>71.53</v>
      </c>
      <c r="H826" s="71">
        <v>-35.459800000000001</v>
      </c>
      <c r="I826" s="71">
        <v>-71.53</v>
      </c>
      <c r="J826" s="70" t="s">
        <v>522</v>
      </c>
      <c r="K826" s="70" t="s">
        <v>48</v>
      </c>
      <c r="L826" s="74">
        <v>46133</v>
      </c>
    </row>
    <row r="827" spans="1:12" hidden="1" x14ac:dyDescent="0.25">
      <c r="A827" s="70" t="s">
        <v>877</v>
      </c>
      <c r="B827" s="70" t="s">
        <v>2065</v>
      </c>
      <c r="C827" s="70" t="s">
        <v>2066</v>
      </c>
      <c r="D827" s="70">
        <v>1515</v>
      </c>
      <c r="E827" s="70">
        <v>-1</v>
      </c>
      <c r="F827" s="71">
        <v>35.171999999999997</v>
      </c>
      <c r="G827" s="71">
        <v>69.09</v>
      </c>
      <c r="H827" s="71">
        <v>-35.171999999999997</v>
      </c>
      <c r="I827" s="71">
        <v>-69.09</v>
      </c>
      <c r="J827" s="70" t="s">
        <v>522</v>
      </c>
      <c r="K827" s="70" t="s">
        <v>48</v>
      </c>
      <c r="L827" s="74">
        <v>46133</v>
      </c>
    </row>
    <row r="828" spans="1:12" hidden="1" x14ac:dyDescent="0.25">
      <c r="A828" s="70" t="s">
        <v>877</v>
      </c>
      <c r="B828" s="70" t="s">
        <v>2067</v>
      </c>
      <c r="C828" s="70" t="s">
        <v>2068</v>
      </c>
      <c r="D828" s="70">
        <v>1515</v>
      </c>
      <c r="E828" s="70">
        <v>-1</v>
      </c>
      <c r="F828" s="71">
        <v>35.171999999999997</v>
      </c>
      <c r="G828" s="71">
        <v>71.650000000000006</v>
      </c>
      <c r="H828" s="71">
        <v>-35.171999999999997</v>
      </c>
      <c r="I828" s="71">
        <v>-71.650000000000006</v>
      </c>
      <c r="J828" s="70" t="s">
        <v>522</v>
      </c>
      <c r="K828" s="70" t="s">
        <v>48</v>
      </c>
      <c r="L828" s="74">
        <v>46133</v>
      </c>
    </row>
    <row r="829" spans="1:12" hidden="1" x14ac:dyDescent="0.25">
      <c r="A829" s="70" t="s">
        <v>877</v>
      </c>
      <c r="B829" s="70" t="s">
        <v>2069</v>
      </c>
      <c r="C829" s="70" t="s">
        <v>2070</v>
      </c>
      <c r="D829" s="70">
        <v>1515</v>
      </c>
      <c r="E829" s="70">
        <v>-1</v>
      </c>
      <c r="F829" s="71">
        <v>35.019500000000001</v>
      </c>
      <c r="G829" s="71">
        <v>127.63</v>
      </c>
      <c r="H829" s="71">
        <v>-35.019500000000001</v>
      </c>
      <c r="I829" s="71">
        <v>-127.63</v>
      </c>
      <c r="J829" s="70" t="s">
        <v>522</v>
      </c>
      <c r="K829" s="70" t="s">
        <v>48</v>
      </c>
      <c r="L829" s="74">
        <v>46133</v>
      </c>
    </row>
    <row r="830" spans="1:12" hidden="1" x14ac:dyDescent="0.25">
      <c r="A830" s="70" t="s">
        <v>877</v>
      </c>
      <c r="B830" s="70" t="s">
        <v>2071</v>
      </c>
      <c r="C830" s="70" t="s">
        <v>2072</v>
      </c>
      <c r="D830" s="70">
        <v>1515</v>
      </c>
      <c r="E830" s="70">
        <v>-1</v>
      </c>
      <c r="F830" s="71">
        <v>34.853400000000001</v>
      </c>
      <c r="G830" s="71">
        <v>96.5</v>
      </c>
      <c r="H830" s="71">
        <v>-34.853400000000001</v>
      </c>
      <c r="I830" s="71">
        <v>-96.5</v>
      </c>
      <c r="J830" s="70" t="s">
        <v>522</v>
      </c>
      <c r="K830" s="70" t="s">
        <v>48</v>
      </c>
      <c r="L830" s="74">
        <v>46133</v>
      </c>
    </row>
    <row r="831" spans="1:12" hidden="1" x14ac:dyDescent="0.25">
      <c r="A831" s="70" t="s">
        <v>877</v>
      </c>
      <c r="B831" s="70" t="s">
        <v>1670</v>
      </c>
      <c r="C831" s="70" t="s">
        <v>1671</v>
      </c>
      <c r="D831" s="70">
        <v>1515</v>
      </c>
      <c r="E831" s="70">
        <v>-8</v>
      </c>
      <c r="F831" s="71">
        <v>3.6446499999999999</v>
      </c>
      <c r="G831" s="71">
        <v>5.44</v>
      </c>
      <c r="H831" s="71">
        <v>-29.1572</v>
      </c>
      <c r="I831" s="71">
        <v>-43.52</v>
      </c>
      <c r="J831" s="70" t="s">
        <v>522</v>
      </c>
      <c r="K831" s="70" t="s">
        <v>48</v>
      </c>
      <c r="L831" s="74">
        <v>46133</v>
      </c>
    </row>
    <row r="832" spans="1:12" hidden="1" x14ac:dyDescent="0.25">
      <c r="A832" s="70" t="s">
        <v>877</v>
      </c>
      <c r="B832" s="70" t="s">
        <v>2073</v>
      </c>
      <c r="C832" s="70" t="s">
        <v>2074</v>
      </c>
      <c r="D832" s="70">
        <v>1515</v>
      </c>
      <c r="E832" s="70">
        <v>-1</v>
      </c>
      <c r="F832" s="71">
        <v>28.578800000000001</v>
      </c>
      <c r="G832" s="71">
        <v>7.32</v>
      </c>
      <c r="H832" s="71">
        <v>-28.578800000000001</v>
      </c>
      <c r="I832" s="71">
        <v>-7.32</v>
      </c>
      <c r="J832" s="70" t="s">
        <v>522</v>
      </c>
      <c r="K832" s="70" t="s">
        <v>48</v>
      </c>
      <c r="L832" s="74">
        <v>46133</v>
      </c>
    </row>
    <row r="833" spans="1:12" hidden="1" x14ac:dyDescent="0.25">
      <c r="A833" s="70" t="s">
        <v>877</v>
      </c>
      <c r="B833" s="70" t="s">
        <v>2075</v>
      </c>
      <c r="C833" s="70" t="s">
        <v>2076</v>
      </c>
      <c r="D833" s="70">
        <v>1515</v>
      </c>
      <c r="E833" s="70">
        <v>-1</v>
      </c>
      <c r="F833" s="71">
        <v>28.407</v>
      </c>
      <c r="G833" s="71">
        <v>39.06</v>
      </c>
      <c r="H833" s="71">
        <v>-28.407</v>
      </c>
      <c r="I833" s="71">
        <v>-39.06</v>
      </c>
      <c r="J833" s="70" t="s">
        <v>522</v>
      </c>
      <c r="K833" s="70" t="s">
        <v>48</v>
      </c>
      <c r="L833" s="74">
        <v>46133</v>
      </c>
    </row>
    <row r="834" spans="1:12" hidden="1" x14ac:dyDescent="0.25">
      <c r="A834" s="70" t="s">
        <v>877</v>
      </c>
      <c r="B834" s="70" t="s">
        <v>2077</v>
      </c>
      <c r="C834" s="70" t="s">
        <v>2078</v>
      </c>
      <c r="D834" s="70">
        <v>1515</v>
      </c>
      <c r="E834" s="70">
        <v>-1</v>
      </c>
      <c r="F834" s="71">
        <v>26.707899999999999</v>
      </c>
      <c r="G834" s="71">
        <v>40.96</v>
      </c>
      <c r="H834" s="71">
        <v>-26.707899999999999</v>
      </c>
      <c r="I834" s="71">
        <v>-40.96</v>
      </c>
      <c r="J834" s="70" t="s">
        <v>522</v>
      </c>
      <c r="K834" s="70" t="s">
        <v>48</v>
      </c>
      <c r="L834" s="74">
        <v>46133</v>
      </c>
    </row>
    <row r="835" spans="1:12" hidden="1" x14ac:dyDescent="0.25">
      <c r="A835" s="70" t="s">
        <v>877</v>
      </c>
      <c r="B835" s="70" t="s">
        <v>2079</v>
      </c>
      <c r="C835" s="70" t="s">
        <v>2080</v>
      </c>
      <c r="D835" s="70">
        <v>1515</v>
      </c>
      <c r="E835" s="70">
        <v>-1</v>
      </c>
      <c r="F835" s="71">
        <v>25.6645</v>
      </c>
      <c r="G835" s="71">
        <v>56.14</v>
      </c>
      <c r="H835" s="71">
        <v>-25.6645</v>
      </c>
      <c r="I835" s="71">
        <v>-56.14</v>
      </c>
      <c r="J835" s="70" t="s">
        <v>522</v>
      </c>
      <c r="K835" s="70" t="s">
        <v>48</v>
      </c>
      <c r="L835" s="74">
        <v>46133</v>
      </c>
    </row>
    <row r="836" spans="1:12" hidden="1" x14ac:dyDescent="0.25">
      <c r="A836" s="70" t="s">
        <v>877</v>
      </c>
      <c r="B836" s="70" t="s">
        <v>1821</v>
      </c>
      <c r="C836" s="70" t="s">
        <v>1822</v>
      </c>
      <c r="D836" s="70">
        <v>1515</v>
      </c>
      <c r="E836" s="70">
        <v>-3</v>
      </c>
      <c r="F836" s="71">
        <v>7.7851999999999997</v>
      </c>
      <c r="G836" s="71">
        <v>20.74</v>
      </c>
      <c r="H836" s="71">
        <v>-23.355599999999999</v>
      </c>
      <c r="I836" s="71">
        <v>-62.22</v>
      </c>
      <c r="J836" s="70" t="s">
        <v>522</v>
      </c>
      <c r="K836" s="70" t="s">
        <v>48</v>
      </c>
      <c r="L836" s="74">
        <v>46133</v>
      </c>
    </row>
    <row r="837" spans="1:12" hidden="1" x14ac:dyDescent="0.25">
      <c r="A837" s="70" t="s">
        <v>877</v>
      </c>
      <c r="B837" s="70" t="s">
        <v>2081</v>
      </c>
      <c r="C837" s="70" t="s">
        <v>2082</v>
      </c>
      <c r="D837" s="70">
        <v>1515</v>
      </c>
      <c r="E837" s="70">
        <v>-1</v>
      </c>
      <c r="F837" s="71">
        <v>23.260899999999999</v>
      </c>
      <c r="G837" s="71">
        <v>44.85</v>
      </c>
      <c r="H837" s="71">
        <v>-23.260899999999999</v>
      </c>
      <c r="I837" s="71">
        <v>-44.85</v>
      </c>
      <c r="J837" s="70" t="s">
        <v>522</v>
      </c>
      <c r="K837" s="70" t="s">
        <v>48</v>
      </c>
      <c r="L837" s="74">
        <v>46133</v>
      </c>
    </row>
    <row r="838" spans="1:12" hidden="1" x14ac:dyDescent="0.25">
      <c r="A838" s="70" t="s">
        <v>877</v>
      </c>
      <c r="B838" s="70" t="s">
        <v>2083</v>
      </c>
      <c r="C838" s="70" t="s">
        <v>2084</v>
      </c>
      <c r="D838" s="70">
        <v>1515</v>
      </c>
      <c r="E838" s="70">
        <v>-1</v>
      </c>
      <c r="F838" s="71">
        <v>21.93</v>
      </c>
      <c r="G838" s="71">
        <v>50.99</v>
      </c>
      <c r="H838" s="71">
        <v>-21.93</v>
      </c>
      <c r="I838" s="71">
        <v>-50.99</v>
      </c>
      <c r="J838" s="70" t="s">
        <v>522</v>
      </c>
      <c r="K838" s="70" t="s">
        <v>48</v>
      </c>
      <c r="L838" s="74">
        <v>46133</v>
      </c>
    </row>
    <row r="839" spans="1:12" hidden="1" x14ac:dyDescent="0.25">
      <c r="A839" s="70" t="s">
        <v>877</v>
      </c>
      <c r="B839" s="70" t="s">
        <v>2085</v>
      </c>
      <c r="C839" s="70" t="s">
        <v>2086</v>
      </c>
      <c r="D839" s="70">
        <v>1515</v>
      </c>
      <c r="E839" s="70">
        <v>-1</v>
      </c>
      <c r="F839" s="71">
        <v>21.376200000000001</v>
      </c>
      <c r="G839" s="71">
        <v>29.75</v>
      </c>
      <c r="H839" s="71">
        <v>-21.376200000000001</v>
      </c>
      <c r="I839" s="71">
        <v>-29.75</v>
      </c>
      <c r="J839" s="70" t="s">
        <v>522</v>
      </c>
      <c r="K839" s="70" t="s">
        <v>48</v>
      </c>
      <c r="L839" s="74">
        <v>46133</v>
      </c>
    </row>
    <row r="840" spans="1:12" hidden="1" x14ac:dyDescent="0.25">
      <c r="A840" s="70" t="s">
        <v>877</v>
      </c>
      <c r="B840" s="70" t="s">
        <v>2087</v>
      </c>
      <c r="C840" s="70" t="s">
        <v>2088</v>
      </c>
      <c r="D840" s="70">
        <v>1515</v>
      </c>
      <c r="E840" s="70">
        <v>-1</v>
      </c>
      <c r="F840" s="71">
        <v>20.092199999999998</v>
      </c>
      <c r="G840" s="71">
        <v>27.63</v>
      </c>
      <c r="H840" s="71">
        <v>-20.092199999999998</v>
      </c>
      <c r="I840" s="71">
        <v>-27.63</v>
      </c>
      <c r="J840" s="70" t="s">
        <v>522</v>
      </c>
      <c r="K840" s="70" t="s">
        <v>48</v>
      </c>
      <c r="L840" s="74">
        <v>46133</v>
      </c>
    </row>
    <row r="841" spans="1:12" hidden="1" x14ac:dyDescent="0.25">
      <c r="A841" s="70" t="s">
        <v>877</v>
      </c>
      <c r="B841" s="70" t="s">
        <v>2089</v>
      </c>
      <c r="C841" s="70" t="s">
        <v>2090</v>
      </c>
      <c r="D841" s="70">
        <v>1515</v>
      </c>
      <c r="E841" s="70">
        <v>-1</v>
      </c>
      <c r="F841" s="71">
        <v>19.7807</v>
      </c>
      <c r="G841" s="71">
        <v>33.43</v>
      </c>
      <c r="H841" s="71">
        <v>-19.7807</v>
      </c>
      <c r="I841" s="71">
        <v>-33.43</v>
      </c>
      <c r="J841" s="70" t="s">
        <v>522</v>
      </c>
      <c r="K841" s="70" t="s">
        <v>48</v>
      </c>
      <c r="L841" s="74">
        <v>46133</v>
      </c>
    </row>
    <row r="842" spans="1:12" hidden="1" x14ac:dyDescent="0.25">
      <c r="A842" s="70" t="s">
        <v>877</v>
      </c>
      <c r="B842" s="70" t="s">
        <v>2091</v>
      </c>
      <c r="C842" s="70" t="s">
        <v>2092</v>
      </c>
      <c r="D842" s="70">
        <v>1515</v>
      </c>
      <c r="E842" s="70">
        <v>-1</v>
      </c>
      <c r="F842" s="71">
        <v>19.7683</v>
      </c>
      <c r="G842" s="71">
        <v>53.31</v>
      </c>
      <c r="H842" s="71">
        <v>-19.7683</v>
      </c>
      <c r="I842" s="71">
        <v>-53.31</v>
      </c>
      <c r="J842" s="70" t="s">
        <v>522</v>
      </c>
      <c r="K842" s="70" t="s">
        <v>48</v>
      </c>
      <c r="L842" s="74">
        <v>46133</v>
      </c>
    </row>
    <row r="843" spans="1:12" hidden="1" x14ac:dyDescent="0.25">
      <c r="A843" s="70" t="s">
        <v>877</v>
      </c>
      <c r="B843" s="70" t="s">
        <v>2093</v>
      </c>
      <c r="C843" s="70" t="s">
        <v>2094</v>
      </c>
      <c r="D843" s="70">
        <v>1515</v>
      </c>
      <c r="E843" s="70">
        <v>-1</v>
      </c>
      <c r="F843" s="71">
        <v>19.703600000000002</v>
      </c>
      <c r="G843" s="71">
        <v>41.76</v>
      </c>
      <c r="H843" s="71">
        <v>-19.703600000000002</v>
      </c>
      <c r="I843" s="71">
        <v>-41.76</v>
      </c>
      <c r="J843" s="70" t="s">
        <v>522</v>
      </c>
      <c r="K843" s="70" t="s">
        <v>48</v>
      </c>
      <c r="L843" s="74">
        <v>46133</v>
      </c>
    </row>
    <row r="844" spans="1:12" hidden="1" x14ac:dyDescent="0.25">
      <c r="A844" s="70" t="s">
        <v>877</v>
      </c>
      <c r="B844" s="70" t="s">
        <v>2095</v>
      </c>
      <c r="C844" s="70" t="s">
        <v>2096</v>
      </c>
      <c r="D844" s="70">
        <v>1515</v>
      </c>
      <c r="E844" s="70">
        <v>-2</v>
      </c>
      <c r="F844" s="71">
        <v>9.2495999999999992</v>
      </c>
      <c r="G844" s="71">
        <v>29.21</v>
      </c>
      <c r="H844" s="71">
        <v>-18.499199999999998</v>
      </c>
      <c r="I844" s="71">
        <v>-58.42</v>
      </c>
      <c r="J844" s="70" t="s">
        <v>522</v>
      </c>
      <c r="K844" s="70" t="s">
        <v>48</v>
      </c>
      <c r="L844" s="74">
        <v>46133</v>
      </c>
    </row>
    <row r="845" spans="1:12" hidden="1" x14ac:dyDescent="0.25">
      <c r="A845" s="70" t="s">
        <v>877</v>
      </c>
      <c r="B845" s="70" t="s">
        <v>2097</v>
      </c>
      <c r="C845" s="70" t="s">
        <v>2098</v>
      </c>
      <c r="D845" s="70">
        <v>1515</v>
      </c>
      <c r="E845" s="70">
        <v>-2</v>
      </c>
      <c r="F845" s="71">
        <v>9.2310999999999996</v>
      </c>
      <c r="G845" s="71">
        <v>28.2</v>
      </c>
      <c r="H845" s="71">
        <v>-18.462199999999999</v>
      </c>
      <c r="I845" s="71">
        <v>-56.4</v>
      </c>
      <c r="J845" s="70" t="s">
        <v>522</v>
      </c>
      <c r="K845" s="70" t="s">
        <v>48</v>
      </c>
      <c r="L845" s="74">
        <v>46133</v>
      </c>
    </row>
    <row r="846" spans="1:12" hidden="1" x14ac:dyDescent="0.25">
      <c r="A846" s="70" t="s">
        <v>877</v>
      </c>
      <c r="B846" s="70" t="s">
        <v>2099</v>
      </c>
      <c r="C846" s="70" t="s">
        <v>2100</v>
      </c>
      <c r="D846" s="70">
        <v>1515</v>
      </c>
      <c r="E846" s="70">
        <v>-13</v>
      </c>
      <c r="F846" s="71">
        <v>1.3800538461538501</v>
      </c>
      <c r="G846" s="71">
        <v>2.12</v>
      </c>
      <c r="H846" s="71">
        <v>-17.9407</v>
      </c>
      <c r="I846" s="71">
        <v>-27.56</v>
      </c>
      <c r="J846" s="70" t="s">
        <v>522</v>
      </c>
      <c r="K846" s="70" t="s">
        <v>48</v>
      </c>
      <c r="L846" s="74">
        <v>46133</v>
      </c>
    </row>
    <row r="847" spans="1:12" hidden="1" x14ac:dyDescent="0.25">
      <c r="A847" s="70" t="s">
        <v>877</v>
      </c>
      <c r="B847" s="70" t="s">
        <v>2101</v>
      </c>
      <c r="C847" s="70" t="s">
        <v>2102</v>
      </c>
      <c r="D847" s="70">
        <v>1515</v>
      </c>
      <c r="E847" s="70">
        <v>-1</v>
      </c>
      <c r="F847" s="71">
        <v>17.564399999999999</v>
      </c>
      <c r="G847" s="71">
        <v>26.6</v>
      </c>
      <c r="H847" s="71">
        <v>-17.564399999999999</v>
      </c>
      <c r="I847" s="71">
        <v>-26.6</v>
      </c>
      <c r="J847" s="70" t="s">
        <v>522</v>
      </c>
      <c r="K847" s="70" t="s">
        <v>48</v>
      </c>
      <c r="L847" s="74">
        <v>46133</v>
      </c>
    </row>
    <row r="848" spans="1:12" hidden="1" x14ac:dyDescent="0.25">
      <c r="A848" s="70" t="s">
        <v>877</v>
      </c>
      <c r="B848" s="70" t="s">
        <v>2103</v>
      </c>
      <c r="C848" s="70" t="s">
        <v>2104</v>
      </c>
      <c r="D848" s="70">
        <v>1515</v>
      </c>
      <c r="E848" s="70">
        <v>-1</v>
      </c>
      <c r="F848" s="71">
        <v>17.141100000000002</v>
      </c>
      <c r="G848" s="71">
        <v>25.1</v>
      </c>
      <c r="H848" s="71">
        <v>-17.141100000000002</v>
      </c>
      <c r="I848" s="71">
        <v>-25.1</v>
      </c>
      <c r="J848" s="70" t="s">
        <v>522</v>
      </c>
      <c r="K848" s="70" t="s">
        <v>48</v>
      </c>
      <c r="L848" s="74">
        <v>46133</v>
      </c>
    </row>
    <row r="849" spans="1:12" hidden="1" x14ac:dyDescent="0.25">
      <c r="A849" s="70" t="s">
        <v>877</v>
      </c>
      <c r="B849" s="70" t="s">
        <v>2105</v>
      </c>
      <c r="C849" s="70" t="s">
        <v>2106</v>
      </c>
      <c r="D849" s="70">
        <v>1515</v>
      </c>
      <c r="E849" s="70">
        <v>-1</v>
      </c>
      <c r="F849" s="71">
        <v>15.7705</v>
      </c>
      <c r="G849" s="71">
        <v>34.68</v>
      </c>
      <c r="H849" s="71">
        <v>-15.7705</v>
      </c>
      <c r="I849" s="71">
        <v>-34.68</v>
      </c>
      <c r="J849" s="70" t="s">
        <v>522</v>
      </c>
      <c r="K849" s="70" t="s">
        <v>48</v>
      </c>
      <c r="L849" s="74">
        <v>46133</v>
      </c>
    </row>
    <row r="850" spans="1:12" hidden="1" x14ac:dyDescent="0.25">
      <c r="A850" s="70" t="s">
        <v>877</v>
      </c>
      <c r="B850" s="70" t="s">
        <v>2107</v>
      </c>
      <c r="C850" s="70" t="s">
        <v>2108</v>
      </c>
      <c r="D850" s="70">
        <v>1515</v>
      </c>
      <c r="E850" s="70">
        <v>-1</v>
      </c>
      <c r="F850" s="71">
        <v>15.6661</v>
      </c>
      <c r="G850" s="71">
        <v>21.54</v>
      </c>
      <c r="H850" s="71">
        <v>-15.6661</v>
      </c>
      <c r="I850" s="71">
        <v>-21.54</v>
      </c>
      <c r="J850" s="70" t="s">
        <v>522</v>
      </c>
      <c r="K850" s="70" t="s">
        <v>48</v>
      </c>
      <c r="L850" s="74">
        <v>46133</v>
      </c>
    </row>
    <row r="851" spans="1:12" hidden="1" x14ac:dyDescent="0.25">
      <c r="A851" s="70" t="s">
        <v>877</v>
      </c>
      <c r="B851" s="70" t="s">
        <v>2109</v>
      </c>
      <c r="C851" s="70" t="s">
        <v>2110</v>
      </c>
      <c r="D851" s="70">
        <v>1515</v>
      </c>
      <c r="E851" s="70">
        <v>-1</v>
      </c>
      <c r="F851" s="71">
        <v>15.5754</v>
      </c>
      <c r="G851" s="71">
        <v>42</v>
      </c>
      <c r="H851" s="71">
        <v>-15.5754</v>
      </c>
      <c r="I851" s="71">
        <v>-42</v>
      </c>
      <c r="J851" s="70" t="s">
        <v>522</v>
      </c>
      <c r="K851" s="70" t="s">
        <v>48</v>
      </c>
      <c r="L851" s="74">
        <v>46133</v>
      </c>
    </row>
    <row r="852" spans="1:12" hidden="1" x14ac:dyDescent="0.25">
      <c r="A852" s="70" t="s">
        <v>877</v>
      </c>
      <c r="B852" s="70" t="s">
        <v>2111</v>
      </c>
      <c r="C852" s="70" t="s">
        <v>2112</v>
      </c>
      <c r="D852" s="70">
        <v>1515</v>
      </c>
      <c r="E852" s="70">
        <v>-1</v>
      </c>
      <c r="F852" s="71">
        <v>14.1007</v>
      </c>
      <c r="G852" s="71">
        <v>35.97</v>
      </c>
      <c r="H852" s="71">
        <v>-14.1007</v>
      </c>
      <c r="I852" s="71">
        <v>-35.97</v>
      </c>
      <c r="J852" s="70" t="s">
        <v>522</v>
      </c>
      <c r="K852" s="70" t="s">
        <v>48</v>
      </c>
      <c r="L852" s="74">
        <v>46133</v>
      </c>
    </row>
    <row r="853" spans="1:12" hidden="1" x14ac:dyDescent="0.25">
      <c r="A853" s="70" t="s">
        <v>877</v>
      </c>
      <c r="B853" s="70" t="s">
        <v>2113</v>
      </c>
      <c r="C853" s="70" t="s">
        <v>2114</v>
      </c>
      <c r="D853" s="70">
        <v>1515</v>
      </c>
      <c r="E853" s="70">
        <v>-1</v>
      </c>
      <c r="F853" s="71">
        <v>13.2464</v>
      </c>
      <c r="G853" s="71">
        <v>30.68</v>
      </c>
      <c r="H853" s="71">
        <v>-13.2464</v>
      </c>
      <c r="I853" s="71">
        <v>-30.68</v>
      </c>
      <c r="J853" s="70" t="s">
        <v>522</v>
      </c>
      <c r="K853" s="70" t="s">
        <v>48</v>
      </c>
      <c r="L853" s="74">
        <v>46133</v>
      </c>
    </row>
    <row r="854" spans="1:12" hidden="1" x14ac:dyDescent="0.25">
      <c r="A854" s="70" t="s">
        <v>877</v>
      </c>
      <c r="B854" s="70" t="s">
        <v>2115</v>
      </c>
      <c r="C854" s="70" t="s">
        <v>2116</v>
      </c>
      <c r="D854" s="70">
        <v>1515</v>
      </c>
      <c r="E854" s="70">
        <v>-1</v>
      </c>
      <c r="F854" s="71">
        <v>13.119199999999999</v>
      </c>
      <c r="G854" s="71">
        <v>36.08</v>
      </c>
      <c r="H854" s="71">
        <v>-13.119199999999999</v>
      </c>
      <c r="I854" s="71">
        <v>-36.08</v>
      </c>
      <c r="J854" s="70" t="s">
        <v>522</v>
      </c>
      <c r="K854" s="70" t="s">
        <v>48</v>
      </c>
      <c r="L854" s="74">
        <v>46133</v>
      </c>
    </row>
    <row r="855" spans="1:12" hidden="1" x14ac:dyDescent="0.25">
      <c r="A855" s="70" t="s">
        <v>877</v>
      </c>
      <c r="B855" s="70" t="s">
        <v>2117</v>
      </c>
      <c r="C855" s="70" t="s">
        <v>2118</v>
      </c>
      <c r="D855" s="70">
        <v>1515</v>
      </c>
      <c r="E855" s="70">
        <v>-1</v>
      </c>
      <c r="F855" s="71">
        <v>11.871650000000001</v>
      </c>
      <c r="G855" s="71">
        <v>27.57</v>
      </c>
      <c r="H855" s="71">
        <v>-11.871650000000001</v>
      </c>
      <c r="I855" s="71">
        <v>-27.57</v>
      </c>
      <c r="J855" s="70" t="s">
        <v>522</v>
      </c>
      <c r="K855" s="70" t="s">
        <v>48</v>
      </c>
      <c r="L855" s="74">
        <v>46133</v>
      </c>
    </row>
    <row r="856" spans="1:12" hidden="1" x14ac:dyDescent="0.25">
      <c r="A856" s="70" t="s">
        <v>877</v>
      </c>
      <c r="B856" s="70" t="s">
        <v>2119</v>
      </c>
      <c r="C856" s="70" t="s">
        <v>2120</v>
      </c>
      <c r="D856" s="70">
        <v>1515</v>
      </c>
      <c r="E856" s="70">
        <v>-1</v>
      </c>
      <c r="F856" s="71">
        <v>11.3817</v>
      </c>
      <c r="G856" s="71">
        <v>30.69</v>
      </c>
      <c r="H856" s="71">
        <v>-11.3817</v>
      </c>
      <c r="I856" s="71">
        <v>-30.69</v>
      </c>
      <c r="J856" s="70" t="s">
        <v>522</v>
      </c>
      <c r="K856" s="70" t="s">
        <v>48</v>
      </c>
      <c r="L856" s="74">
        <v>46133</v>
      </c>
    </row>
    <row r="857" spans="1:12" hidden="1" x14ac:dyDescent="0.25">
      <c r="A857" s="70" t="s">
        <v>877</v>
      </c>
      <c r="B857" s="70" t="s">
        <v>2121</v>
      </c>
      <c r="C857" s="70" t="s">
        <v>2122</v>
      </c>
      <c r="D857" s="70">
        <v>1515</v>
      </c>
      <c r="E857" s="70">
        <v>-1</v>
      </c>
      <c r="F857" s="71">
        <v>11.3424</v>
      </c>
      <c r="G857" s="71">
        <v>20.74</v>
      </c>
      <c r="H857" s="71">
        <v>-11.3424</v>
      </c>
      <c r="I857" s="71">
        <v>-20.74</v>
      </c>
      <c r="J857" s="70" t="s">
        <v>522</v>
      </c>
      <c r="K857" s="70" t="s">
        <v>48</v>
      </c>
      <c r="L857" s="74">
        <v>46133</v>
      </c>
    </row>
    <row r="858" spans="1:12" hidden="1" x14ac:dyDescent="0.25">
      <c r="A858" s="70" t="s">
        <v>877</v>
      </c>
      <c r="B858" s="70" t="s">
        <v>2123</v>
      </c>
      <c r="C858" s="70" t="s">
        <v>2124</v>
      </c>
      <c r="D858" s="70">
        <v>1515</v>
      </c>
      <c r="E858" s="70">
        <v>-1</v>
      </c>
      <c r="F858" s="71">
        <v>10.790699999999999</v>
      </c>
      <c r="G858" s="71">
        <v>27.34</v>
      </c>
      <c r="H858" s="71">
        <v>-10.790699999999999</v>
      </c>
      <c r="I858" s="71">
        <v>-27.34</v>
      </c>
      <c r="J858" s="70" t="s">
        <v>522</v>
      </c>
      <c r="K858" s="70" t="s">
        <v>48</v>
      </c>
      <c r="L858" s="74">
        <v>46133</v>
      </c>
    </row>
    <row r="859" spans="1:12" hidden="1" x14ac:dyDescent="0.25">
      <c r="A859" s="70" t="s">
        <v>877</v>
      </c>
      <c r="B859" s="70" t="s">
        <v>2125</v>
      </c>
      <c r="C859" s="70" t="s">
        <v>2126</v>
      </c>
      <c r="D859" s="70">
        <v>1515</v>
      </c>
      <c r="E859" s="70">
        <v>-1</v>
      </c>
      <c r="F859" s="71">
        <v>10.783200000000001</v>
      </c>
      <c r="G859" s="71">
        <v>29.08</v>
      </c>
      <c r="H859" s="71">
        <v>-10.783200000000001</v>
      </c>
      <c r="I859" s="71">
        <v>-29.08</v>
      </c>
      <c r="J859" s="70" t="s">
        <v>522</v>
      </c>
      <c r="K859" s="70" t="s">
        <v>48</v>
      </c>
      <c r="L859" s="74">
        <v>46133</v>
      </c>
    </row>
    <row r="860" spans="1:12" hidden="1" x14ac:dyDescent="0.25">
      <c r="A860" s="70" t="s">
        <v>877</v>
      </c>
      <c r="B860" s="70" t="s">
        <v>681</v>
      </c>
      <c r="C860" s="70" t="s">
        <v>2127</v>
      </c>
      <c r="D860" s="70">
        <v>1515</v>
      </c>
      <c r="E860" s="70">
        <v>-1</v>
      </c>
      <c r="F860" s="71">
        <v>10.325100000000001</v>
      </c>
      <c r="G860" s="71">
        <v>21.09</v>
      </c>
      <c r="H860" s="71">
        <v>-10.325100000000001</v>
      </c>
      <c r="I860" s="71">
        <v>-21.09</v>
      </c>
      <c r="J860" s="70" t="s">
        <v>522</v>
      </c>
      <c r="K860" s="70" t="s">
        <v>48</v>
      </c>
      <c r="L860" s="74">
        <v>46133</v>
      </c>
    </row>
    <row r="861" spans="1:12" hidden="1" x14ac:dyDescent="0.25">
      <c r="A861" s="70" t="s">
        <v>877</v>
      </c>
      <c r="B861" s="70" t="s">
        <v>2128</v>
      </c>
      <c r="C861" s="70" t="s">
        <v>2129</v>
      </c>
      <c r="D861" s="70">
        <v>1515</v>
      </c>
      <c r="E861" s="70">
        <v>-6</v>
      </c>
      <c r="F861" s="71">
        <v>1.3833380952381</v>
      </c>
      <c r="G861" s="71">
        <v>2.12</v>
      </c>
      <c r="H861" s="71">
        <v>-8.3000285714285695</v>
      </c>
      <c r="I861" s="71">
        <v>-12.72</v>
      </c>
      <c r="J861" s="70" t="s">
        <v>522</v>
      </c>
      <c r="K861" s="70" t="s">
        <v>48</v>
      </c>
      <c r="L861" s="74">
        <v>46133</v>
      </c>
    </row>
    <row r="862" spans="1:12" hidden="1" x14ac:dyDescent="0.25">
      <c r="A862" s="70" t="s">
        <v>877</v>
      </c>
      <c r="B862" s="70" t="s">
        <v>1925</v>
      </c>
      <c r="C862" s="70" t="s">
        <v>1926</v>
      </c>
      <c r="D862" s="70">
        <v>1515</v>
      </c>
      <c r="E862" s="70">
        <v>-1</v>
      </c>
      <c r="F862" s="71">
        <v>8.0330999999999992</v>
      </c>
      <c r="G862" s="71">
        <v>15.87</v>
      </c>
      <c r="H862" s="71">
        <v>-8.0330999999999992</v>
      </c>
      <c r="I862" s="71">
        <v>-15.87</v>
      </c>
      <c r="J862" s="70" t="s">
        <v>522</v>
      </c>
      <c r="K862" s="70" t="s">
        <v>48</v>
      </c>
      <c r="L862" s="74">
        <v>46133</v>
      </c>
    </row>
    <row r="863" spans="1:12" hidden="1" x14ac:dyDescent="0.25">
      <c r="A863" s="70" t="s">
        <v>877</v>
      </c>
      <c r="B863" s="70" t="s">
        <v>2130</v>
      </c>
      <c r="C863" s="70" t="s">
        <v>2131</v>
      </c>
      <c r="D863" s="70">
        <v>1515</v>
      </c>
      <c r="E863" s="70">
        <v>-1</v>
      </c>
      <c r="F863" s="71">
        <v>7.4966999999999997</v>
      </c>
      <c r="G863" s="71">
        <v>18.989999999999998</v>
      </c>
      <c r="H863" s="71">
        <v>-7.4966999999999997</v>
      </c>
      <c r="I863" s="71">
        <v>-18.989999999999998</v>
      </c>
      <c r="J863" s="70" t="s">
        <v>522</v>
      </c>
      <c r="K863" s="70" t="s">
        <v>48</v>
      </c>
      <c r="L863" s="74">
        <v>46133</v>
      </c>
    </row>
    <row r="864" spans="1:12" hidden="1" x14ac:dyDescent="0.25">
      <c r="A864" s="70" t="s">
        <v>877</v>
      </c>
      <c r="B864" s="70" t="s">
        <v>2132</v>
      </c>
      <c r="C864" s="70" t="s">
        <v>2133</v>
      </c>
      <c r="D864" s="70">
        <v>1515</v>
      </c>
      <c r="E864" s="70">
        <v>-1</v>
      </c>
      <c r="F864" s="71">
        <v>7.3846999999999996</v>
      </c>
      <c r="G864" s="71">
        <v>16.11</v>
      </c>
      <c r="H864" s="71">
        <v>-7.3846999999999996</v>
      </c>
      <c r="I864" s="71">
        <v>-16.11</v>
      </c>
      <c r="J864" s="70" t="s">
        <v>522</v>
      </c>
      <c r="K864" s="70" t="s">
        <v>48</v>
      </c>
      <c r="L864" s="74">
        <v>46133</v>
      </c>
    </row>
    <row r="865" spans="1:12" hidden="1" x14ac:dyDescent="0.25">
      <c r="A865" s="70" t="s">
        <v>877</v>
      </c>
      <c r="B865" s="70" t="s">
        <v>2134</v>
      </c>
      <c r="C865" s="70" t="s">
        <v>2135</v>
      </c>
      <c r="D865" s="70">
        <v>1515</v>
      </c>
      <c r="E865" s="70">
        <v>-1</v>
      </c>
      <c r="F865" s="71">
        <v>7.2352999999999996</v>
      </c>
      <c r="G865" s="71">
        <v>14.52</v>
      </c>
      <c r="H865" s="71">
        <v>-7.2352999999999996</v>
      </c>
      <c r="I865" s="71">
        <v>-14.52</v>
      </c>
      <c r="J865" s="70" t="s">
        <v>522</v>
      </c>
      <c r="K865" s="70" t="s">
        <v>48</v>
      </c>
      <c r="L865" s="74">
        <v>46133</v>
      </c>
    </row>
    <row r="866" spans="1:12" hidden="1" x14ac:dyDescent="0.25">
      <c r="A866" s="70" t="s">
        <v>877</v>
      </c>
      <c r="B866" s="70" t="s">
        <v>2136</v>
      </c>
      <c r="C866" s="70" t="s">
        <v>2137</v>
      </c>
      <c r="D866" s="70">
        <v>1515</v>
      </c>
      <c r="E866" s="70">
        <v>-1</v>
      </c>
      <c r="F866" s="71">
        <v>6.9855</v>
      </c>
      <c r="G866" s="71">
        <v>14.39</v>
      </c>
      <c r="H866" s="71">
        <v>-6.9855</v>
      </c>
      <c r="I866" s="71">
        <v>-14.39</v>
      </c>
      <c r="J866" s="70" t="s">
        <v>522</v>
      </c>
      <c r="K866" s="70" t="s">
        <v>48</v>
      </c>
      <c r="L866" s="74">
        <v>46133</v>
      </c>
    </row>
    <row r="867" spans="1:12" hidden="1" x14ac:dyDescent="0.25">
      <c r="A867" s="70" t="s">
        <v>877</v>
      </c>
      <c r="B867" s="70" t="s">
        <v>2138</v>
      </c>
      <c r="C867" s="70" t="s">
        <v>2139</v>
      </c>
      <c r="D867" s="70">
        <v>1515</v>
      </c>
      <c r="E867" s="70">
        <v>-1</v>
      </c>
      <c r="F867" s="71">
        <v>5.1574</v>
      </c>
      <c r="G867" s="71">
        <v>7.55</v>
      </c>
      <c r="H867" s="71">
        <v>-5.1574</v>
      </c>
      <c r="I867" s="71">
        <v>-7.55</v>
      </c>
      <c r="J867" s="70" t="s">
        <v>522</v>
      </c>
      <c r="K867" s="70" t="s">
        <v>48</v>
      </c>
      <c r="L867" s="74">
        <v>46133</v>
      </c>
    </row>
    <row r="868" spans="1:12" hidden="1" x14ac:dyDescent="0.25">
      <c r="A868" s="70" t="s">
        <v>877</v>
      </c>
      <c r="B868" s="70" t="s">
        <v>905</v>
      </c>
      <c r="C868" s="70" t="s">
        <v>906</v>
      </c>
      <c r="D868" s="70">
        <v>1515</v>
      </c>
      <c r="E868" s="70">
        <v>-1</v>
      </c>
      <c r="F868" s="71">
        <v>5.0355999999999996</v>
      </c>
      <c r="G868" s="71">
        <v>12.98</v>
      </c>
      <c r="H868" s="71">
        <v>-5.0355999999999996</v>
      </c>
      <c r="I868" s="71">
        <v>-12.98</v>
      </c>
      <c r="J868" s="70" t="s">
        <v>522</v>
      </c>
      <c r="K868" s="70" t="s">
        <v>48</v>
      </c>
      <c r="L868" s="74">
        <v>46133</v>
      </c>
    </row>
    <row r="869" spans="1:12" hidden="1" x14ac:dyDescent="0.25">
      <c r="A869" s="70" t="s">
        <v>877</v>
      </c>
      <c r="B869" s="70" t="s">
        <v>2140</v>
      </c>
      <c r="C869" s="70" t="s">
        <v>2141</v>
      </c>
      <c r="D869" s="70">
        <v>1515</v>
      </c>
      <c r="E869" s="70">
        <v>-2</v>
      </c>
      <c r="F869" s="71">
        <v>2.3338000000000001</v>
      </c>
      <c r="G869" s="71">
        <v>5.07</v>
      </c>
      <c r="H869" s="71">
        <v>-4.6676000000000002</v>
      </c>
      <c r="I869" s="71">
        <v>-10.14</v>
      </c>
      <c r="J869" s="70" t="s">
        <v>522</v>
      </c>
      <c r="K869" s="70" t="s">
        <v>48</v>
      </c>
      <c r="L869" s="74">
        <v>46133</v>
      </c>
    </row>
    <row r="870" spans="1:12" hidden="1" x14ac:dyDescent="0.25">
      <c r="A870" s="70" t="s">
        <v>877</v>
      </c>
      <c r="B870" s="70" t="s">
        <v>2142</v>
      </c>
      <c r="C870" s="70" t="s">
        <v>2143</v>
      </c>
      <c r="D870" s="70">
        <v>1515</v>
      </c>
      <c r="E870" s="70">
        <v>-3</v>
      </c>
      <c r="F870" s="71">
        <v>1.3799458333333301</v>
      </c>
      <c r="G870" s="71">
        <v>2.12</v>
      </c>
      <c r="H870" s="71">
        <v>-4.1398374999999996</v>
      </c>
      <c r="I870" s="71">
        <v>-6.36</v>
      </c>
      <c r="J870" s="70" t="s">
        <v>522</v>
      </c>
      <c r="K870" s="70" t="s">
        <v>48</v>
      </c>
      <c r="L870" s="74">
        <v>46133</v>
      </c>
    </row>
    <row r="871" spans="1:12" hidden="1" x14ac:dyDescent="0.25">
      <c r="A871" s="70" t="s">
        <v>877</v>
      </c>
      <c r="B871" s="70" t="s">
        <v>2144</v>
      </c>
      <c r="C871" s="70" t="s">
        <v>2145</v>
      </c>
      <c r="D871" s="70">
        <v>1515</v>
      </c>
      <c r="E871" s="70">
        <v>-1</v>
      </c>
      <c r="F871" s="71">
        <v>4.1378000000000004</v>
      </c>
      <c r="G871" s="71">
        <v>6.39</v>
      </c>
      <c r="H871" s="71">
        <v>-4.1378000000000004</v>
      </c>
      <c r="I871" s="71">
        <v>-6.39</v>
      </c>
      <c r="J871" s="70" t="s">
        <v>522</v>
      </c>
      <c r="K871" s="70" t="s">
        <v>48</v>
      </c>
      <c r="L871" s="74">
        <v>46133</v>
      </c>
    </row>
    <row r="872" spans="1:12" hidden="1" x14ac:dyDescent="0.25">
      <c r="A872" s="70" t="s">
        <v>877</v>
      </c>
      <c r="B872" s="70" t="s">
        <v>2146</v>
      </c>
      <c r="C872" s="70" t="s">
        <v>2147</v>
      </c>
      <c r="D872" s="70">
        <v>1515</v>
      </c>
      <c r="E872" s="70">
        <v>-1</v>
      </c>
      <c r="F872" s="71">
        <v>3.9245999999999999</v>
      </c>
      <c r="G872" s="71">
        <v>12.75</v>
      </c>
      <c r="H872" s="71">
        <v>-3.9245999999999999</v>
      </c>
      <c r="I872" s="71">
        <v>-12.75</v>
      </c>
      <c r="J872" s="70" t="s">
        <v>522</v>
      </c>
      <c r="K872" s="70" t="s">
        <v>48</v>
      </c>
      <c r="L872" s="74">
        <v>46133</v>
      </c>
    </row>
    <row r="873" spans="1:12" hidden="1" x14ac:dyDescent="0.25">
      <c r="A873" s="70" t="s">
        <v>877</v>
      </c>
      <c r="B873" s="70" t="s">
        <v>1122</v>
      </c>
      <c r="C873" s="70" t="s">
        <v>1123</v>
      </c>
      <c r="D873" s="70">
        <v>1515</v>
      </c>
      <c r="E873" s="70">
        <v>-1</v>
      </c>
      <c r="F873" s="71">
        <v>3.8496999999999999</v>
      </c>
      <c r="G873" s="71">
        <v>8.92</v>
      </c>
      <c r="H873" s="71">
        <v>-3.8496999999999999</v>
      </c>
      <c r="I873" s="71">
        <v>-8.92</v>
      </c>
      <c r="J873" s="70" t="s">
        <v>522</v>
      </c>
      <c r="K873" s="70" t="s">
        <v>48</v>
      </c>
      <c r="L873" s="74">
        <v>46133</v>
      </c>
    </row>
    <row r="874" spans="1:12" hidden="1" x14ac:dyDescent="0.25">
      <c r="A874" s="70" t="s">
        <v>877</v>
      </c>
      <c r="B874" s="70" t="s">
        <v>2148</v>
      </c>
      <c r="C874" s="70" t="s">
        <v>2149</v>
      </c>
      <c r="D874" s="70">
        <v>1515</v>
      </c>
      <c r="E874" s="70">
        <v>-1</v>
      </c>
      <c r="F874" s="71">
        <v>3.6846000000000001</v>
      </c>
      <c r="G874" s="71">
        <v>9.02</v>
      </c>
      <c r="H874" s="71">
        <v>-3.6846000000000001</v>
      </c>
      <c r="I874" s="71">
        <v>-9.02</v>
      </c>
      <c r="J874" s="70" t="s">
        <v>522</v>
      </c>
      <c r="K874" s="70" t="s">
        <v>48</v>
      </c>
      <c r="L874" s="74">
        <v>46133</v>
      </c>
    </row>
    <row r="875" spans="1:12" hidden="1" x14ac:dyDescent="0.25">
      <c r="A875" s="70" t="s">
        <v>877</v>
      </c>
      <c r="B875" s="70" t="s">
        <v>2150</v>
      </c>
      <c r="C875" s="70" t="s">
        <v>2151</v>
      </c>
      <c r="D875" s="70">
        <v>1515</v>
      </c>
      <c r="E875" s="70">
        <v>-1</v>
      </c>
      <c r="F875" s="71">
        <v>3.6821999999999999</v>
      </c>
      <c r="G875" s="71">
        <v>5.0599999999999996</v>
      </c>
      <c r="H875" s="71">
        <v>-3.6821999999999999</v>
      </c>
      <c r="I875" s="71">
        <v>-5.0599999999999996</v>
      </c>
      <c r="J875" s="70" t="s">
        <v>522</v>
      </c>
      <c r="K875" s="70" t="s">
        <v>48</v>
      </c>
      <c r="L875" s="74">
        <v>46133</v>
      </c>
    </row>
    <row r="876" spans="1:12" hidden="1" x14ac:dyDescent="0.25">
      <c r="A876" s="70" t="s">
        <v>877</v>
      </c>
      <c r="B876" s="70" t="s">
        <v>741</v>
      </c>
      <c r="C876" s="70" t="s">
        <v>742</v>
      </c>
      <c r="D876" s="70">
        <v>1515</v>
      </c>
      <c r="E876" s="70">
        <v>-1</v>
      </c>
      <c r="F876" s="71">
        <v>3.4921000000000002</v>
      </c>
      <c r="G876" s="71">
        <v>5.41</v>
      </c>
      <c r="H876" s="71">
        <v>-3.4921000000000002</v>
      </c>
      <c r="I876" s="71">
        <v>-5.41</v>
      </c>
      <c r="J876" s="70" t="s">
        <v>522</v>
      </c>
      <c r="K876" s="70" t="s">
        <v>48</v>
      </c>
      <c r="L876" s="74">
        <v>46133</v>
      </c>
    </row>
    <row r="877" spans="1:12" hidden="1" x14ac:dyDescent="0.25">
      <c r="A877" s="70" t="s">
        <v>877</v>
      </c>
      <c r="B877" s="70" t="s">
        <v>1664</v>
      </c>
      <c r="C877" s="70" t="s">
        <v>1665</v>
      </c>
      <c r="D877" s="70">
        <v>1515</v>
      </c>
      <c r="E877" s="70">
        <v>-1</v>
      </c>
      <c r="F877" s="71">
        <v>3.4388999999999998</v>
      </c>
      <c r="G877" s="71">
        <v>8.86</v>
      </c>
      <c r="H877" s="71">
        <v>-3.4388999999999998</v>
      </c>
      <c r="I877" s="71">
        <v>-8.86</v>
      </c>
      <c r="J877" s="70" t="s">
        <v>522</v>
      </c>
      <c r="K877" s="70" t="s">
        <v>48</v>
      </c>
      <c r="L877" s="74">
        <v>46133</v>
      </c>
    </row>
    <row r="878" spans="1:12" hidden="1" x14ac:dyDescent="0.25">
      <c r="A878" s="70" t="s">
        <v>877</v>
      </c>
      <c r="B878" s="70" t="s">
        <v>2152</v>
      </c>
      <c r="C878" s="70" t="s">
        <v>2153</v>
      </c>
      <c r="D878" s="70">
        <v>1515</v>
      </c>
      <c r="E878" s="70">
        <v>-1</v>
      </c>
      <c r="F878" s="71">
        <v>2.9533</v>
      </c>
      <c r="G878" s="71">
        <v>7.48</v>
      </c>
      <c r="H878" s="71">
        <v>-2.9533</v>
      </c>
      <c r="I878" s="71">
        <v>-7.48</v>
      </c>
      <c r="J878" s="70" t="s">
        <v>522</v>
      </c>
      <c r="K878" s="70" t="s">
        <v>48</v>
      </c>
      <c r="L878" s="74">
        <v>46133</v>
      </c>
    </row>
    <row r="879" spans="1:12" hidden="1" x14ac:dyDescent="0.25">
      <c r="A879" s="70" t="s">
        <v>877</v>
      </c>
      <c r="B879" s="70" t="s">
        <v>2154</v>
      </c>
      <c r="C879" s="70" t="s">
        <v>2155</v>
      </c>
      <c r="D879" s="70">
        <v>1515</v>
      </c>
      <c r="E879" s="70">
        <v>-1</v>
      </c>
      <c r="F879" s="71">
        <v>2.5897999999999999</v>
      </c>
      <c r="G879" s="71">
        <v>6.56</v>
      </c>
      <c r="H879" s="71">
        <v>-2.5897999999999999</v>
      </c>
      <c r="I879" s="71">
        <v>-6.56</v>
      </c>
      <c r="J879" s="70" t="s">
        <v>522</v>
      </c>
      <c r="K879" s="70" t="s">
        <v>48</v>
      </c>
      <c r="L879" s="74">
        <v>46133</v>
      </c>
    </row>
    <row r="880" spans="1:12" hidden="1" x14ac:dyDescent="0.25">
      <c r="A880" s="70" t="s">
        <v>877</v>
      </c>
      <c r="B880" s="70" t="s">
        <v>2156</v>
      </c>
      <c r="C880" s="70" t="s">
        <v>2157</v>
      </c>
      <c r="D880" s="70">
        <v>1515</v>
      </c>
      <c r="E880" s="70">
        <v>-1</v>
      </c>
      <c r="F880" s="71">
        <v>2.4483999999999999</v>
      </c>
      <c r="G880" s="71">
        <v>5.19</v>
      </c>
      <c r="H880" s="71">
        <v>-2.4483999999999999</v>
      </c>
      <c r="I880" s="71">
        <v>-5.19</v>
      </c>
      <c r="J880" s="70" t="s">
        <v>522</v>
      </c>
      <c r="K880" s="70" t="s">
        <v>48</v>
      </c>
      <c r="L880" s="74">
        <v>46133</v>
      </c>
    </row>
    <row r="881" spans="1:12" hidden="1" x14ac:dyDescent="0.25">
      <c r="A881" s="70" t="s">
        <v>877</v>
      </c>
      <c r="B881" s="70" t="s">
        <v>2158</v>
      </c>
      <c r="C881" s="70" t="s">
        <v>2159</v>
      </c>
      <c r="D881" s="70">
        <v>1515</v>
      </c>
      <c r="E881" s="70">
        <v>-1</v>
      </c>
      <c r="F881" s="71">
        <v>2.3349000000000002</v>
      </c>
      <c r="G881" s="71">
        <v>5.0999999999999996</v>
      </c>
      <c r="H881" s="71">
        <v>-2.3349000000000002</v>
      </c>
      <c r="I881" s="71">
        <v>-5.0999999999999996</v>
      </c>
      <c r="J881" s="70" t="s">
        <v>522</v>
      </c>
      <c r="K881" s="70" t="s">
        <v>48</v>
      </c>
      <c r="L881" s="74">
        <v>46133</v>
      </c>
    </row>
    <row r="882" spans="1:12" hidden="1" x14ac:dyDescent="0.25">
      <c r="A882" s="70" t="s">
        <v>877</v>
      </c>
      <c r="B882" s="70" t="s">
        <v>2160</v>
      </c>
      <c r="C882" s="70" t="s">
        <v>2161</v>
      </c>
      <c r="D882" s="70">
        <v>1515</v>
      </c>
      <c r="E882" s="70">
        <v>-2</v>
      </c>
      <c r="F882" s="71">
        <v>1.0266</v>
      </c>
      <c r="G882" s="71">
        <v>3.23</v>
      </c>
      <c r="H882" s="71">
        <v>-2.0531999999999999</v>
      </c>
      <c r="I882" s="71">
        <v>-6.46</v>
      </c>
      <c r="J882" s="70" t="s">
        <v>522</v>
      </c>
      <c r="K882" s="70" t="s">
        <v>48</v>
      </c>
      <c r="L882" s="74">
        <v>46133</v>
      </c>
    </row>
    <row r="883" spans="1:12" hidden="1" x14ac:dyDescent="0.25">
      <c r="A883" s="70" t="s">
        <v>877</v>
      </c>
      <c r="B883" s="70" t="s">
        <v>2162</v>
      </c>
      <c r="C883" s="70" t="s">
        <v>2163</v>
      </c>
      <c r="D883" s="70">
        <v>1515</v>
      </c>
      <c r="E883" s="70">
        <v>-4</v>
      </c>
      <c r="F883" s="71">
        <v>0.4914</v>
      </c>
      <c r="G883" s="71">
        <v>1.43</v>
      </c>
      <c r="H883" s="71">
        <v>-1.9656</v>
      </c>
      <c r="I883" s="71">
        <v>-5.72</v>
      </c>
      <c r="J883" s="70" t="s">
        <v>522</v>
      </c>
      <c r="K883" s="70" t="s">
        <v>48</v>
      </c>
      <c r="L883" s="74">
        <v>46133</v>
      </c>
    </row>
    <row r="884" spans="1:12" hidden="1" x14ac:dyDescent="0.25">
      <c r="A884" s="70" t="s">
        <v>877</v>
      </c>
      <c r="B884" s="70" t="s">
        <v>2164</v>
      </c>
      <c r="C884" s="70" t="s">
        <v>2165</v>
      </c>
      <c r="D884" s="70">
        <v>1515</v>
      </c>
      <c r="E884" s="70">
        <v>-1</v>
      </c>
      <c r="F884" s="71">
        <v>1.7739</v>
      </c>
      <c r="G884" s="71">
        <v>3.85</v>
      </c>
      <c r="H884" s="71">
        <v>-1.7739</v>
      </c>
      <c r="I884" s="71">
        <v>-3.85</v>
      </c>
      <c r="J884" s="70" t="s">
        <v>522</v>
      </c>
      <c r="K884" s="70" t="s">
        <v>48</v>
      </c>
      <c r="L884" s="74">
        <v>46133</v>
      </c>
    </row>
    <row r="885" spans="1:12" hidden="1" x14ac:dyDescent="0.25">
      <c r="A885" s="70" t="s">
        <v>877</v>
      </c>
      <c r="B885" s="70" t="s">
        <v>888</v>
      </c>
      <c r="C885" s="70" t="s">
        <v>889</v>
      </c>
      <c r="D885" s="70">
        <v>1515</v>
      </c>
      <c r="E885" s="70">
        <v>-1</v>
      </c>
      <c r="F885" s="71">
        <v>1.2804</v>
      </c>
      <c r="G885" s="71">
        <v>2.78</v>
      </c>
      <c r="H885" s="71">
        <v>-1.2804</v>
      </c>
      <c r="I885" s="71">
        <v>-2.78</v>
      </c>
      <c r="J885" s="70" t="s">
        <v>522</v>
      </c>
      <c r="K885" s="70" t="s">
        <v>48</v>
      </c>
      <c r="L885" s="74">
        <v>46133</v>
      </c>
    </row>
    <row r="886" spans="1:12" hidden="1" x14ac:dyDescent="0.25">
      <c r="A886" s="70" t="s">
        <v>877</v>
      </c>
      <c r="B886" s="70" t="s">
        <v>2166</v>
      </c>
      <c r="C886" s="70" t="s">
        <v>2167</v>
      </c>
      <c r="D886" s="70">
        <v>1515</v>
      </c>
      <c r="E886" s="70">
        <v>-3</v>
      </c>
      <c r="F886" s="71">
        <v>0.41620000000000001</v>
      </c>
      <c r="G886" s="71">
        <v>0.91</v>
      </c>
      <c r="H886" s="71">
        <v>-1.2485999999999999</v>
      </c>
      <c r="I886" s="71">
        <v>-2.73</v>
      </c>
      <c r="J886" s="70" t="s">
        <v>522</v>
      </c>
      <c r="K886" s="70" t="s">
        <v>48</v>
      </c>
      <c r="L886" s="74">
        <v>46133</v>
      </c>
    </row>
    <row r="887" spans="1:12" hidden="1" x14ac:dyDescent="0.25">
      <c r="A887" s="70" t="s">
        <v>877</v>
      </c>
      <c r="B887" s="70" t="s">
        <v>2168</v>
      </c>
      <c r="C887" s="70" t="s">
        <v>2169</v>
      </c>
      <c r="D887" s="70">
        <v>1515</v>
      </c>
      <c r="E887" s="70">
        <v>-4</v>
      </c>
      <c r="F887" s="71">
        <v>0.2457</v>
      </c>
      <c r="G887" s="71">
        <v>0.71</v>
      </c>
      <c r="H887" s="71">
        <v>-0.98280000000000001</v>
      </c>
      <c r="I887" s="71">
        <v>-2.84</v>
      </c>
      <c r="J887" s="70" t="s">
        <v>522</v>
      </c>
      <c r="K887" s="70" t="s">
        <v>48</v>
      </c>
      <c r="L887" s="74">
        <v>46133</v>
      </c>
    </row>
    <row r="888" spans="1:12" hidden="1" x14ac:dyDescent="0.25">
      <c r="A888" s="70" t="s">
        <v>877</v>
      </c>
      <c r="B888" s="70" t="s">
        <v>2170</v>
      </c>
      <c r="C888" s="70" t="s">
        <v>2171</v>
      </c>
      <c r="D888" s="70">
        <v>1515</v>
      </c>
      <c r="E888" s="70">
        <v>-1</v>
      </c>
      <c r="F888" s="71">
        <v>0.93640000000000001</v>
      </c>
      <c r="G888" s="71">
        <v>2.06</v>
      </c>
      <c r="H888" s="71">
        <v>-0.93640000000000001</v>
      </c>
      <c r="I888" s="71">
        <v>-2.06</v>
      </c>
      <c r="J888" s="70" t="s">
        <v>522</v>
      </c>
      <c r="K888" s="70" t="s">
        <v>48</v>
      </c>
      <c r="L888" s="74">
        <v>46133</v>
      </c>
    </row>
    <row r="889" spans="1:12" hidden="1" x14ac:dyDescent="0.25">
      <c r="A889" s="70" t="s">
        <v>877</v>
      </c>
      <c r="B889" s="70" t="s">
        <v>2172</v>
      </c>
      <c r="C889" s="70" t="s">
        <v>2173</v>
      </c>
      <c r="D889" s="70">
        <v>1515</v>
      </c>
      <c r="E889" s="70">
        <v>-4</v>
      </c>
      <c r="F889" s="71">
        <v>0.23319999999999999</v>
      </c>
      <c r="G889" s="71">
        <v>0.49</v>
      </c>
      <c r="H889" s="71">
        <v>-0.93279999999999996</v>
      </c>
      <c r="I889" s="71">
        <v>-1.96</v>
      </c>
      <c r="J889" s="70" t="s">
        <v>522</v>
      </c>
      <c r="K889" s="70" t="s">
        <v>48</v>
      </c>
      <c r="L889" s="74">
        <v>46133</v>
      </c>
    </row>
    <row r="890" spans="1:12" hidden="1" x14ac:dyDescent="0.25">
      <c r="A890" s="70" t="s">
        <v>877</v>
      </c>
      <c r="B890" s="70" t="s">
        <v>2174</v>
      </c>
      <c r="C890" s="70" t="s">
        <v>2175</v>
      </c>
      <c r="D890" s="70">
        <v>1515</v>
      </c>
      <c r="E890" s="70">
        <v>-1</v>
      </c>
      <c r="F890" s="71">
        <v>0.16700000000000001</v>
      </c>
      <c r="G890" s="71">
        <v>0.4</v>
      </c>
      <c r="H890" s="71">
        <v>-0.16700000000000001</v>
      </c>
      <c r="I890" s="71">
        <v>-0.4</v>
      </c>
      <c r="J890" s="70" t="s">
        <v>522</v>
      </c>
      <c r="K890" s="70" t="s">
        <v>48</v>
      </c>
      <c r="L890" s="74">
        <v>46133</v>
      </c>
    </row>
    <row r="891" spans="1:12" hidden="1" x14ac:dyDescent="0.25">
      <c r="A891" s="70" t="s">
        <v>898</v>
      </c>
      <c r="B891" s="70" t="s">
        <v>2176</v>
      </c>
      <c r="C891" s="70" t="s">
        <v>2177</v>
      </c>
      <c r="D891" s="70">
        <v>1515</v>
      </c>
      <c r="E891" s="70">
        <v>1</v>
      </c>
      <c r="F891" s="71">
        <v>588.98</v>
      </c>
      <c r="G891" s="71">
        <v>1323.13</v>
      </c>
      <c r="H891" s="71">
        <v>588.98</v>
      </c>
      <c r="I891" s="71">
        <v>1323.13</v>
      </c>
      <c r="J891" s="70" t="s">
        <v>522</v>
      </c>
      <c r="K891" s="70" t="s">
        <v>48</v>
      </c>
      <c r="L891" s="74">
        <v>46133</v>
      </c>
    </row>
    <row r="892" spans="1:12" hidden="1" x14ac:dyDescent="0.25">
      <c r="A892" s="70" t="s">
        <v>898</v>
      </c>
      <c r="B892" s="70" t="s">
        <v>2178</v>
      </c>
      <c r="C892" s="70" t="s">
        <v>2179</v>
      </c>
      <c r="D892" s="70">
        <v>1515</v>
      </c>
      <c r="E892" s="70">
        <v>1</v>
      </c>
      <c r="F892" s="71">
        <v>236.20140000000001</v>
      </c>
      <c r="G892" s="71">
        <v>345.85</v>
      </c>
      <c r="H892" s="71">
        <v>236.20140000000001</v>
      </c>
      <c r="I892" s="71">
        <v>345.85</v>
      </c>
      <c r="J892" s="70" t="s">
        <v>522</v>
      </c>
      <c r="K892" s="70" t="s">
        <v>48</v>
      </c>
      <c r="L892" s="74">
        <v>46133</v>
      </c>
    </row>
    <row r="893" spans="1:12" hidden="1" x14ac:dyDescent="0.25">
      <c r="A893" s="70" t="s">
        <v>898</v>
      </c>
      <c r="B893" s="70" t="s">
        <v>2180</v>
      </c>
      <c r="C893" s="70" t="s">
        <v>2181</v>
      </c>
      <c r="D893" s="70">
        <v>1515</v>
      </c>
      <c r="E893" s="70">
        <v>1</v>
      </c>
      <c r="F893" s="71">
        <v>136.97219999999999</v>
      </c>
      <c r="G893" s="71">
        <v>207.68</v>
      </c>
      <c r="H893" s="71">
        <v>136.97219999999999</v>
      </c>
      <c r="I893" s="71">
        <v>207.68</v>
      </c>
      <c r="J893" s="70" t="s">
        <v>522</v>
      </c>
      <c r="K893" s="70" t="s">
        <v>48</v>
      </c>
      <c r="L893" s="74">
        <v>46133</v>
      </c>
    </row>
    <row r="894" spans="1:12" hidden="1" x14ac:dyDescent="0.25">
      <c r="A894" s="70" t="s">
        <v>898</v>
      </c>
      <c r="B894" s="70" t="s">
        <v>2182</v>
      </c>
      <c r="C894" s="70" t="s">
        <v>2183</v>
      </c>
      <c r="D894" s="70">
        <v>1515</v>
      </c>
      <c r="E894" s="70">
        <v>1</v>
      </c>
      <c r="F894" s="71">
        <v>46.844099999999997</v>
      </c>
      <c r="G894" s="71">
        <v>99.78</v>
      </c>
      <c r="H894" s="71">
        <v>46.844099999999997</v>
      </c>
      <c r="I894" s="71">
        <v>99.78</v>
      </c>
      <c r="J894" s="70" t="s">
        <v>522</v>
      </c>
      <c r="K894" s="70" t="s">
        <v>48</v>
      </c>
      <c r="L894" s="74">
        <v>46133</v>
      </c>
    </row>
    <row r="895" spans="1:12" hidden="1" x14ac:dyDescent="0.25">
      <c r="A895" s="70" t="s">
        <v>898</v>
      </c>
      <c r="B895" s="70" t="s">
        <v>1074</v>
      </c>
      <c r="C895" s="70" t="s">
        <v>1075</v>
      </c>
      <c r="D895" s="70">
        <v>1515</v>
      </c>
      <c r="E895" s="70">
        <v>1</v>
      </c>
      <c r="F895" s="71">
        <v>47.824199999999998</v>
      </c>
      <c r="G895" s="71">
        <v>68.31</v>
      </c>
      <c r="H895" s="71">
        <v>47.824199999999998</v>
      </c>
      <c r="I895" s="71">
        <v>68.31</v>
      </c>
      <c r="J895" s="70" t="s">
        <v>522</v>
      </c>
      <c r="K895" s="70" t="s">
        <v>48</v>
      </c>
      <c r="L895" s="74">
        <v>46133</v>
      </c>
    </row>
    <row r="896" spans="1:12" hidden="1" x14ac:dyDescent="0.25">
      <c r="A896" s="70" t="s">
        <v>898</v>
      </c>
      <c r="B896" s="70" t="s">
        <v>2184</v>
      </c>
      <c r="C896" s="70" t="s">
        <v>2185</v>
      </c>
      <c r="D896" s="70">
        <v>1515</v>
      </c>
      <c r="E896" s="70">
        <v>7</v>
      </c>
      <c r="F896" s="71">
        <v>3.5373000000000001</v>
      </c>
      <c r="G896" s="71">
        <v>9.1199999999999992</v>
      </c>
      <c r="H896" s="71">
        <v>24.761099999999999</v>
      </c>
      <c r="I896" s="71">
        <v>63.84</v>
      </c>
      <c r="J896" s="70" t="s">
        <v>522</v>
      </c>
      <c r="K896" s="70" t="s">
        <v>48</v>
      </c>
      <c r="L896" s="74">
        <v>46133</v>
      </c>
    </row>
    <row r="897" spans="1:12" hidden="1" x14ac:dyDescent="0.25">
      <c r="A897" s="70" t="s">
        <v>898</v>
      </c>
      <c r="B897" s="70" t="s">
        <v>2186</v>
      </c>
      <c r="C897" s="70" t="s">
        <v>2187</v>
      </c>
      <c r="D897" s="70">
        <v>1515</v>
      </c>
      <c r="E897" s="70">
        <v>1</v>
      </c>
      <c r="F897" s="71">
        <v>28.35</v>
      </c>
      <c r="G897" s="71">
        <v>63.69</v>
      </c>
      <c r="H897" s="71">
        <v>28.35</v>
      </c>
      <c r="I897" s="71">
        <v>63.69</v>
      </c>
      <c r="J897" s="70" t="s">
        <v>522</v>
      </c>
      <c r="K897" s="70" t="s">
        <v>48</v>
      </c>
      <c r="L897" s="74">
        <v>46133</v>
      </c>
    </row>
    <row r="898" spans="1:12" hidden="1" x14ac:dyDescent="0.25">
      <c r="A898" s="70" t="s">
        <v>898</v>
      </c>
      <c r="B898" s="70" t="s">
        <v>2188</v>
      </c>
      <c r="C898" s="70" t="s">
        <v>2189</v>
      </c>
      <c r="D898" s="70">
        <v>1515</v>
      </c>
      <c r="E898" s="70">
        <v>5</v>
      </c>
      <c r="F898" s="71">
        <v>4.7705000000000002</v>
      </c>
      <c r="G898" s="71">
        <v>12.09</v>
      </c>
      <c r="H898" s="71">
        <v>23.852499999999999</v>
      </c>
      <c r="I898" s="71">
        <v>60.45</v>
      </c>
      <c r="J898" s="70" t="s">
        <v>522</v>
      </c>
      <c r="K898" s="70" t="s">
        <v>48</v>
      </c>
      <c r="L898" s="74">
        <v>46133</v>
      </c>
    </row>
    <row r="899" spans="1:12" hidden="1" x14ac:dyDescent="0.25">
      <c r="A899" s="70" t="s">
        <v>898</v>
      </c>
      <c r="B899" s="70" t="s">
        <v>2190</v>
      </c>
      <c r="C899" s="70" t="s">
        <v>2191</v>
      </c>
      <c r="D899" s="70">
        <v>1515</v>
      </c>
      <c r="E899" s="70">
        <v>1</v>
      </c>
      <c r="F899" s="71">
        <v>23.792100000000001</v>
      </c>
      <c r="G899" s="71">
        <v>55.92</v>
      </c>
      <c r="H899" s="71">
        <v>23.792100000000001</v>
      </c>
      <c r="I899" s="71">
        <v>55.92</v>
      </c>
      <c r="J899" s="70" t="s">
        <v>522</v>
      </c>
      <c r="K899" s="70" t="s">
        <v>48</v>
      </c>
      <c r="L899" s="74">
        <v>46133</v>
      </c>
    </row>
    <row r="900" spans="1:12" hidden="1" x14ac:dyDescent="0.25">
      <c r="A900" s="70" t="s">
        <v>898</v>
      </c>
      <c r="B900" s="70" t="s">
        <v>2192</v>
      </c>
      <c r="C900" s="70" t="s">
        <v>2193</v>
      </c>
      <c r="D900" s="70">
        <v>1515</v>
      </c>
      <c r="E900" s="70">
        <v>1</v>
      </c>
      <c r="F900" s="71">
        <v>18.570499999999999</v>
      </c>
      <c r="G900" s="71">
        <v>50.08</v>
      </c>
      <c r="H900" s="71">
        <v>18.570499999999999</v>
      </c>
      <c r="I900" s="71">
        <v>50.08</v>
      </c>
      <c r="J900" s="70" t="s">
        <v>522</v>
      </c>
      <c r="K900" s="70" t="s">
        <v>48</v>
      </c>
      <c r="L900" s="74">
        <v>46133</v>
      </c>
    </row>
    <row r="901" spans="1:12" hidden="1" x14ac:dyDescent="0.25">
      <c r="A901" s="70" t="s">
        <v>898</v>
      </c>
      <c r="B901" s="70" t="s">
        <v>2194</v>
      </c>
      <c r="C901" s="70" t="s">
        <v>2195</v>
      </c>
      <c r="D901" s="70">
        <v>1515</v>
      </c>
      <c r="E901" s="70">
        <v>4</v>
      </c>
      <c r="F901" s="71">
        <v>4.8841999999999999</v>
      </c>
      <c r="G901" s="71">
        <v>12.37</v>
      </c>
      <c r="H901" s="71">
        <v>19.536799999999999</v>
      </c>
      <c r="I901" s="71">
        <v>49.48</v>
      </c>
      <c r="J901" s="70" t="s">
        <v>522</v>
      </c>
      <c r="K901" s="70" t="s">
        <v>48</v>
      </c>
      <c r="L901" s="74">
        <v>46133</v>
      </c>
    </row>
    <row r="902" spans="1:12" hidden="1" x14ac:dyDescent="0.25">
      <c r="A902" s="70" t="s">
        <v>898</v>
      </c>
      <c r="B902" s="70" t="s">
        <v>2196</v>
      </c>
      <c r="C902" s="70" t="s">
        <v>2197</v>
      </c>
      <c r="D902" s="70">
        <v>1515</v>
      </c>
      <c r="E902" s="70">
        <v>2</v>
      </c>
      <c r="F902" s="71">
        <v>9.4276999999999997</v>
      </c>
      <c r="G902" s="71">
        <v>23.89</v>
      </c>
      <c r="H902" s="71">
        <v>18.855399999999999</v>
      </c>
      <c r="I902" s="71">
        <v>47.78</v>
      </c>
      <c r="J902" s="70" t="s">
        <v>522</v>
      </c>
      <c r="K902" s="70" t="s">
        <v>48</v>
      </c>
      <c r="L902" s="74">
        <v>46133</v>
      </c>
    </row>
    <row r="903" spans="1:12" hidden="1" x14ac:dyDescent="0.25">
      <c r="A903" s="70" t="s">
        <v>898</v>
      </c>
      <c r="B903" s="70" t="s">
        <v>2198</v>
      </c>
      <c r="C903" s="70" t="s">
        <v>2199</v>
      </c>
      <c r="D903" s="70">
        <v>1515</v>
      </c>
      <c r="E903" s="70">
        <v>1</v>
      </c>
      <c r="F903" s="71">
        <v>21.650200000000002</v>
      </c>
      <c r="G903" s="71">
        <v>45.77</v>
      </c>
      <c r="H903" s="71">
        <v>21.650200000000002</v>
      </c>
      <c r="I903" s="71">
        <v>45.77</v>
      </c>
      <c r="J903" s="70" t="s">
        <v>522</v>
      </c>
      <c r="K903" s="70" t="s">
        <v>48</v>
      </c>
      <c r="L903" s="74">
        <v>46133</v>
      </c>
    </row>
    <row r="904" spans="1:12" hidden="1" x14ac:dyDescent="0.25">
      <c r="A904" s="70" t="s">
        <v>898</v>
      </c>
      <c r="B904" s="70" t="s">
        <v>2200</v>
      </c>
      <c r="C904" s="70" t="s">
        <v>2201</v>
      </c>
      <c r="D904" s="70">
        <v>1515</v>
      </c>
      <c r="E904" s="70">
        <v>3</v>
      </c>
      <c r="F904" s="71">
        <v>6.03</v>
      </c>
      <c r="G904" s="71">
        <v>14.26</v>
      </c>
      <c r="H904" s="71">
        <v>18.09</v>
      </c>
      <c r="I904" s="71">
        <v>42.78</v>
      </c>
      <c r="J904" s="70" t="s">
        <v>522</v>
      </c>
      <c r="K904" s="70" t="s">
        <v>48</v>
      </c>
      <c r="L904" s="74">
        <v>46133</v>
      </c>
    </row>
    <row r="905" spans="1:12" hidden="1" x14ac:dyDescent="0.25">
      <c r="A905" s="70" t="s">
        <v>898</v>
      </c>
      <c r="B905" s="70" t="s">
        <v>2202</v>
      </c>
      <c r="C905" s="70" t="s">
        <v>2203</v>
      </c>
      <c r="D905" s="70">
        <v>1515</v>
      </c>
      <c r="E905" s="70">
        <v>1</v>
      </c>
      <c r="F905" s="71">
        <v>29.059899999999999</v>
      </c>
      <c r="G905" s="71">
        <v>42.08</v>
      </c>
      <c r="H905" s="71">
        <v>29.059899999999999</v>
      </c>
      <c r="I905" s="71">
        <v>42.08</v>
      </c>
      <c r="J905" s="70" t="s">
        <v>522</v>
      </c>
      <c r="K905" s="70" t="s">
        <v>48</v>
      </c>
      <c r="L905" s="74">
        <v>46133</v>
      </c>
    </row>
    <row r="906" spans="1:12" hidden="1" x14ac:dyDescent="0.25">
      <c r="A906" s="70" t="s">
        <v>898</v>
      </c>
      <c r="B906" s="70" t="s">
        <v>2204</v>
      </c>
      <c r="C906" s="70" t="s">
        <v>2205</v>
      </c>
      <c r="D906" s="70">
        <v>1515</v>
      </c>
      <c r="E906" s="70">
        <v>1</v>
      </c>
      <c r="F906" s="71">
        <v>29.999199999999998</v>
      </c>
      <c r="G906" s="71">
        <v>41.25</v>
      </c>
      <c r="H906" s="71">
        <v>29.999199999999998</v>
      </c>
      <c r="I906" s="71">
        <v>41.25</v>
      </c>
      <c r="J906" s="70" t="s">
        <v>522</v>
      </c>
      <c r="K906" s="70" t="s">
        <v>48</v>
      </c>
      <c r="L906" s="74">
        <v>46133</v>
      </c>
    </row>
    <row r="907" spans="1:12" hidden="1" x14ac:dyDescent="0.25">
      <c r="A907" s="70" t="s">
        <v>898</v>
      </c>
      <c r="B907" s="70" t="s">
        <v>784</v>
      </c>
      <c r="C907" s="70" t="s">
        <v>1655</v>
      </c>
      <c r="D907" s="70">
        <v>1515</v>
      </c>
      <c r="E907" s="70">
        <v>1</v>
      </c>
      <c r="F907" s="71">
        <v>27.602799999999998</v>
      </c>
      <c r="G907" s="71">
        <v>37.950000000000003</v>
      </c>
      <c r="H907" s="71">
        <v>27.602799999999998</v>
      </c>
      <c r="I907" s="71">
        <v>37.950000000000003</v>
      </c>
      <c r="J907" s="70" t="s">
        <v>522</v>
      </c>
      <c r="K907" s="70" t="s">
        <v>48</v>
      </c>
      <c r="L907" s="74">
        <v>46133</v>
      </c>
    </row>
    <row r="908" spans="1:12" hidden="1" x14ac:dyDescent="0.25">
      <c r="A908" s="70" t="s">
        <v>898</v>
      </c>
      <c r="B908" s="70" t="s">
        <v>810</v>
      </c>
      <c r="C908" s="70" t="s">
        <v>2206</v>
      </c>
      <c r="D908" s="70">
        <v>1515</v>
      </c>
      <c r="E908" s="70">
        <v>10</v>
      </c>
      <c r="F908" s="71">
        <v>2.2999999999999998</v>
      </c>
      <c r="G908" s="71">
        <v>3.78</v>
      </c>
      <c r="H908" s="71">
        <v>23</v>
      </c>
      <c r="I908" s="71">
        <v>37.799999999999997</v>
      </c>
      <c r="J908" s="70" t="s">
        <v>522</v>
      </c>
      <c r="K908" s="70" t="s">
        <v>48</v>
      </c>
      <c r="L908" s="74">
        <v>46133</v>
      </c>
    </row>
    <row r="909" spans="1:12" hidden="1" x14ac:dyDescent="0.25">
      <c r="A909" s="70" t="s">
        <v>898</v>
      </c>
      <c r="B909" s="70" t="s">
        <v>2207</v>
      </c>
      <c r="C909" s="70" t="s">
        <v>2208</v>
      </c>
      <c r="D909" s="70">
        <v>1515</v>
      </c>
      <c r="E909" s="70">
        <v>1</v>
      </c>
      <c r="F909" s="71">
        <v>16.429200000000002</v>
      </c>
      <c r="G909" s="71">
        <v>35.89</v>
      </c>
      <c r="H909" s="71">
        <v>16.429200000000002</v>
      </c>
      <c r="I909" s="71">
        <v>35.89</v>
      </c>
      <c r="J909" s="70" t="s">
        <v>522</v>
      </c>
      <c r="K909" s="70" t="s">
        <v>48</v>
      </c>
      <c r="L909" s="74">
        <v>46133</v>
      </c>
    </row>
    <row r="910" spans="1:12" hidden="1" x14ac:dyDescent="0.25">
      <c r="A910" s="70" t="s">
        <v>898</v>
      </c>
      <c r="B910" s="70" t="s">
        <v>2209</v>
      </c>
      <c r="C910" s="70" t="s">
        <v>2210</v>
      </c>
      <c r="D910" s="70">
        <v>1515</v>
      </c>
      <c r="E910" s="70">
        <v>1</v>
      </c>
      <c r="F910" s="71">
        <v>16.011199999999999</v>
      </c>
      <c r="G910" s="71">
        <v>35.549999999999997</v>
      </c>
      <c r="H910" s="71">
        <v>16.011199999999999</v>
      </c>
      <c r="I910" s="71">
        <v>35.549999999999997</v>
      </c>
      <c r="J910" s="70" t="s">
        <v>522</v>
      </c>
      <c r="K910" s="70" t="s">
        <v>48</v>
      </c>
      <c r="L910" s="74">
        <v>46133</v>
      </c>
    </row>
    <row r="911" spans="1:12" hidden="1" x14ac:dyDescent="0.25">
      <c r="A911" s="70" t="s">
        <v>898</v>
      </c>
      <c r="B911" s="70" t="s">
        <v>2211</v>
      </c>
      <c r="C911" s="70" t="s">
        <v>2212</v>
      </c>
      <c r="D911" s="70">
        <v>1515</v>
      </c>
      <c r="E911" s="70">
        <v>1</v>
      </c>
      <c r="F911" s="71">
        <v>17.611699999999999</v>
      </c>
      <c r="G911" s="71">
        <v>35.46</v>
      </c>
      <c r="H911" s="71">
        <v>17.611699999999999</v>
      </c>
      <c r="I911" s="71">
        <v>35.46</v>
      </c>
      <c r="J911" s="70" t="s">
        <v>522</v>
      </c>
      <c r="K911" s="70" t="s">
        <v>48</v>
      </c>
      <c r="L911" s="74">
        <v>46133</v>
      </c>
    </row>
    <row r="912" spans="1:12" hidden="1" x14ac:dyDescent="0.25">
      <c r="A912" s="70" t="s">
        <v>898</v>
      </c>
      <c r="B912" s="70" t="s">
        <v>2213</v>
      </c>
      <c r="C912" s="70" t="s">
        <v>2214</v>
      </c>
      <c r="D912" s="70">
        <v>1515</v>
      </c>
      <c r="E912" s="70">
        <v>1</v>
      </c>
      <c r="F912" s="71">
        <v>22.482800000000001</v>
      </c>
      <c r="G912" s="71">
        <v>34.72</v>
      </c>
      <c r="H912" s="71">
        <v>22.482800000000001</v>
      </c>
      <c r="I912" s="71">
        <v>34.72</v>
      </c>
      <c r="J912" s="70" t="s">
        <v>522</v>
      </c>
      <c r="K912" s="70" t="s">
        <v>48</v>
      </c>
      <c r="L912" s="74">
        <v>46133</v>
      </c>
    </row>
    <row r="913" spans="1:12" hidden="1" x14ac:dyDescent="0.25">
      <c r="A913" s="70" t="s">
        <v>898</v>
      </c>
      <c r="B913" s="70" t="s">
        <v>2215</v>
      </c>
      <c r="C913" s="70" t="s">
        <v>2216</v>
      </c>
      <c r="D913" s="70">
        <v>1515</v>
      </c>
      <c r="E913" s="70">
        <v>1</v>
      </c>
      <c r="F913" s="71">
        <v>15.7705</v>
      </c>
      <c r="G913" s="71">
        <v>34.68</v>
      </c>
      <c r="H913" s="71">
        <v>15.7705</v>
      </c>
      <c r="I913" s="71">
        <v>34.68</v>
      </c>
      <c r="J913" s="70" t="s">
        <v>522</v>
      </c>
      <c r="K913" s="70" t="s">
        <v>48</v>
      </c>
      <c r="L913" s="74">
        <v>46133</v>
      </c>
    </row>
    <row r="914" spans="1:12" hidden="1" x14ac:dyDescent="0.25">
      <c r="A914" s="70" t="s">
        <v>898</v>
      </c>
      <c r="B914" s="70" t="s">
        <v>2217</v>
      </c>
      <c r="C914" s="70" t="s">
        <v>2218</v>
      </c>
      <c r="D914" s="70">
        <v>1515</v>
      </c>
      <c r="E914" s="70">
        <v>1</v>
      </c>
      <c r="F914" s="71">
        <v>13.7113</v>
      </c>
      <c r="G914" s="71">
        <v>34.44</v>
      </c>
      <c r="H914" s="71">
        <v>13.7113</v>
      </c>
      <c r="I914" s="71">
        <v>34.44</v>
      </c>
      <c r="J914" s="70" t="s">
        <v>522</v>
      </c>
      <c r="K914" s="70" t="s">
        <v>48</v>
      </c>
      <c r="L914" s="74">
        <v>46133</v>
      </c>
    </row>
    <row r="915" spans="1:12" hidden="1" x14ac:dyDescent="0.25">
      <c r="A915" s="70" t="s">
        <v>898</v>
      </c>
      <c r="B915" s="70" t="s">
        <v>2219</v>
      </c>
      <c r="C915" s="70" t="s">
        <v>2220</v>
      </c>
      <c r="D915" s="70">
        <v>1515</v>
      </c>
      <c r="E915" s="70">
        <v>1</v>
      </c>
      <c r="F915" s="71">
        <v>16.134699999999999</v>
      </c>
      <c r="G915" s="71">
        <v>34.19</v>
      </c>
      <c r="H915" s="71">
        <v>16.134699999999999</v>
      </c>
      <c r="I915" s="71">
        <v>34.19</v>
      </c>
      <c r="J915" s="70" t="s">
        <v>522</v>
      </c>
      <c r="K915" s="70" t="s">
        <v>48</v>
      </c>
      <c r="L915" s="74">
        <v>46133</v>
      </c>
    </row>
    <row r="916" spans="1:12" hidden="1" x14ac:dyDescent="0.25">
      <c r="A916" s="70" t="s">
        <v>898</v>
      </c>
      <c r="B916" s="70" t="s">
        <v>2221</v>
      </c>
      <c r="C916" s="70" t="s">
        <v>2222</v>
      </c>
      <c r="D916" s="70">
        <v>1515</v>
      </c>
      <c r="E916" s="70">
        <v>1</v>
      </c>
      <c r="F916" s="71">
        <v>16.120100000000001</v>
      </c>
      <c r="G916" s="71">
        <v>34.08</v>
      </c>
      <c r="H916" s="71">
        <v>16.120100000000001</v>
      </c>
      <c r="I916" s="71">
        <v>34.08</v>
      </c>
      <c r="J916" s="70" t="s">
        <v>522</v>
      </c>
      <c r="K916" s="70" t="s">
        <v>48</v>
      </c>
      <c r="L916" s="74">
        <v>46133</v>
      </c>
    </row>
    <row r="917" spans="1:12" hidden="1" x14ac:dyDescent="0.25">
      <c r="A917" s="70" t="s">
        <v>898</v>
      </c>
      <c r="B917" s="70" t="s">
        <v>2223</v>
      </c>
      <c r="C917" s="70" t="s">
        <v>2224</v>
      </c>
      <c r="D917" s="70">
        <v>1515</v>
      </c>
      <c r="E917" s="70">
        <v>1</v>
      </c>
      <c r="F917" s="71">
        <v>13.0814</v>
      </c>
      <c r="G917" s="71">
        <v>33.19</v>
      </c>
      <c r="H917" s="71">
        <v>13.0814</v>
      </c>
      <c r="I917" s="71">
        <v>33.19</v>
      </c>
      <c r="J917" s="70" t="s">
        <v>522</v>
      </c>
      <c r="K917" s="70" t="s">
        <v>48</v>
      </c>
      <c r="L917" s="74">
        <v>46133</v>
      </c>
    </row>
    <row r="918" spans="1:12" hidden="1" x14ac:dyDescent="0.25">
      <c r="A918" s="70" t="s">
        <v>898</v>
      </c>
      <c r="B918" s="70" t="s">
        <v>2225</v>
      </c>
      <c r="C918" s="70" t="s">
        <v>2226</v>
      </c>
      <c r="D918" s="70">
        <v>1515</v>
      </c>
      <c r="E918" s="70">
        <v>2</v>
      </c>
      <c r="F918" s="71">
        <v>6.9706999999999999</v>
      </c>
      <c r="G918" s="71">
        <v>15.25</v>
      </c>
      <c r="H918" s="71">
        <v>13.9414</v>
      </c>
      <c r="I918" s="71">
        <v>30.5</v>
      </c>
      <c r="J918" s="70" t="s">
        <v>522</v>
      </c>
      <c r="K918" s="70" t="s">
        <v>48</v>
      </c>
      <c r="L918" s="74">
        <v>46133</v>
      </c>
    </row>
    <row r="919" spans="1:12" hidden="1" x14ac:dyDescent="0.25">
      <c r="A919" s="70" t="s">
        <v>898</v>
      </c>
      <c r="B919" s="70" t="s">
        <v>2227</v>
      </c>
      <c r="C919" s="70" t="s">
        <v>2228</v>
      </c>
      <c r="D919" s="70">
        <v>1515</v>
      </c>
      <c r="E919" s="70">
        <v>1</v>
      </c>
      <c r="F919" s="71">
        <v>11.472200000000001</v>
      </c>
      <c r="G919" s="71">
        <v>29.07</v>
      </c>
      <c r="H919" s="71">
        <v>11.472200000000001</v>
      </c>
      <c r="I919" s="71">
        <v>29.07</v>
      </c>
      <c r="J919" s="70" t="s">
        <v>522</v>
      </c>
      <c r="K919" s="70" t="s">
        <v>48</v>
      </c>
      <c r="L919" s="74">
        <v>46133</v>
      </c>
    </row>
    <row r="920" spans="1:12" hidden="1" x14ac:dyDescent="0.25">
      <c r="A920" s="70" t="s">
        <v>898</v>
      </c>
      <c r="B920" s="70" t="s">
        <v>2229</v>
      </c>
      <c r="C920" s="70" t="s">
        <v>2230</v>
      </c>
      <c r="D920" s="70">
        <v>1515</v>
      </c>
      <c r="E920" s="70">
        <v>1</v>
      </c>
      <c r="F920" s="71">
        <v>12.960800000000001</v>
      </c>
      <c r="G920" s="71">
        <v>28.95</v>
      </c>
      <c r="H920" s="71">
        <v>12.960800000000001</v>
      </c>
      <c r="I920" s="71">
        <v>28.95</v>
      </c>
      <c r="J920" s="70" t="s">
        <v>522</v>
      </c>
      <c r="K920" s="70" t="s">
        <v>48</v>
      </c>
      <c r="L920" s="74">
        <v>46133</v>
      </c>
    </row>
    <row r="921" spans="1:12" hidden="1" x14ac:dyDescent="0.25">
      <c r="A921" s="70" t="s">
        <v>898</v>
      </c>
      <c r="B921" s="70" t="s">
        <v>2231</v>
      </c>
      <c r="C921" s="70" t="s">
        <v>2232</v>
      </c>
      <c r="D921" s="70">
        <v>1515</v>
      </c>
      <c r="E921" s="70">
        <v>1</v>
      </c>
      <c r="F921" s="71">
        <v>17.5</v>
      </c>
      <c r="G921" s="71">
        <v>28.75</v>
      </c>
      <c r="H921" s="71">
        <v>17.5</v>
      </c>
      <c r="I921" s="71">
        <v>28.75</v>
      </c>
      <c r="J921" s="70" t="s">
        <v>522</v>
      </c>
      <c r="K921" s="70" t="s">
        <v>48</v>
      </c>
      <c r="L921" s="74">
        <v>46133</v>
      </c>
    </row>
    <row r="922" spans="1:12" hidden="1" x14ac:dyDescent="0.25">
      <c r="A922" s="70" t="s">
        <v>898</v>
      </c>
      <c r="B922" s="70" t="s">
        <v>2233</v>
      </c>
      <c r="C922" s="70" t="s">
        <v>2234</v>
      </c>
      <c r="D922" s="70">
        <v>1515</v>
      </c>
      <c r="E922" s="70">
        <v>5</v>
      </c>
      <c r="F922" s="71">
        <v>2.6011000000000002</v>
      </c>
      <c r="G922" s="71">
        <v>5.72</v>
      </c>
      <c r="H922" s="71">
        <v>13.0055</v>
      </c>
      <c r="I922" s="71">
        <v>28.6</v>
      </c>
      <c r="J922" s="70" t="s">
        <v>522</v>
      </c>
      <c r="K922" s="70" t="s">
        <v>48</v>
      </c>
      <c r="L922" s="74">
        <v>46133</v>
      </c>
    </row>
    <row r="923" spans="1:12" hidden="1" x14ac:dyDescent="0.25">
      <c r="A923" s="70" t="s">
        <v>898</v>
      </c>
      <c r="B923" s="70" t="s">
        <v>2235</v>
      </c>
      <c r="C923" s="70" t="s">
        <v>2236</v>
      </c>
      <c r="D923" s="70">
        <v>1515</v>
      </c>
      <c r="E923" s="70">
        <v>1</v>
      </c>
      <c r="F923" s="71">
        <v>19.38</v>
      </c>
      <c r="G923" s="71">
        <v>28.38</v>
      </c>
      <c r="H923" s="71">
        <v>19.38</v>
      </c>
      <c r="I923" s="71">
        <v>28.38</v>
      </c>
      <c r="J923" s="70" t="s">
        <v>522</v>
      </c>
      <c r="K923" s="70" t="s">
        <v>48</v>
      </c>
      <c r="L923" s="74">
        <v>46133</v>
      </c>
    </row>
    <row r="924" spans="1:12" hidden="1" x14ac:dyDescent="0.25">
      <c r="A924" s="70" t="s">
        <v>898</v>
      </c>
      <c r="B924" s="70" t="s">
        <v>2237</v>
      </c>
      <c r="C924" s="70" t="s">
        <v>2238</v>
      </c>
      <c r="D924" s="70">
        <v>1515</v>
      </c>
      <c r="E924" s="70">
        <v>1</v>
      </c>
      <c r="F924" s="71">
        <v>12.2514</v>
      </c>
      <c r="G924" s="71">
        <v>26.8</v>
      </c>
      <c r="H924" s="71">
        <v>12.2514</v>
      </c>
      <c r="I924" s="71">
        <v>26.8</v>
      </c>
      <c r="J924" s="70" t="s">
        <v>522</v>
      </c>
      <c r="K924" s="70" t="s">
        <v>48</v>
      </c>
      <c r="L924" s="74">
        <v>46133</v>
      </c>
    </row>
    <row r="925" spans="1:12" hidden="1" x14ac:dyDescent="0.25">
      <c r="A925" s="70" t="s">
        <v>898</v>
      </c>
      <c r="B925" s="70" t="s">
        <v>2239</v>
      </c>
      <c r="C925" s="70" t="s">
        <v>2240</v>
      </c>
      <c r="D925" s="70">
        <v>1515</v>
      </c>
      <c r="E925" s="70">
        <v>1</v>
      </c>
      <c r="F925" s="71">
        <v>11.8566</v>
      </c>
      <c r="G925" s="71">
        <v>25.13</v>
      </c>
      <c r="H925" s="71">
        <v>11.8566</v>
      </c>
      <c r="I925" s="71">
        <v>25.13</v>
      </c>
      <c r="J925" s="70" t="s">
        <v>522</v>
      </c>
      <c r="K925" s="70" t="s">
        <v>48</v>
      </c>
      <c r="L925" s="74">
        <v>46133</v>
      </c>
    </row>
    <row r="926" spans="1:12" hidden="1" x14ac:dyDescent="0.25">
      <c r="A926" s="70" t="s">
        <v>898</v>
      </c>
      <c r="B926" s="70" t="s">
        <v>1658</v>
      </c>
      <c r="C926" s="70" t="s">
        <v>1659</v>
      </c>
      <c r="D926" s="70">
        <v>1515</v>
      </c>
      <c r="E926" s="70">
        <v>6</v>
      </c>
      <c r="F926" s="71">
        <v>1.2334000000000001</v>
      </c>
      <c r="G926" s="71">
        <v>3.89</v>
      </c>
      <c r="H926" s="71">
        <v>7.4004000000000003</v>
      </c>
      <c r="I926" s="71">
        <v>23.34</v>
      </c>
      <c r="J926" s="70" t="s">
        <v>522</v>
      </c>
      <c r="K926" s="70" t="s">
        <v>48</v>
      </c>
      <c r="L926" s="74">
        <v>46133</v>
      </c>
    </row>
    <row r="927" spans="1:12" hidden="1" x14ac:dyDescent="0.25">
      <c r="A927" s="70" t="s">
        <v>898</v>
      </c>
      <c r="B927" s="70" t="s">
        <v>2241</v>
      </c>
      <c r="C927" s="70" t="s">
        <v>2242</v>
      </c>
      <c r="D927" s="70">
        <v>1515</v>
      </c>
      <c r="E927" s="70">
        <v>1</v>
      </c>
      <c r="F927" s="71">
        <v>7.1531000000000002</v>
      </c>
      <c r="G927" s="71">
        <v>22.59</v>
      </c>
      <c r="H927" s="71">
        <v>7.1531000000000002</v>
      </c>
      <c r="I927" s="71">
        <v>22.59</v>
      </c>
      <c r="J927" s="70" t="s">
        <v>522</v>
      </c>
      <c r="K927" s="70" t="s">
        <v>48</v>
      </c>
      <c r="L927" s="74">
        <v>46133</v>
      </c>
    </row>
    <row r="928" spans="1:12" hidden="1" x14ac:dyDescent="0.25">
      <c r="A928" s="70" t="s">
        <v>898</v>
      </c>
      <c r="B928" s="70" t="s">
        <v>862</v>
      </c>
      <c r="C928" s="70" t="s">
        <v>863</v>
      </c>
      <c r="D928" s="70">
        <v>1515</v>
      </c>
      <c r="E928" s="70">
        <v>1</v>
      </c>
      <c r="F928" s="71">
        <v>9.0748999999999995</v>
      </c>
      <c r="G928" s="71">
        <v>22.46</v>
      </c>
      <c r="H928" s="71">
        <v>9.0748999999999995</v>
      </c>
      <c r="I928" s="71">
        <v>22.46</v>
      </c>
      <c r="J928" s="70" t="s">
        <v>522</v>
      </c>
      <c r="K928" s="70" t="s">
        <v>48</v>
      </c>
      <c r="L928" s="74">
        <v>46133</v>
      </c>
    </row>
    <row r="929" spans="1:12" hidden="1" x14ac:dyDescent="0.25">
      <c r="A929" s="70" t="s">
        <v>898</v>
      </c>
      <c r="B929" s="70" t="s">
        <v>1795</v>
      </c>
      <c r="C929" s="70" t="s">
        <v>1796</v>
      </c>
      <c r="D929" s="70">
        <v>1515</v>
      </c>
      <c r="E929" s="70">
        <v>2</v>
      </c>
      <c r="F929" s="71">
        <v>7.12805</v>
      </c>
      <c r="G929" s="71">
        <v>10.83</v>
      </c>
      <c r="H929" s="71">
        <v>14.2561</v>
      </c>
      <c r="I929" s="71">
        <v>21.66</v>
      </c>
      <c r="J929" s="70" t="s">
        <v>522</v>
      </c>
      <c r="K929" s="70" t="s">
        <v>48</v>
      </c>
      <c r="L929" s="74">
        <v>46133</v>
      </c>
    </row>
    <row r="930" spans="1:12" hidden="1" x14ac:dyDescent="0.25">
      <c r="A930" s="70" t="s">
        <v>898</v>
      </c>
      <c r="B930" s="70" t="s">
        <v>2243</v>
      </c>
      <c r="C930" s="70" t="s">
        <v>2244</v>
      </c>
      <c r="D930" s="70">
        <v>1515</v>
      </c>
      <c r="E930" s="70">
        <v>1</v>
      </c>
      <c r="F930" s="71">
        <v>15.7431</v>
      </c>
      <c r="G930" s="71">
        <v>21.65</v>
      </c>
      <c r="H930" s="71">
        <v>15.7431</v>
      </c>
      <c r="I930" s="71">
        <v>21.65</v>
      </c>
      <c r="J930" s="70" t="s">
        <v>522</v>
      </c>
      <c r="K930" s="70" t="s">
        <v>48</v>
      </c>
      <c r="L930" s="74">
        <v>46133</v>
      </c>
    </row>
    <row r="931" spans="1:12" hidden="1" x14ac:dyDescent="0.25">
      <c r="A931" s="70" t="s">
        <v>898</v>
      </c>
      <c r="B931" s="70" t="s">
        <v>2245</v>
      </c>
      <c r="C931" s="70" t="s">
        <v>2246</v>
      </c>
      <c r="D931" s="70">
        <v>1515</v>
      </c>
      <c r="E931" s="70">
        <v>1</v>
      </c>
      <c r="F931" s="71">
        <v>5.9878</v>
      </c>
      <c r="G931" s="71">
        <v>18.3</v>
      </c>
      <c r="H931" s="71">
        <v>5.9878</v>
      </c>
      <c r="I931" s="71">
        <v>18.3</v>
      </c>
      <c r="J931" s="70" t="s">
        <v>522</v>
      </c>
      <c r="K931" s="70" t="s">
        <v>48</v>
      </c>
      <c r="L931" s="74">
        <v>46133</v>
      </c>
    </row>
    <row r="932" spans="1:12" hidden="1" x14ac:dyDescent="0.25">
      <c r="A932" s="70" t="s">
        <v>898</v>
      </c>
      <c r="B932" s="70" t="s">
        <v>2247</v>
      </c>
      <c r="C932" s="70" t="s">
        <v>2248</v>
      </c>
      <c r="D932" s="70">
        <v>1515</v>
      </c>
      <c r="E932" s="70">
        <v>2</v>
      </c>
      <c r="F932" s="71">
        <v>5.2397</v>
      </c>
      <c r="G932" s="71">
        <v>8.44</v>
      </c>
      <c r="H932" s="71">
        <v>10.4794</v>
      </c>
      <c r="I932" s="71">
        <v>16.88</v>
      </c>
      <c r="J932" s="70" t="s">
        <v>522</v>
      </c>
      <c r="K932" s="70" t="s">
        <v>48</v>
      </c>
      <c r="L932" s="74">
        <v>46133</v>
      </c>
    </row>
    <row r="933" spans="1:12" hidden="1" x14ac:dyDescent="0.25">
      <c r="A933" s="70" t="s">
        <v>898</v>
      </c>
      <c r="B933" s="70" t="s">
        <v>2249</v>
      </c>
      <c r="C933" s="70" t="s">
        <v>2250</v>
      </c>
      <c r="D933" s="70">
        <v>1515</v>
      </c>
      <c r="E933" s="70">
        <v>2</v>
      </c>
      <c r="F933" s="71">
        <v>5.1570999999999998</v>
      </c>
      <c r="G933" s="71">
        <v>7.55</v>
      </c>
      <c r="H933" s="71">
        <v>10.3142</v>
      </c>
      <c r="I933" s="71">
        <v>15.1</v>
      </c>
      <c r="J933" s="70" t="s">
        <v>522</v>
      </c>
      <c r="K933" s="70" t="s">
        <v>48</v>
      </c>
      <c r="L933" s="74">
        <v>46133</v>
      </c>
    </row>
    <row r="934" spans="1:12" hidden="1" x14ac:dyDescent="0.25">
      <c r="A934" s="70" t="s">
        <v>898</v>
      </c>
      <c r="B934" s="70" t="s">
        <v>2251</v>
      </c>
      <c r="C934" s="70" t="s">
        <v>2252</v>
      </c>
      <c r="D934" s="70">
        <v>1515</v>
      </c>
      <c r="E934" s="70">
        <v>1</v>
      </c>
      <c r="F934" s="71">
        <v>9.8787000000000003</v>
      </c>
      <c r="G934" s="71">
        <v>14.47</v>
      </c>
      <c r="H934" s="71">
        <v>9.8787000000000003</v>
      </c>
      <c r="I934" s="71">
        <v>14.47</v>
      </c>
      <c r="J934" s="70" t="s">
        <v>522</v>
      </c>
      <c r="K934" s="70" t="s">
        <v>48</v>
      </c>
      <c r="L934" s="74">
        <v>46133</v>
      </c>
    </row>
    <row r="935" spans="1:12" hidden="1" x14ac:dyDescent="0.25">
      <c r="A935" s="70" t="s">
        <v>898</v>
      </c>
      <c r="B935" s="70" t="s">
        <v>2253</v>
      </c>
      <c r="C935" s="70" t="s">
        <v>2254</v>
      </c>
      <c r="D935" s="70">
        <v>1515</v>
      </c>
      <c r="E935" s="70">
        <v>1</v>
      </c>
      <c r="F935" s="71">
        <v>8.8841999999999999</v>
      </c>
      <c r="G935" s="71">
        <v>13.72</v>
      </c>
      <c r="H935" s="71">
        <v>8.8841999999999999</v>
      </c>
      <c r="I935" s="71">
        <v>13.72</v>
      </c>
      <c r="J935" s="70" t="s">
        <v>522</v>
      </c>
      <c r="K935" s="70" t="s">
        <v>48</v>
      </c>
      <c r="L935" s="74">
        <v>46133</v>
      </c>
    </row>
    <row r="936" spans="1:12" hidden="1" x14ac:dyDescent="0.25">
      <c r="A936" s="70" t="s">
        <v>898</v>
      </c>
      <c r="B936" s="70" t="s">
        <v>2255</v>
      </c>
      <c r="C936" s="70" t="s">
        <v>2256</v>
      </c>
      <c r="D936" s="70">
        <v>1515</v>
      </c>
      <c r="E936" s="70">
        <v>1</v>
      </c>
      <c r="F936" s="71">
        <v>6.7320000000000002</v>
      </c>
      <c r="G936" s="71">
        <v>10.4</v>
      </c>
      <c r="H936" s="71">
        <v>6.7320000000000002</v>
      </c>
      <c r="I936" s="71">
        <v>10.4</v>
      </c>
      <c r="J936" s="70" t="s">
        <v>522</v>
      </c>
      <c r="K936" s="70" t="s">
        <v>48</v>
      </c>
      <c r="L936" s="74">
        <v>46133</v>
      </c>
    </row>
    <row r="937" spans="1:12" hidden="1" x14ac:dyDescent="0.25">
      <c r="A937" s="70" t="s">
        <v>898</v>
      </c>
      <c r="B937" s="70" t="s">
        <v>2257</v>
      </c>
      <c r="C937" s="70" t="s">
        <v>2258</v>
      </c>
      <c r="D937" s="70">
        <v>1515</v>
      </c>
      <c r="E937" s="70">
        <v>1</v>
      </c>
      <c r="F937" s="71">
        <v>6.7320000000000002</v>
      </c>
      <c r="G937" s="71">
        <v>10.4</v>
      </c>
      <c r="H937" s="71">
        <v>6.7320000000000002</v>
      </c>
      <c r="I937" s="71">
        <v>10.4</v>
      </c>
      <c r="J937" s="70" t="s">
        <v>522</v>
      </c>
      <c r="K937" s="70" t="s">
        <v>48</v>
      </c>
      <c r="L937" s="74">
        <v>46133</v>
      </c>
    </row>
    <row r="938" spans="1:12" hidden="1" x14ac:dyDescent="0.25">
      <c r="A938" s="70" t="s">
        <v>898</v>
      </c>
      <c r="B938" s="70" t="s">
        <v>2259</v>
      </c>
      <c r="C938" s="70" t="s">
        <v>2260</v>
      </c>
      <c r="D938" s="70">
        <v>1515</v>
      </c>
      <c r="E938" s="70">
        <v>1</v>
      </c>
      <c r="F938" s="71">
        <v>7.5602999999999998</v>
      </c>
      <c r="G938" s="71">
        <v>10.4</v>
      </c>
      <c r="H938" s="71">
        <v>7.5602999999999998</v>
      </c>
      <c r="I938" s="71">
        <v>10.4</v>
      </c>
      <c r="J938" s="70" t="s">
        <v>522</v>
      </c>
      <c r="K938" s="70" t="s">
        <v>48</v>
      </c>
      <c r="L938" s="74">
        <v>46133</v>
      </c>
    </row>
    <row r="939" spans="1:12" hidden="1" x14ac:dyDescent="0.25">
      <c r="A939" s="70" t="s">
        <v>898</v>
      </c>
      <c r="B939" s="70" t="s">
        <v>2261</v>
      </c>
      <c r="C939" s="70" t="s">
        <v>2262</v>
      </c>
      <c r="D939" s="70">
        <v>1515</v>
      </c>
      <c r="E939" s="70">
        <v>1</v>
      </c>
      <c r="F939" s="71">
        <v>3.6846000000000001</v>
      </c>
      <c r="G939" s="71">
        <v>9.52</v>
      </c>
      <c r="H939" s="71">
        <v>3.6846000000000001</v>
      </c>
      <c r="I939" s="71">
        <v>9.52</v>
      </c>
      <c r="J939" s="70" t="s">
        <v>522</v>
      </c>
      <c r="K939" s="70" t="s">
        <v>48</v>
      </c>
      <c r="L939" s="74">
        <v>46133</v>
      </c>
    </row>
    <row r="940" spans="1:12" hidden="1" x14ac:dyDescent="0.25">
      <c r="A940" s="70" t="s">
        <v>898</v>
      </c>
      <c r="B940" s="70" t="s">
        <v>2263</v>
      </c>
      <c r="C940" s="70" t="s">
        <v>2264</v>
      </c>
      <c r="D940" s="70">
        <v>1515</v>
      </c>
      <c r="E940" s="70">
        <v>1</v>
      </c>
      <c r="F940" s="71">
        <v>3.6846000000000001</v>
      </c>
      <c r="G940" s="71">
        <v>9.5</v>
      </c>
      <c r="H940" s="71">
        <v>3.6846000000000001</v>
      </c>
      <c r="I940" s="71">
        <v>9.5</v>
      </c>
      <c r="J940" s="70" t="s">
        <v>522</v>
      </c>
      <c r="K940" s="70" t="s">
        <v>48</v>
      </c>
      <c r="L940" s="74">
        <v>46133</v>
      </c>
    </row>
    <row r="941" spans="1:12" hidden="1" x14ac:dyDescent="0.25">
      <c r="A941" s="70" t="s">
        <v>898</v>
      </c>
      <c r="B941" s="70" t="s">
        <v>2265</v>
      </c>
      <c r="C941" s="70" t="s">
        <v>2266</v>
      </c>
      <c r="D941" s="70">
        <v>1515</v>
      </c>
      <c r="E941" s="70">
        <v>1</v>
      </c>
      <c r="F941" s="71">
        <v>6.0282</v>
      </c>
      <c r="G941" s="71">
        <v>9.31</v>
      </c>
      <c r="H941" s="71">
        <v>6.0282</v>
      </c>
      <c r="I941" s="71">
        <v>9.31</v>
      </c>
      <c r="J941" s="70" t="s">
        <v>522</v>
      </c>
      <c r="K941" s="70" t="s">
        <v>48</v>
      </c>
      <c r="L941" s="74">
        <v>46133</v>
      </c>
    </row>
    <row r="942" spans="1:12" hidden="1" x14ac:dyDescent="0.25">
      <c r="A942" s="70" t="s">
        <v>898</v>
      </c>
      <c r="B942" s="70" t="s">
        <v>2267</v>
      </c>
      <c r="C942" s="70" t="s">
        <v>2268</v>
      </c>
      <c r="D942" s="70">
        <v>1515</v>
      </c>
      <c r="E942" s="70">
        <v>1</v>
      </c>
      <c r="F942" s="71">
        <v>2.5899000000000001</v>
      </c>
      <c r="G942" s="71">
        <v>8.18</v>
      </c>
      <c r="H942" s="71">
        <v>2.5899000000000001</v>
      </c>
      <c r="I942" s="71">
        <v>8.18</v>
      </c>
      <c r="J942" s="70" t="s">
        <v>522</v>
      </c>
      <c r="K942" s="70" t="s">
        <v>48</v>
      </c>
      <c r="L942" s="74">
        <v>46133</v>
      </c>
    </row>
    <row r="943" spans="1:12" hidden="1" x14ac:dyDescent="0.25">
      <c r="A943" s="70" t="s">
        <v>898</v>
      </c>
      <c r="B943" s="70" t="s">
        <v>794</v>
      </c>
      <c r="C943" s="70" t="s">
        <v>795</v>
      </c>
      <c r="D943" s="70">
        <v>1515</v>
      </c>
      <c r="E943" s="70">
        <v>2</v>
      </c>
      <c r="F943" s="71">
        <v>2.0473736842105299</v>
      </c>
      <c r="G943" s="71">
        <v>3.78</v>
      </c>
      <c r="H943" s="71">
        <v>4.09474736842105</v>
      </c>
      <c r="I943" s="71">
        <v>7.56</v>
      </c>
      <c r="J943" s="70" t="s">
        <v>522</v>
      </c>
      <c r="K943" s="70" t="s">
        <v>48</v>
      </c>
      <c r="L943" s="74">
        <v>46133</v>
      </c>
    </row>
    <row r="944" spans="1:12" hidden="1" x14ac:dyDescent="0.25">
      <c r="A944" s="70" t="s">
        <v>898</v>
      </c>
      <c r="B944" s="70" t="s">
        <v>2269</v>
      </c>
      <c r="C944" s="70" t="s">
        <v>2270</v>
      </c>
      <c r="D944" s="70">
        <v>1515</v>
      </c>
      <c r="E944" s="70">
        <v>1</v>
      </c>
      <c r="F944" s="71">
        <v>3.4335</v>
      </c>
      <c r="G944" s="71">
        <v>7.55</v>
      </c>
      <c r="H944" s="71">
        <v>3.4335</v>
      </c>
      <c r="I944" s="71">
        <v>7.55</v>
      </c>
      <c r="J944" s="70" t="s">
        <v>522</v>
      </c>
      <c r="K944" s="70" t="s">
        <v>48</v>
      </c>
      <c r="L944" s="74">
        <v>46133</v>
      </c>
    </row>
    <row r="945" spans="1:12" hidden="1" x14ac:dyDescent="0.25">
      <c r="A945" s="70" t="s">
        <v>898</v>
      </c>
      <c r="B945" s="70" t="s">
        <v>909</v>
      </c>
      <c r="C945" s="70" t="s">
        <v>910</v>
      </c>
      <c r="D945" s="70">
        <v>1515</v>
      </c>
      <c r="E945" s="70">
        <v>4</v>
      </c>
      <c r="F945" s="71">
        <v>0.85699999999999998</v>
      </c>
      <c r="G945" s="71">
        <v>1.78</v>
      </c>
      <c r="H945" s="71">
        <v>3.4279999999999999</v>
      </c>
      <c r="I945" s="71">
        <v>7.12</v>
      </c>
      <c r="J945" s="70" t="s">
        <v>522</v>
      </c>
      <c r="K945" s="70" t="s">
        <v>48</v>
      </c>
      <c r="L945" s="74">
        <v>46133</v>
      </c>
    </row>
    <row r="946" spans="1:12" hidden="1" x14ac:dyDescent="0.25">
      <c r="A946" s="70" t="s">
        <v>898</v>
      </c>
      <c r="B946" s="70" t="s">
        <v>2271</v>
      </c>
      <c r="C946" s="70" t="s">
        <v>2272</v>
      </c>
      <c r="D946" s="70">
        <v>1515</v>
      </c>
      <c r="E946" s="70">
        <v>2</v>
      </c>
      <c r="F946" s="71">
        <v>2.1930000000000001</v>
      </c>
      <c r="G946" s="71">
        <v>3.53</v>
      </c>
      <c r="H946" s="71">
        <v>4.3860000000000001</v>
      </c>
      <c r="I946" s="71">
        <v>7.06</v>
      </c>
      <c r="J946" s="70" t="s">
        <v>522</v>
      </c>
      <c r="K946" s="70" t="s">
        <v>48</v>
      </c>
      <c r="L946" s="74">
        <v>46133</v>
      </c>
    </row>
    <row r="947" spans="1:12" hidden="1" x14ac:dyDescent="0.25">
      <c r="A947" s="70" t="s">
        <v>898</v>
      </c>
      <c r="B947" s="70" t="s">
        <v>2273</v>
      </c>
      <c r="C947" s="70" t="s">
        <v>2274</v>
      </c>
      <c r="D947" s="70">
        <v>1515</v>
      </c>
      <c r="E947" s="70">
        <v>1</v>
      </c>
      <c r="F947" s="71">
        <v>2.3161999999999998</v>
      </c>
      <c r="G947" s="71">
        <v>5.7</v>
      </c>
      <c r="H947" s="71">
        <v>2.3161999999999998</v>
      </c>
      <c r="I947" s="71">
        <v>5.7</v>
      </c>
      <c r="J947" s="70" t="s">
        <v>522</v>
      </c>
      <c r="K947" s="70" t="s">
        <v>48</v>
      </c>
      <c r="L947" s="74">
        <v>46133</v>
      </c>
    </row>
    <row r="948" spans="1:12" hidden="1" x14ac:dyDescent="0.25">
      <c r="A948" s="70" t="s">
        <v>898</v>
      </c>
      <c r="B948" s="70" t="s">
        <v>2275</v>
      </c>
      <c r="C948" s="70" t="s">
        <v>2276</v>
      </c>
      <c r="D948" s="70">
        <v>1515</v>
      </c>
      <c r="E948" s="70">
        <v>1</v>
      </c>
      <c r="F948" s="71">
        <v>2.27</v>
      </c>
      <c r="G948" s="71">
        <v>5.37</v>
      </c>
      <c r="H948" s="71">
        <v>2.27</v>
      </c>
      <c r="I948" s="71">
        <v>5.37</v>
      </c>
      <c r="J948" s="70" t="s">
        <v>522</v>
      </c>
      <c r="K948" s="70" t="s">
        <v>48</v>
      </c>
      <c r="L948" s="74">
        <v>46133</v>
      </c>
    </row>
    <row r="949" spans="1:12" hidden="1" x14ac:dyDescent="0.25">
      <c r="A949" s="70" t="s">
        <v>898</v>
      </c>
      <c r="B949" s="70" t="s">
        <v>2277</v>
      </c>
      <c r="C949" s="70" t="s">
        <v>2278</v>
      </c>
      <c r="D949" s="70">
        <v>1515</v>
      </c>
      <c r="E949" s="70">
        <v>3</v>
      </c>
      <c r="F949" s="71">
        <v>0.91390000000000005</v>
      </c>
      <c r="G949" s="71">
        <v>1.41</v>
      </c>
      <c r="H949" s="71">
        <v>2.7416999999999998</v>
      </c>
      <c r="I949" s="71">
        <v>4.2300000000000004</v>
      </c>
      <c r="J949" s="70" t="s">
        <v>522</v>
      </c>
      <c r="K949" s="70" t="s">
        <v>48</v>
      </c>
      <c r="L949" s="74">
        <v>46133</v>
      </c>
    </row>
    <row r="950" spans="1:12" hidden="1" x14ac:dyDescent="0.25">
      <c r="A950" s="70" t="s">
        <v>898</v>
      </c>
      <c r="B950" s="70" t="s">
        <v>1801</v>
      </c>
      <c r="C950" s="70" t="s">
        <v>1802</v>
      </c>
      <c r="D950" s="70">
        <v>1515</v>
      </c>
      <c r="E950" s="70">
        <v>1</v>
      </c>
      <c r="F950" s="71">
        <v>1.7739</v>
      </c>
      <c r="G950" s="71">
        <v>3.85</v>
      </c>
      <c r="H950" s="71">
        <v>1.7739</v>
      </c>
      <c r="I950" s="71">
        <v>3.85</v>
      </c>
      <c r="J950" s="70" t="s">
        <v>522</v>
      </c>
      <c r="K950" s="70" t="s">
        <v>48</v>
      </c>
      <c r="L950" s="74">
        <v>46133</v>
      </c>
    </row>
    <row r="951" spans="1:12" hidden="1" x14ac:dyDescent="0.25">
      <c r="A951" s="70" t="s">
        <v>898</v>
      </c>
      <c r="B951" s="70" t="s">
        <v>1975</v>
      </c>
      <c r="C951" s="70" t="s">
        <v>1976</v>
      </c>
      <c r="D951" s="70">
        <v>1515</v>
      </c>
      <c r="E951" s="70">
        <v>1</v>
      </c>
      <c r="F951" s="71">
        <v>2.3000500000000001</v>
      </c>
      <c r="G951" s="71">
        <v>3.78</v>
      </c>
      <c r="H951" s="71">
        <v>2.3000500000000001</v>
      </c>
      <c r="I951" s="71">
        <v>3.78</v>
      </c>
      <c r="J951" s="70" t="s">
        <v>522</v>
      </c>
      <c r="K951" s="70" t="s">
        <v>48</v>
      </c>
      <c r="L951" s="74">
        <v>46133</v>
      </c>
    </row>
    <row r="952" spans="1:12" hidden="1" x14ac:dyDescent="0.25">
      <c r="A952" s="70" t="s">
        <v>898</v>
      </c>
      <c r="B952" s="70" t="s">
        <v>2279</v>
      </c>
      <c r="C952" s="70" t="s">
        <v>2280</v>
      </c>
      <c r="D952" s="70">
        <v>1515</v>
      </c>
      <c r="E952" s="70">
        <v>1</v>
      </c>
      <c r="F952" s="71">
        <v>1.6406000000000001</v>
      </c>
      <c r="G952" s="71">
        <v>3.56</v>
      </c>
      <c r="H952" s="71">
        <v>1.6406000000000001</v>
      </c>
      <c r="I952" s="71">
        <v>3.56</v>
      </c>
      <c r="J952" s="70" t="s">
        <v>522</v>
      </c>
      <c r="K952" s="70" t="s">
        <v>48</v>
      </c>
      <c r="L952" s="74">
        <v>46133</v>
      </c>
    </row>
    <row r="953" spans="1:12" hidden="1" x14ac:dyDescent="0.25">
      <c r="A953" s="70" t="s">
        <v>898</v>
      </c>
      <c r="B953" s="70" t="s">
        <v>2281</v>
      </c>
      <c r="C953" s="70" t="s">
        <v>2282</v>
      </c>
      <c r="D953" s="70">
        <v>1515</v>
      </c>
      <c r="E953" s="70">
        <v>1</v>
      </c>
      <c r="F953" s="71">
        <v>2.1606999999999998</v>
      </c>
      <c r="G953" s="71">
        <v>3.53</v>
      </c>
      <c r="H953" s="71">
        <v>2.1606999999999998</v>
      </c>
      <c r="I953" s="71">
        <v>3.53</v>
      </c>
      <c r="J953" s="70" t="s">
        <v>522</v>
      </c>
      <c r="K953" s="70" t="s">
        <v>48</v>
      </c>
      <c r="L953" s="74">
        <v>46133</v>
      </c>
    </row>
    <row r="954" spans="1:12" hidden="1" x14ac:dyDescent="0.25">
      <c r="A954" s="70" t="s">
        <v>922</v>
      </c>
      <c r="B954" s="70" t="s">
        <v>2283</v>
      </c>
      <c r="C954" s="70" t="s">
        <v>2284</v>
      </c>
      <c r="D954" s="70">
        <v>1515</v>
      </c>
      <c r="E954" s="70">
        <v>-1</v>
      </c>
      <c r="F954" s="71">
        <v>19.752300000000002</v>
      </c>
      <c r="G954" s="71">
        <v>31.23</v>
      </c>
      <c r="H954" s="71">
        <v>-19.752300000000002</v>
      </c>
      <c r="I954" s="71">
        <v>-31.23</v>
      </c>
      <c r="J954" s="70" t="s">
        <v>522</v>
      </c>
      <c r="K954" s="70" t="s">
        <v>48</v>
      </c>
      <c r="L954" s="74">
        <v>46133</v>
      </c>
    </row>
    <row r="955" spans="1:12" hidden="1" x14ac:dyDescent="0.25">
      <c r="A955" s="70" t="s">
        <v>922</v>
      </c>
      <c r="B955" s="70" t="s">
        <v>2285</v>
      </c>
      <c r="C955" s="70" t="s">
        <v>2286</v>
      </c>
      <c r="D955" s="70">
        <v>1515</v>
      </c>
      <c r="E955" s="70">
        <v>-1</v>
      </c>
      <c r="F955" s="71">
        <v>129.27940000000001</v>
      </c>
      <c r="G955" s="71">
        <v>195.99</v>
      </c>
      <c r="H955" s="71">
        <v>-129.27940000000001</v>
      </c>
      <c r="I955" s="71">
        <v>-195.99</v>
      </c>
      <c r="J955" s="70" t="s">
        <v>522</v>
      </c>
      <c r="K955" s="70" t="s">
        <v>48</v>
      </c>
      <c r="L955" s="74">
        <v>46133</v>
      </c>
    </row>
    <row r="956" spans="1:12" hidden="1" x14ac:dyDescent="0.25">
      <c r="A956" s="70" t="s">
        <v>922</v>
      </c>
      <c r="B956" s="70" t="s">
        <v>2287</v>
      </c>
      <c r="C956" s="70" t="s">
        <v>2288</v>
      </c>
      <c r="D956" s="70">
        <v>1515</v>
      </c>
      <c r="E956" s="70">
        <v>-1</v>
      </c>
      <c r="F956" s="71">
        <v>125.447</v>
      </c>
      <c r="G956" s="71">
        <v>190.18</v>
      </c>
      <c r="H956" s="71">
        <v>-125.447</v>
      </c>
      <c r="I956" s="71">
        <v>-190.18</v>
      </c>
      <c r="J956" s="70" t="s">
        <v>522</v>
      </c>
      <c r="K956" s="70" t="s">
        <v>48</v>
      </c>
      <c r="L956" s="74">
        <v>46133</v>
      </c>
    </row>
    <row r="957" spans="1:12" hidden="1" x14ac:dyDescent="0.25">
      <c r="A957" s="70" t="s">
        <v>922</v>
      </c>
      <c r="B957" s="70" t="s">
        <v>2289</v>
      </c>
      <c r="C957" s="70" t="s">
        <v>2290</v>
      </c>
      <c r="D957" s="70">
        <v>1515</v>
      </c>
      <c r="E957" s="70">
        <v>-1</v>
      </c>
      <c r="F957" s="71">
        <v>50.051400000000001</v>
      </c>
      <c r="G957" s="71">
        <v>69.680000000000007</v>
      </c>
      <c r="H957" s="71">
        <v>-50.051400000000001</v>
      </c>
      <c r="I957" s="71">
        <v>-69.680000000000007</v>
      </c>
      <c r="J957" s="70" t="s">
        <v>522</v>
      </c>
      <c r="K957" s="70" t="s">
        <v>48</v>
      </c>
      <c r="L957" s="74">
        <v>46133</v>
      </c>
    </row>
    <row r="958" spans="1:12" hidden="1" x14ac:dyDescent="0.25">
      <c r="A958" s="70" t="s">
        <v>922</v>
      </c>
      <c r="B958" s="70" t="s">
        <v>2291</v>
      </c>
      <c r="C958" s="70" t="s">
        <v>2292</v>
      </c>
      <c r="D958" s="70">
        <v>1515</v>
      </c>
      <c r="E958" s="70">
        <v>-1</v>
      </c>
      <c r="F958" s="71">
        <v>54.355800000000002</v>
      </c>
      <c r="G958" s="71">
        <v>87.55</v>
      </c>
      <c r="H958" s="71">
        <v>-54.355800000000002</v>
      </c>
      <c r="I958" s="71">
        <v>-87.55</v>
      </c>
      <c r="J958" s="70" t="s">
        <v>522</v>
      </c>
      <c r="K958" s="70" t="s">
        <v>48</v>
      </c>
      <c r="L958" s="74">
        <v>46133</v>
      </c>
    </row>
    <row r="959" spans="1:12" hidden="1" x14ac:dyDescent="0.25">
      <c r="A959" s="70" t="s">
        <v>911</v>
      </c>
      <c r="B959" s="70" t="s">
        <v>2293</v>
      </c>
      <c r="C959" s="70" t="s">
        <v>2294</v>
      </c>
      <c r="D959" s="70">
        <v>1515</v>
      </c>
      <c r="E959" s="70">
        <v>1</v>
      </c>
      <c r="F959" s="71">
        <v>22.430099999999999</v>
      </c>
      <c r="G959" s="71">
        <v>31.23</v>
      </c>
      <c r="H959" s="71">
        <v>22.430099999999999</v>
      </c>
      <c r="I959" s="71">
        <v>31.23</v>
      </c>
      <c r="J959" s="70" t="s">
        <v>522</v>
      </c>
      <c r="K959" s="70" t="s">
        <v>48</v>
      </c>
      <c r="L959" s="74">
        <v>46133</v>
      </c>
    </row>
    <row r="960" spans="1:12" hidden="1" x14ac:dyDescent="0.25">
      <c r="A960" s="70" t="s">
        <v>911</v>
      </c>
      <c r="B960" s="70" t="s">
        <v>2295</v>
      </c>
      <c r="C960" s="70" t="s">
        <v>2296</v>
      </c>
      <c r="D960" s="70">
        <v>1515</v>
      </c>
      <c r="E960" s="70">
        <v>1</v>
      </c>
      <c r="F960" s="71">
        <v>191.8212</v>
      </c>
      <c r="G960" s="71">
        <v>280.87</v>
      </c>
      <c r="H960" s="71">
        <v>191.8212</v>
      </c>
      <c r="I960" s="71">
        <v>280.87</v>
      </c>
      <c r="J960" s="70" t="s">
        <v>522</v>
      </c>
      <c r="K960" s="70" t="s">
        <v>48</v>
      </c>
      <c r="L960" s="74">
        <v>46133</v>
      </c>
    </row>
    <row r="961" spans="1:12" hidden="1" x14ac:dyDescent="0.25">
      <c r="A961" s="70" t="s">
        <v>911</v>
      </c>
      <c r="B961" s="70" t="s">
        <v>2297</v>
      </c>
      <c r="C961" s="70" t="s">
        <v>2298</v>
      </c>
      <c r="D961" s="70">
        <v>1515</v>
      </c>
      <c r="E961" s="70">
        <v>1</v>
      </c>
      <c r="F961" s="71">
        <v>202.8168</v>
      </c>
      <c r="G961" s="71">
        <v>463.81</v>
      </c>
      <c r="H961" s="71">
        <v>202.8168</v>
      </c>
      <c r="I961" s="71">
        <v>463.81</v>
      </c>
      <c r="J961" s="70" t="s">
        <v>522</v>
      </c>
      <c r="K961" s="70" t="s">
        <v>48</v>
      </c>
      <c r="L961" s="74">
        <v>46133</v>
      </c>
    </row>
    <row r="962" spans="1:12" hidden="1" x14ac:dyDescent="0.25">
      <c r="A962" s="70" t="s">
        <v>911</v>
      </c>
      <c r="B962" s="70" t="s">
        <v>2299</v>
      </c>
      <c r="C962" s="70" t="s">
        <v>2300</v>
      </c>
      <c r="D962" s="70">
        <v>1515</v>
      </c>
      <c r="E962" s="70">
        <v>1</v>
      </c>
      <c r="F962" s="71">
        <v>50.051400000000001</v>
      </c>
      <c r="G962" s="71">
        <v>69.680000000000007</v>
      </c>
      <c r="H962" s="71">
        <v>50.051400000000001</v>
      </c>
      <c r="I962" s="71">
        <v>69.680000000000007</v>
      </c>
      <c r="J962" s="70" t="s">
        <v>522</v>
      </c>
      <c r="K962" s="70" t="s">
        <v>48</v>
      </c>
      <c r="L962" s="74">
        <v>46133</v>
      </c>
    </row>
    <row r="963" spans="1:12" hidden="1" x14ac:dyDescent="0.25">
      <c r="A963" s="70" t="s">
        <v>911</v>
      </c>
      <c r="B963" s="70" t="s">
        <v>2301</v>
      </c>
      <c r="C963" s="70" t="s">
        <v>2302</v>
      </c>
      <c r="D963" s="70">
        <v>1515</v>
      </c>
      <c r="E963" s="70">
        <v>1</v>
      </c>
      <c r="F963" s="71">
        <v>56.628399999999999</v>
      </c>
      <c r="G963" s="71">
        <v>131.27000000000001</v>
      </c>
      <c r="H963" s="71">
        <v>56.628399999999999</v>
      </c>
      <c r="I963" s="71">
        <v>131.27000000000001</v>
      </c>
      <c r="J963" s="70" t="s">
        <v>522</v>
      </c>
      <c r="K963" s="70" t="s">
        <v>48</v>
      </c>
      <c r="L963" s="74">
        <v>46133</v>
      </c>
    </row>
    <row r="964" spans="1:12" hidden="1" x14ac:dyDescent="0.25">
      <c r="A964" s="70" t="s">
        <v>877</v>
      </c>
      <c r="B964" s="70" t="s">
        <v>2303</v>
      </c>
      <c r="C964" s="70" t="s">
        <v>2304</v>
      </c>
      <c r="D964" s="70">
        <v>1727</v>
      </c>
      <c r="E964" s="70">
        <v>-1</v>
      </c>
      <c r="F964" s="71">
        <v>13.9421</v>
      </c>
      <c r="G964" s="71">
        <v>33.659999999999997</v>
      </c>
      <c r="H964" s="71">
        <v>-13.9421</v>
      </c>
      <c r="I964" s="71">
        <v>-33.659999999999997</v>
      </c>
      <c r="J964" s="70" t="s">
        <v>524</v>
      </c>
      <c r="K964" s="70" t="s">
        <v>48</v>
      </c>
      <c r="L964" s="74">
        <v>46134</v>
      </c>
    </row>
    <row r="965" spans="1:12" hidden="1" x14ac:dyDescent="0.25">
      <c r="A965" s="70" t="s">
        <v>911</v>
      </c>
      <c r="B965" s="70" t="s">
        <v>2305</v>
      </c>
      <c r="C965" s="70" t="s">
        <v>2306</v>
      </c>
      <c r="D965" s="70">
        <v>1727</v>
      </c>
      <c r="E965" s="70">
        <v>1</v>
      </c>
      <c r="F965" s="71">
        <v>46.487000000000002</v>
      </c>
      <c r="G965" s="71">
        <v>97.74</v>
      </c>
      <c r="H965" s="71">
        <v>46.487000000000002</v>
      </c>
      <c r="I965" s="71">
        <v>97.74</v>
      </c>
      <c r="J965" s="70" t="s">
        <v>524</v>
      </c>
      <c r="K965" s="70" t="s">
        <v>48</v>
      </c>
      <c r="L965" s="74">
        <v>46134</v>
      </c>
    </row>
    <row r="966" spans="1:12" hidden="1" x14ac:dyDescent="0.25">
      <c r="A966" s="70" t="s">
        <v>922</v>
      </c>
      <c r="B966" s="70" t="s">
        <v>2307</v>
      </c>
      <c r="C966" s="70" t="s">
        <v>2308</v>
      </c>
      <c r="D966" s="70">
        <v>1727</v>
      </c>
      <c r="E966" s="70">
        <v>-1</v>
      </c>
      <c r="F966" s="71">
        <v>2.5398000000000001</v>
      </c>
      <c r="G966" s="71">
        <v>82.78</v>
      </c>
      <c r="H966" s="71">
        <v>-2.5398000000000001</v>
      </c>
      <c r="I966" s="71">
        <v>-82.78</v>
      </c>
      <c r="J966" s="70" t="s">
        <v>524</v>
      </c>
      <c r="K966" s="70" t="s">
        <v>48</v>
      </c>
      <c r="L966" s="74">
        <v>46134</v>
      </c>
    </row>
    <row r="967" spans="1:12" hidden="1" x14ac:dyDescent="0.25">
      <c r="A967" s="70" t="s">
        <v>877</v>
      </c>
      <c r="B967" s="70" t="s">
        <v>964</v>
      </c>
      <c r="C967" s="70" t="s">
        <v>965</v>
      </c>
      <c r="D967" s="70">
        <v>1727</v>
      </c>
      <c r="E967" s="70">
        <v>-1</v>
      </c>
      <c r="F967" s="71">
        <v>24.456299999999999</v>
      </c>
      <c r="G967" s="71">
        <v>46.42</v>
      </c>
      <c r="H967" s="71">
        <v>-24.456299999999999</v>
      </c>
      <c r="I967" s="71">
        <v>-46.42</v>
      </c>
      <c r="J967" s="70" t="s">
        <v>524</v>
      </c>
      <c r="K967" s="70" t="s">
        <v>48</v>
      </c>
      <c r="L967" s="74">
        <v>46134</v>
      </c>
    </row>
    <row r="968" spans="1:12" hidden="1" x14ac:dyDescent="0.25">
      <c r="A968" s="70" t="s">
        <v>877</v>
      </c>
      <c r="B968" s="70" t="s">
        <v>2309</v>
      </c>
      <c r="C968" s="70" t="s">
        <v>2310</v>
      </c>
      <c r="D968" s="70">
        <v>1727</v>
      </c>
      <c r="E968" s="70">
        <v>-1</v>
      </c>
      <c r="F968" s="71">
        <v>9.5388000000000002</v>
      </c>
      <c r="G968" s="71">
        <v>14.65</v>
      </c>
      <c r="H968" s="71">
        <v>-9.5388000000000002</v>
      </c>
      <c r="I968" s="71">
        <v>-14.65</v>
      </c>
      <c r="J968" s="70" t="s">
        <v>524</v>
      </c>
      <c r="K968" s="70" t="s">
        <v>48</v>
      </c>
      <c r="L968" s="74">
        <v>46134</v>
      </c>
    </row>
    <row r="969" spans="1:12" hidden="1" x14ac:dyDescent="0.25">
      <c r="A969" s="70" t="s">
        <v>877</v>
      </c>
      <c r="B969" s="70" t="s">
        <v>2311</v>
      </c>
      <c r="C969" s="70" t="s">
        <v>2312</v>
      </c>
      <c r="D969" s="70">
        <v>1727</v>
      </c>
      <c r="E969" s="70">
        <v>-1</v>
      </c>
      <c r="F969" s="71">
        <v>6.6706000000000003</v>
      </c>
      <c r="G969" s="71">
        <v>15.22</v>
      </c>
      <c r="H969" s="71">
        <v>-6.6706000000000003</v>
      </c>
      <c r="I969" s="71">
        <v>-15.22</v>
      </c>
      <c r="J969" s="70" t="s">
        <v>524</v>
      </c>
      <c r="K969" s="70" t="s">
        <v>48</v>
      </c>
      <c r="L969" s="74">
        <v>46134</v>
      </c>
    </row>
    <row r="970" spans="1:12" hidden="1" x14ac:dyDescent="0.25">
      <c r="A970" s="70" t="s">
        <v>911</v>
      </c>
      <c r="B970" s="70" t="s">
        <v>2313</v>
      </c>
      <c r="C970" s="70" t="s">
        <v>2314</v>
      </c>
      <c r="D970" s="70">
        <v>1727</v>
      </c>
      <c r="E970" s="70">
        <v>1</v>
      </c>
      <c r="F970" s="71">
        <v>65.893799999999999</v>
      </c>
      <c r="G970" s="71">
        <v>86.26</v>
      </c>
      <c r="H970" s="71">
        <v>65.893799999999999</v>
      </c>
      <c r="I970" s="71">
        <v>86.26</v>
      </c>
      <c r="J970" s="70" t="s">
        <v>524</v>
      </c>
      <c r="K970" s="70" t="s">
        <v>48</v>
      </c>
      <c r="L970" s="74">
        <v>46134</v>
      </c>
    </row>
    <row r="971" spans="1:12" hidden="1" x14ac:dyDescent="0.25">
      <c r="A971" s="70" t="s">
        <v>922</v>
      </c>
      <c r="B971" s="70" t="s">
        <v>2315</v>
      </c>
      <c r="C971" s="70" t="s">
        <v>2316</v>
      </c>
      <c r="D971" s="70">
        <v>1727</v>
      </c>
      <c r="E971" s="70">
        <v>-1</v>
      </c>
      <c r="F971" s="71">
        <v>50.051400000000001</v>
      </c>
      <c r="G971" s="71">
        <v>69.680000000000007</v>
      </c>
      <c r="H971" s="71">
        <v>-50.051400000000001</v>
      </c>
      <c r="I971" s="71">
        <v>-69.680000000000007</v>
      </c>
      <c r="J971" s="70" t="s">
        <v>524</v>
      </c>
      <c r="K971" s="70" t="s">
        <v>48</v>
      </c>
      <c r="L971" s="74">
        <v>46134</v>
      </c>
    </row>
    <row r="972" spans="1:12" hidden="1" x14ac:dyDescent="0.25">
      <c r="A972" s="70" t="s">
        <v>911</v>
      </c>
      <c r="B972" s="70" t="s">
        <v>707</v>
      </c>
      <c r="C972" s="70" t="s">
        <v>708</v>
      </c>
      <c r="D972" s="70">
        <v>1727</v>
      </c>
      <c r="E972" s="70">
        <v>2</v>
      </c>
      <c r="F972" s="71">
        <v>8.3339999999999996</v>
      </c>
      <c r="G972" s="71">
        <v>18.25</v>
      </c>
      <c r="H972" s="71">
        <v>16.667999999999999</v>
      </c>
      <c r="I972" s="71">
        <v>36.5</v>
      </c>
      <c r="J972" s="70" t="s">
        <v>524</v>
      </c>
      <c r="K972" s="70" t="s">
        <v>48</v>
      </c>
      <c r="L972" s="74">
        <v>46134</v>
      </c>
    </row>
    <row r="973" spans="1:12" hidden="1" x14ac:dyDescent="0.25">
      <c r="A973" s="70" t="s">
        <v>922</v>
      </c>
      <c r="B973" s="70" t="s">
        <v>2317</v>
      </c>
      <c r="C973" s="70" t="s">
        <v>2318</v>
      </c>
      <c r="D973" s="70">
        <v>1727</v>
      </c>
      <c r="E973" s="70">
        <v>-2</v>
      </c>
      <c r="F973" s="71">
        <v>8.3341999999999992</v>
      </c>
      <c r="G973" s="71">
        <v>18.25</v>
      </c>
      <c r="H973" s="71">
        <v>-16.668399999999998</v>
      </c>
      <c r="I973" s="71">
        <v>-36.5</v>
      </c>
      <c r="J973" s="70" t="s">
        <v>524</v>
      </c>
      <c r="K973" s="70" t="s">
        <v>48</v>
      </c>
      <c r="L973" s="74">
        <v>46134</v>
      </c>
    </row>
    <row r="974" spans="1:12" hidden="1" x14ac:dyDescent="0.25">
      <c r="A974" s="70" t="s">
        <v>922</v>
      </c>
      <c r="B974" s="70" t="s">
        <v>2319</v>
      </c>
      <c r="C974" s="70" t="s">
        <v>2320</v>
      </c>
      <c r="D974" s="70">
        <v>1727</v>
      </c>
      <c r="E974" s="70">
        <v>-1</v>
      </c>
      <c r="F974" s="71">
        <v>193.8</v>
      </c>
      <c r="G974" s="71">
        <v>283.76</v>
      </c>
      <c r="H974" s="71">
        <v>-193.8</v>
      </c>
      <c r="I974" s="71">
        <v>-283.76</v>
      </c>
      <c r="J974" s="70" t="s">
        <v>524</v>
      </c>
      <c r="K974" s="70" t="s">
        <v>48</v>
      </c>
      <c r="L974" s="74">
        <v>46134</v>
      </c>
    </row>
    <row r="975" spans="1:12" hidden="1" x14ac:dyDescent="0.25">
      <c r="A975" s="70" t="s">
        <v>911</v>
      </c>
      <c r="B975" s="70" t="s">
        <v>2321</v>
      </c>
      <c r="C975" s="70" t="s">
        <v>2322</v>
      </c>
      <c r="D975" s="70">
        <v>1727</v>
      </c>
      <c r="E975" s="70">
        <v>1</v>
      </c>
      <c r="F975" s="71">
        <v>193.8</v>
      </c>
      <c r="G975" s="71">
        <v>283.76</v>
      </c>
      <c r="H975" s="71">
        <v>193.8</v>
      </c>
      <c r="I975" s="71">
        <v>283.76</v>
      </c>
      <c r="J975" s="70" t="s">
        <v>524</v>
      </c>
      <c r="K975" s="70" t="s">
        <v>48</v>
      </c>
      <c r="L975" s="74">
        <v>46134</v>
      </c>
    </row>
    <row r="976" spans="1:12" hidden="1" x14ac:dyDescent="0.25">
      <c r="A976" s="70" t="s">
        <v>898</v>
      </c>
      <c r="B976" s="70" t="s">
        <v>2323</v>
      </c>
      <c r="C976" s="70" t="s">
        <v>2324</v>
      </c>
      <c r="D976" s="70">
        <v>1727</v>
      </c>
      <c r="E976" s="70">
        <v>1</v>
      </c>
      <c r="F976" s="71">
        <v>62.699399999999997</v>
      </c>
      <c r="G976" s="71">
        <v>91.8</v>
      </c>
      <c r="H976" s="71">
        <v>62.699399999999997</v>
      </c>
      <c r="I976" s="71">
        <v>91.8</v>
      </c>
      <c r="J976" s="70" t="s">
        <v>524</v>
      </c>
      <c r="K976" s="70" t="s">
        <v>48</v>
      </c>
      <c r="L976" s="74">
        <v>46134</v>
      </c>
    </row>
    <row r="977" spans="1:12" hidden="1" x14ac:dyDescent="0.25">
      <c r="A977" s="70" t="s">
        <v>877</v>
      </c>
      <c r="B977" s="70" t="s">
        <v>2325</v>
      </c>
      <c r="C977" s="70" t="s">
        <v>2326</v>
      </c>
      <c r="D977" s="70">
        <v>1727</v>
      </c>
      <c r="E977" s="70">
        <v>-1</v>
      </c>
      <c r="F977" s="71">
        <v>24.1434</v>
      </c>
      <c r="G977" s="71">
        <v>35.35</v>
      </c>
      <c r="H977" s="71">
        <v>-24.1434</v>
      </c>
      <c r="I977" s="71">
        <v>-35.35</v>
      </c>
      <c r="J977" s="70" t="s">
        <v>524</v>
      </c>
      <c r="K977" s="70" t="s">
        <v>48</v>
      </c>
      <c r="L977" s="74">
        <v>46134</v>
      </c>
    </row>
    <row r="978" spans="1:12" hidden="1" x14ac:dyDescent="0.25">
      <c r="A978" s="70" t="s">
        <v>877</v>
      </c>
      <c r="B978" s="70" t="s">
        <v>2327</v>
      </c>
      <c r="C978" s="70" t="s">
        <v>2328</v>
      </c>
      <c r="D978" s="70">
        <v>1727</v>
      </c>
      <c r="E978" s="70">
        <v>-1</v>
      </c>
      <c r="F978" s="71">
        <v>16.181000000000001</v>
      </c>
      <c r="G978" s="71">
        <v>22.25</v>
      </c>
      <c r="H978" s="71">
        <v>-16.181000000000001</v>
      </c>
      <c r="I978" s="71">
        <v>-22.25</v>
      </c>
      <c r="J978" s="70" t="s">
        <v>524</v>
      </c>
      <c r="K978" s="70" t="s">
        <v>48</v>
      </c>
      <c r="L978" s="74">
        <v>46134</v>
      </c>
    </row>
    <row r="979" spans="1:12" hidden="1" x14ac:dyDescent="0.25">
      <c r="A979" s="70" t="s">
        <v>898</v>
      </c>
      <c r="B979" s="70" t="s">
        <v>1694</v>
      </c>
      <c r="C979" s="70" t="s">
        <v>1695</v>
      </c>
      <c r="D979" s="70">
        <v>1727</v>
      </c>
      <c r="E979" s="70">
        <v>1</v>
      </c>
      <c r="F979" s="71">
        <v>83.290800000000004</v>
      </c>
      <c r="G979" s="71">
        <v>194.2</v>
      </c>
      <c r="H979" s="71">
        <v>83.290800000000004</v>
      </c>
      <c r="I979" s="71">
        <v>194.2</v>
      </c>
      <c r="J979" s="70" t="s">
        <v>524</v>
      </c>
      <c r="K979" s="70" t="s">
        <v>48</v>
      </c>
      <c r="L979" s="74">
        <v>46134</v>
      </c>
    </row>
    <row r="980" spans="1:12" hidden="1" x14ac:dyDescent="0.25">
      <c r="A980" s="70" t="s">
        <v>877</v>
      </c>
      <c r="B980" s="70" t="s">
        <v>2329</v>
      </c>
      <c r="C980" s="70" t="s">
        <v>2330</v>
      </c>
      <c r="D980" s="70">
        <v>1727</v>
      </c>
      <c r="E980" s="70">
        <v>-1</v>
      </c>
      <c r="F980" s="71">
        <v>27.805199999999999</v>
      </c>
      <c r="G980" s="71">
        <v>40.71</v>
      </c>
      <c r="H980" s="71">
        <v>-27.805199999999999</v>
      </c>
      <c r="I980" s="71">
        <v>-40.71</v>
      </c>
      <c r="J980" s="70" t="s">
        <v>524</v>
      </c>
      <c r="K980" s="70" t="s">
        <v>48</v>
      </c>
      <c r="L980" s="74">
        <v>46134</v>
      </c>
    </row>
    <row r="981" spans="1:12" hidden="1" x14ac:dyDescent="0.25">
      <c r="A981" s="70" t="s">
        <v>898</v>
      </c>
      <c r="B981" s="70" t="s">
        <v>2331</v>
      </c>
      <c r="C981" s="70" t="s">
        <v>2332</v>
      </c>
      <c r="D981" s="70">
        <v>1727</v>
      </c>
      <c r="E981" s="70">
        <v>1</v>
      </c>
      <c r="F981" s="71">
        <v>83.290899999999993</v>
      </c>
      <c r="G981" s="71">
        <v>194.2</v>
      </c>
      <c r="H981" s="71">
        <v>83.290899999999993</v>
      </c>
      <c r="I981" s="71">
        <v>194.2</v>
      </c>
      <c r="J981" s="70" t="s">
        <v>524</v>
      </c>
      <c r="K981" s="70" t="s">
        <v>48</v>
      </c>
      <c r="L981" s="74">
        <v>46134</v>
      </c>
    </row>
    <row r="982" spans="1:12" hidden="1" x14ac:dyDescent="0.25">
      <c r="A982" s="70" t="s">
        <v>898</v>
      </c>
      <c r="B982" s="70" t="s">
        <v>2333</v>
      </c>
      <c r="C982" s="70" t="s">
        <v>2334</v>
      </c>
      <c r="D982" s="70">
        <v>1727</v>
      </c>
      <c r="E982" s="70">
        <v>1</v>
      </c>
      <c r="F982" s="71">
        <v>54.850099999999998</v>
      </c>
      <c r="G982" s="71">
        <v>127.89</v>
      </c>
      <c r="H982" s="71">
        <v>54.850099999999998</v>
      </c>
      <c r="I982" s="71">
        <v>127.89</v>
      </c>
      <c r="J982" s="70" t="s">
        <v>524</v>
      </c>
      <c r="K982" s="70" t="s">
        <v>48</v>
      </c>
      <c r="L982" s="74">
        <v>46134</v>
      </c>
    </row>
    <row r="983" spans="1:12" hidden="1" x14ac:dyDescent="0.25">
      <c r="A983" s="70" t="s">
        <v>911</v>
      </c>
      <c r="B983" s="70" t="s">
        <v>1072</v>
      </c>
      <c r="C983" s="70" t="s">
        <v>1073</v>
      </c>
      <c r="D983" s="70">
        <v>1727</v>
      </c>
      <c r="E983" s="70">
        <v>1</v>
      </c>
      <c r="F983" s="71">
        <v>6.0564999999999998</v>
      </c>
      <c r="G983" s="71">
        <v>12.35</v>
      </c>
      <c r="H983" s="71">
        <v>6.0564999999999998</v>
      </c>
      <c r="I983" s="71">
        <v>12.35</v>
      </c>
      <c r="J983" s="70" t="s">
        <v>524</v>
      </c>
      <c r="K983" s="70" t="s">
        <v>48</v>
      </c>
      <c r="L983" s="74">
        <v>46134</v>
      </c>
    </row>
    <row r="984" spans="1:12" hidden="1" x14ac:dyDescent="0.25">
      <c r="A984" s="70" t="s">
        <v>922</v>
      </c>
      <c r="B984" s="70" t="s">
        <v>2335</v>
      </c>
      <c r="C984" s="70" t="s">
        <v>2336</v>
      </c>
      <c r="D984" s="70">
        <v>1727</v>
      </c>
      <c r="E984" s="70">
        <v>-1</v>
      </c>
      <c r="F984" s="71">
        <v>8.9824000000000002</v>
      </c>
      <c r="G984" s="71">
        <v>12.35</v>
      </c>
      <c r="H984" s="71">
        <v>-8.9824000000000002</v>
      </c>
      <c r="I984" s="71">
        <v>-12.35</v>
      </c>
      <c r="J984" s="70" t="s">
        <v>524</v>
      </c>
      <c r="K984" s="70" t="s">
        <v>48</v>
      </c>
      <c r="L984" s="74">
        <v>46134</v>
      </c>
    </row>
    <row r="985" spans="1:12" hidden="1" x14ac:dyDescent="0.25">
      <c r="A985" s="70" t="s">
        <v>911</v>
      </c>
      <c r="B985" s="70" t="s">
        <v>1100</v>
      </c>
      <c r="C985" s="70" t="s">
        <v>1101</v>
      </c>
      <c r="D985" s="70">
        <v>1727</v>
      </c>
      <c r="E985" s="70">
        <v>1</v>
      </c>
      <c r="F985" s="71">
        <v>21.418600000000001</v>
      </c>
      <c r="G985" s="71">
        <v>55.73</v>
      </c>
      <c r="H985" s="71">
        <v>21.418600000000001</v>
      </c>
      <c r="I985" s="71">
        <v>55.73</v>
      </c>
      <c r="J985" s="70" t="s">
        <v>524</v>
      </c>
      <c r="K985" s="70" t="s">
        <v>48</v>
      </c>
      <c r="L985" s="74">
        <v>46134</v>
      </c>
    </row>
    <row r="986" spans="1:12" hidden="1" x14ac:dyDescent="0.25">
      <c r="A986" s="70" t="s">
        <v>922</v>
      </c>
      <c r="B986" s="70" t="s">
        <v>2337</v>
      </c>
      <c r="C986" s="70" t="s">
        <v>2338</v>
      </c>
      <c r="D986" s="70">
        <v>1727</v>
      </c>
      <c r="E986" s="70">
        <v>-1</v>
      </c>
      <c r="F986" s="71">
        <v>27.9090666666667</v>
      </c>
      <c r="G986" s="71">
        <v>72.62</v>
      </c>
      <c r="H986" s="71">
        <v>-27.9090666666667</v>
      </c>
      <c r="I986" s="71">
        <v>-72.62</v>
      </c>
      <c r="J986" s="70" t="s">
        <v>524</v>
      </c>
      <c r="K986" s="70" t="s">
        <v>48</v>
      </c>
      <c r="L986" s="74">
        <v>46134</v>
      </c>
    </row>
    <row r="987" spans="1:12" hidden="1" x14ac:dyDescent="0.25">
      <c r="A987" s="70" t="s">
        <v>877</v>
      </c>
      <c r="B987" s="70" t="s">
        <v>2339</v>
      </c>
      <c r="C987" s="70" t="s">
        <v>2340</v>
      </c>
      <c r="D987" s="70">
        <v>1727</v>
      </c>
      <c r="E987" s="70">
        <v>-1</v>
      </c>
      <c r="F987" s="71">
        <v>5.8548</v>
      </c>
      <c r="G987" s="71">
        <v>9.41</v>
      </c>
      <c r="H987" s="71">
        <v>-5.8548</v>
      </c>
      <c r="I987" s="71">
        <v>-9.41</v>
      </c>
      <c r="J987" s="70" t="s">
        <v>524</v>
      </c>
      <c r="K987" s="70" t="s">
        <v>48</v>
      </c>
      <c r="L987" s="74">
        <v>46134</v>
      </c>
    </row>
    <row r="988" spans="1:12" hidden="1" x14ac:dyDescent="0.25">
      <c r="A988" s="70" t="s">
        <v>877</v>
      </c>
      <c r="B988" s="70" t="s">
        <v>2341</v>
      </c>
      <c r="C988" s="70" t="s">
        <v>2342</v>
      </c>
      <c r="D988" s="70">
        <v>1727</v>
      </c>
      <c r="E988" s="70">
        <v>-1</v>
      </c>
      <c r="F988" s="71">
        <v>11.5464</v>
      </c>
      <c r="G988" s="71">
        <v>17.829999999999998</v>
      </c>
      <c r="H988" s="71">
        <v>-11.5464</v>
      </c>
      <c r="I988" s="71">
        <v>-17.829999999999998</v>
      </c>
      <c r="J988" s="70" t="s">
        <v>524</v>
      </c>
      <c r="K988" s="70" t="s">
        <v>48</v>
      </c>
      <c r="L988" s="74">
        <v>46134</v>
      </c>
    </row>
    <row r="989" spans="1:12" hidden="1" x14ac:dyDescent="0.25">
      <c r="A989" s="70" t="s">
        <v>877</v>
      </c>
      <c r="B989" s="70" t="s">
        <v>806</v>
      </c>
      <c r="C989" s="70" t="s">
        <v>807</v>
      </c>
      <c r="D989" s="70">
        <v>1727</v>
      </c>
      <c r="E989" s="70">
        <v>-1</v>
      </c>
      <c r="F989" s="71">
        <v>2.3004500000000001</v>
      </c>
      <c r="G989" s="71">
        <v>3.78</v>
      </c>
      <c r="H989" s="71">
        <v>-2.3004500000000001</v>
      </c>
      <c r="I989" s="71">
        <v>-3.78</v>
      </c>
      <c r="J989" s="70" t="s">
        <v>524</v>
      </c>
      <c r="K989" s="70" t="s">
        <v>48</v>
      </c>
      <c r="L989" s="74">
        <v>46134</v>
      </c>
    </row>
    <row r="990" spans="1:12" hidden="1" x14ac:dyDescent="0.25">
      <c r="A990" s="70" t="s">
        <v>877</v>
      </c>
      <c r="B990" s="70" t="s">
        <v>713</v>
      </c>
      <c r="C990" s="70" t="s">
        <v>714</v>
      </c>
      <c r="D990" s="70">
        <v>1727</v>
      </c>
      <c r="E990" s="70">
        <v>-2</v>
      </c>
      <c r="F990" s="71">
        <v>3.5</v>
      </c>
      <c r="G990" s="71">
        <v>5.75</v>
      </c>
      <c r="H990" s="71">
        <v>-7</v>
      </c>
      <c r="I990" s="71">
        <v>-11.5</v>
      </c>
      <c r="J990" s="70" t="s">
        <v>524</v>
      </c>
      <c r="K990" s="70" t="s">
        <v>48</v>
      </c>
      <c r="L990" s="74">
        <v>46134</v>
      </c>
    </row>
    <row r="991" spans="1:12" hidden="1" x14ac:dyDescent="0.25">
      <c r="A991" s="70" t="s">
        <v>898</v>
      </c>
      <c r="B991" s="70" t="s">
        <v>2343</v>
      </c>
      <c r="C991" s="70" t="s">
        <v>2344</v>
      </c>
      <c r="D991" s="70">
        <v>1727</v>
      </c>
      <c r="E991" s="70">
        <v>3</v>
      </c>
      <c r="F991" s="71">
        <v>3.5</v>
      </c>
      <c r="G991" s="71">
        <v>5.75</v>
      </c>
      <c r="H991" s="71">
        <v>10.5</v>
      </c>
      <c r="I991" s="71">
        <v>17.25</v>
      </c>
      <c r="J991" s="70" t="s">
        <v>524</v>
      </c>
      <c r="K991" s="70" t="s">
        <v>48</v>
      </c>
      <c r="L991" s="74">
        <v>46134</v>
      </c>
    </row>
    <row r="992" spans="1:12" hidden="1" x14ac:dyDescent="0.25">
      <c r="A992" s="70" t="s">
        <v>877</v>
      </c>
      <c r="B992" s="70" t="s">
        <v>804</v>
      </c>
      <c r="C992" s="70" t="s">
        <v>805</v>
      </c>
      <c r="D992" s="70">
        <v>1727</v>
      </c>
      <c r="E992" s="70">
        <v>-2</v>
      </c>
      <c r="F992" s="71">
        <v>3.5</v>
      </c>
      <c r="G992" s="71">
        <v>5.75</v>
      </c>
      <c r="H992" s="71">
        <v>-7</v>
      </c>
      <c r="I992" s="71">
        <v>-11.5</v>
      </c>
      <c r="J992" s="70" t="s">
        <v>524</v>
      </c>
      <c r="K992" s="70" t="s">
        <v>48</v>
      </c>
      <c r="L992" s="74">
        <v>46134</v>
      </c>
    </row>
    <row r="993" spans="1:12" hidden="1" x14ac:dyDescent="0.25">
      <c r="A993" s="70" t="s">
        <v>877</v>
      </c>
      <c r="B993" s="70" t="s">
        <v>2345</v>
      </c>
      <c r="C993" s="70" t="s">
        <v>2346</v>
      </c>
      <c r="D993" s="70">
        <v>1727</v>
      </c>
      <c r="E993" s="70">
        <v>-1</v>
      </c>
      <c r="F993" s="71">
        <v>12</v>
      </c>
      <c r="G993" s="71">
        <v>19.71</v>
      </c>
      <c r="H993" s="71">
        <v>-12</v>
      </c>
      <c r="I993" s="71">
        <v>-19.71</v>
      </c>
      <c r="J993" s="70" t="s">
        <v>524</v>
      </c>
      <c r="K993" s="70" t="s">
        <v>48</v>
      </c>
      <c r="L993" s="74">
        <v>46134</v>
      </c>
    </row>
    <row r="994" spans="1:12" hidden="1" x14ac:dyDescent="0.25">
      <c r="A994" s="70" t="s">
        <v>898</v>
      </c>
      <c r="B994" s="70" t="s">
        <v>2347</v>
      </c>
      <c r="C994" s="70" t="s">
        <v>2348</v>
      </c>
      <c r="D994" s="70">
        <v>1727</v>
      </c>
      <c r="E994" s="70">
        <v>1</v>
      </c>
      <c r="F994" s="71">
        <v>62.975999999999999</v>
      </c>
      <c r="G994" s="71">
        <v>146.84</v>
      </c>
      <c r="H994" s="71">
        <v>62.975999999999999</v>
      </c>
      <c r="I994" s="71">
        <v>146.84</v>
      </c>
      <c r="J994" s="70" t="s">
        <v>524</v>
      </c>
      <c r="K994" s="70" t="s">
        <v>48</v>
      </c>
      <c r="L994" s="74">
        <v>46134</v>
      </c>
    </row>
    <row r="995" spans="1:12" hidden="1" x14ac:dyDescent="0.25">
      <c r="A995" s="70" t="s">
        <v>1724</v>
      </c>
      <c r="B995" s="70" t="s">
        <v>2349</v>
      </c>
      <c r="C995" s="70" t="s">
        <v>2350</v>
      </c>
      <c r="D995" s="70">
        <v>1727</v>
      </c>
      <c r="E995" s="70">
        <v>-1</v>
      </c>
      <c r="F995" s="71">
        <v>17.77045</v>
      </c>
      <c r="G995" s="71">
        <v>28.75</v>
      </c>
      <c r="H995" s="71">
        <v>-17.77045</v>
      </c>
      <c r="I995" s="71">
        <v>-28.75</v>
      </c>
      <c r="J995" s="70" t="s">
        <v>524</v>
      </c>
      <c r="K995" s="70" t="s">
        <v>48</v>
      </c>
      <c r="L995" s="74">
        <v>46134</v>
      </c>
    </row>
    <row r="996" spans="1:12" hidden="1" x14ac:dyDescent="0.25">
      <c r="A996" s="70" t="s">
        <v>1724</v>
      </c>
      <c r="B996" s="70" t="s">
        <v>2351</v>
      </c>
      <c r="C996" s="70" t="s">
        <v>2352</v>
      </c>
      <c r="D996" s="70">
        <v>1727</v>
      </c>
      <c r="E996" s="70">
        <v>-2</v>
      </c>
      <c r="F996" s="71">
        <v>12</v>
      </c>
      <c r="G996" s="71">
        <v>19.71</v>
      </c>
      <c r="H996" s="71">
        <v>-24</v>
      </c>
      <c r="I996" s="71">
        <v>-39.42</v>
      </c>
      <c r="J996" s="70" t="s">
        <v>524</v>
      </c>
      <c r="K996" s="70" t="s">
        <v>48</v>
      </c>
      <c r="L996" s="74">
        <v>46134</v>
      </c>
    </row>
    <row r="997" spans="1:12" hidden="1" x14ac:dyDescent="0.25">
      <c r="A997" s="70" t="s">
        <v>1724</v>
      </c>
      <c r="B997" s="70" t="s">
        <v>2353</v>
      </c>
      <c r="C997" s="70" t="s">
        <v>2354</v>
      </c>
      <c r="D997" s="70">
        <v>1727</v>
      </c>
      <c r="E997" s="70">
        <v>-1</v>
      </c>
      <c r="F997" s="71">
        <v>22.718800000000002</v>
      </c>
      <c r="G997" s="71">
        <v>33.26</v>
      </c>
      <c r="H997" s="71">
        <v>-22.718800000000002</v>
      </c>
      <c r="I997" s="71">
        <v>-33.26</v>
      </c>
      <c r="J997" s="70" t="s">
        <v>524</v>
      </c>
      <c r="K997" s="70" t="s">
        <v>48</v>
      </c>
      <c r="L997" s="74">
        <v>46134</v>
      </c>
    </row>
    <row r="998" spans="1:12" hidden="1" x14ac:dyDescent="0.25">
      <c r="A998" s="70" t="s">
        <v>1724</v>
      </c>
      <c r="B998" s="70" t="s">
        <v>2355</v>
      </c>
      <c r="C998" s="70" t="s">
        <v>2356</v>
      </c>
      <c r="D998" s="70">
        <v>1727</v>
      </c>
      <c r="E998" s="70">
        <v>-1</v>
      </c>
      <c r="F998" s="71">
        <v>22.715399999999999</v>
      </c>
      <c r="G998" s="71">
        <v>33.26</v>
      </c>
      <c r="H998" s="71">
        <v>-22.715399999999999</v>
      </c>
      <c r="I998" s="71">
        <v>-33.26</v>
      </c>
      <c r="J998" s="70" t="s">
        <v>524</v>
      </c>
      <c r="K998" s="70" t="s">
        <v>48</v>
      </c>
      <c r="L998" s="74">
        <v>46134</v>
      </c>
    </row>
    <row r="999" spans="1:12" hidden="1" x14ac:dyDescent="0.25">
      <c r="A999" s="70" t="s">
        <v>1724</v>
      </c>
      <c r="B999" s="70" t="s">
        <v>2357</v>
      </c>
      <c r="C999" s="70" t="s">
        <v>2358</v>
      </c>
      <c r="D999" s="70">
        <v>1727</v>
      </c>
      <c r="E999" s="70">
        <v>-1</v>
      </c>
      <c r="F999" s="71">
        <v>22.718800000000002</v>
      </c>
      <c r="G999" s="71">
        <v>33.26</v>
      </c>
      <c r="H999" s="71">
        <v>-22.718800000000002</v>
      </c>
      <c r="I999" s="71">
        <v>-33.26</v>
      </c>
      <c r="J999" s="70" t="s">
        <v>524</v>
      </c>
      <c r="K999" s="70" t="s">
        <v>48</v>
      </c>
      <c r="L999" s="74">
        <v>46134</v>
      </c>
    </row>
    <row r="1000" spans="1:12" hidden="1" x14ac:dyDescent="0.25">
      <c r="A1000" s="70" t="s">
        <v>1724</v>
      </c>
      <c r="B1000" s="70" t="s">
        <v>2359</v>
      </c>
      <c r="C1000" s="70" t="s">
        <v>2360</v>
      </c>
      <c r="D1000" s="70">
        <v>1727</v>
      </c>
      <c r="E1000" s="70">
        <v>-1</v>
      </c>
      <c r="F1000" s="71">
        <v>168.3306</v>
      </c>
      <c r="G1000" s="71">
        <v>234.34</v>
      </c>
      <c r="H1000" s="71">
        <v>-168.3306</v>
      </c>
      <c r="I1000" s="71">
        <v>-234.34</v>
      </c>
      <c r="J1000" s="70" t="s">
        <v>524</v>
      </c>
      <c r="K1000" s="70" t="s">
        <v>48</v>
      </c>
      <c r="L1000" s="74">
        <v>46134</v>
      </c>
    </row>
    <row r="1001" spans="1:12" hidden="1" x14ac:dyDescent="0.25">
      <c r="A1001" s="70" t="s">
        <v>1724</v>
      </c>
      <c r="B1001" s="70" t="s">
        <v>737</v>
      </c>
      <c r="C1001" s="70" t="s">
        <v>738</v>
      </c>
      <c r="D1001" s="70">
        <v>1727</v>
      </c>
      <c r="E1001" s="70">
        <v>-10</v>
      </c>
      <c r="F1001" s="71">
        <v>3.15</v>
      </c>
      <c r="G1001" s="71">
        <v>5.18</v>
      </c>
      <c r="H1001" s="71">
        <v>-31.5</v>
      </c>
      <c r="I1001" s="71">
        <v>-51.8</v>
      </c>
      <c r="J1001" s="70" t="s">
        <v>524</v>
      </c>
      <c r="K1001" s="70" t="s">
        <v>48</v>
      </c>
      <c r="L1001" s="74">
        <v>46134</v>
      </c>
    </row>
    <row r="1002" spans="1:12" hidden="1" x14ac:dyDescent="0.25">
      <c r="A1002" s="70" t="s">
        <v>1367</v>
      </c>
      <c r="B1002" s="70" t="s">
        <v>2361</v>
      </c>
      <c r="C1002" s="70" t="s">
        <v>2362</v>
      </c>
      <c r="D1002" s="70">
        <v>1727</v>
      </c>
      <c r="E1002" s="70">
        <v>-1</v>
      </c>
      <c r="F1002" s="71">
        <v>17.718399999999999</v>
      </c>
      <c r="G1002" s="71">
        <v>40.81</v>
      </c>
      <c r="H1002" s="71">
        <v>-17.718399999999999</v>
      </c>
      <c r="I1002" s="71">
        <v>-40.81</v>
      </c>
      <c r="J1002" s="70" t="s">
        <v>524</v>
      </c>
      <c r="K1002" s="70" t="s">
        <v>48</v>
      </c>
      <c r="L1002" s="74">
        <v>46134</v>
      </c>
    </row>
    <row r="1003" spans="1:12" hidden="1" x14ac:dyDescent="0.25">
      <c r="A1003" s="70" t="s">
        <v>877</v>
      </c>
      <c r="B1003" s="70" t="s">
        <v>2363</v>
      </c>
      <c r="C1003" s="70" t="s">
        <v>2364</v>
      </c>
      <c r="D1003" s="70">
        <v>1703</v>
      </c>
      <c r="E1003" s="70">
        <v>-1</v>
      </c>
      <c r="F1003" s="71">
        <v>17.22448</v>
      </c>
      <c r="G1003" s="71">
        <v>34.299999999999997</v>
      </c>
      <c r="H1003" s="71">
        <v>-17.22448</v>
      </c>
      <c r="I1003" s="71">
        <v>-34.299999999999997</v>
      </c>
      <c r="J1003" s="70" t="s">
        <v>528</v>
      </c>
      <c r="K1003" s="70" t="s">
        <v>48</v>
      </c>
      <c r="L1003" s="74">
        <v>46141</v>
      </c>
    </row>
    <row r="1004" spans="1:12" hidden="1" x14ac:dyDescent="0.25">
      <c r="A1004" s="70" t="s">
        <v>877</v>
      </c>
      <c r="B1004" s="70" t="s">
        <v>2365</v>
      </c>
      <c r="C1004" s="70" t="s">
        <v>2366</v>
      </c>
      <c r="D1004" s="70">
        <v>1703</v>
      </c>
      <c r="E1004" s="70">
        <v>-1</v>
      </c>
      <c r="F1004" s="71">
        <v>3.4171999999999998</v>
      </c>
      <c r="G1004" s="71">
        <v>5.49</v>
      </c>
      <c r="H1004" s="71">
        <v>-3.4171999999999998</v>
      </c>
      <c r="I1004" s="71">
        <v>-5.49</v>
      </c>
      <c r="J1004" s="70" t="s">
        <v>528</v>
      </c>
      <c r="K1004" s="70" t="s">
        <v>48</v>
      </c>
      <c r="L1004" s="74">
        <v>46141</v>
      </c>
    </row>
    <row r="1005" spans="1:12" hidden="1" x14ac:dyDescent="0.25">
      <c r="A1005" s="70" t="s">
        <v>877</v>
      </c>
      <c r="B1005" s="70" t="s">
        <v>1448</v>
      </c>
      <c r="C1005" s="70" t="s">
        <v>1449</v>
      </c>
      <c r="D1005" s="70">
        <v>1703</v>
      </c>
      <c r="E1005" s="70">
        <v>-1</v>
      </c>
      <c r="F1005" s="71">
        <v>1.59</v>
      </c>
      <c r="G1005" s="71">
        <v>1.71</v>
      </c>
      <c r="H1005" s="71">
        <v>-1.59</v>
      </c>
      <c r="I1005" s="71">
        <v>-1.71</v>
      </c>
      <c r="J1005" s="70" t="s">
        <v>528</v>
      </c>
      <c r="K1005" s="70" t="s">
        <v>48</v>
      </c>
      <c r="L1005" s="74">
        <v>46141</v>
      </c>
    </row>
    <row r="1006" spans="1:12" hidden="1" x14ac:dyDescent="0.25">
      <c r="A1006" s="70" t="s">
        <v>898</v>
      </c>
      <c r="B1006" s="70" t="s">
        <v>2367</v>
      </c>
      <c r="C1006" s="70" t="s">
        <v>2368</v>
      </c>
      <c r="D1006" s="70">
        <v>1703</v>
      </c>
      <c r="E1006" s="70">
        <v>6</v>
      </c>
      <c r="F1006" s="71">
        <v>0.95</v>
      </c>
      <c r="G1006" s="71">
        <v>1.35</v>
      </c>
      <c r="H1006" s="71">
        <v>5.6999999999999993</v>
      </c>
      <c r="I1006" s="71">
        <v>8.1000000000000014</v>
      </c>
      <c r="J1006" s="70" t="s">
        <v>528</v>
      </c>
      <c r="K1006" s="70" t="s">
        <v>48</v>
      </c>
      <c r="L1006" s="74">
        <v>46141</v>
      </c>
    </row>
    <row r="1007" spans="1:12" hidden="1" x14ac:dyDescent="0.25">
      <c r="A1007" s="70" t="s">
        <v>898</v>
      </c>
      <c r="B1007" s="70" t="s">
        <v>2369</v>
      </c>
      <c r="C1007" s="70" t="s">
        <v>2370</v>
      </c>
      <c r="D1007" s="70">
        <v>1703</v>
      </c>
      <c r="E1007" s="70">
        <v>2</v>
      </c>
      <c r="F1007" s="71">
        <v>3.21</v>
      </c>
      <c r="G1007" s="71">
        <v>3.65</v>
      </c>
      <c r="H1007" s="71">
        <v>6.4200000000000008</v>
      </c>
      <c r="I1007" s="71">
        <v>7.3</v>
      </c>
      <c r="J1007" s="70" t="s">
        <v>528</v>
      </c>
      <c r="K1007" s="70" t="s">
        <v>48</v>
      </c>
      <c r="L1007" s="74">
        <v>46141</v>
      </c>
    </row>
    <row r="1008" spans="1:12" hidden="1" x14ac:dyDescent="0.25">
      <c r="A1008" s="70" t="s">
        <v>898</v>
      </c>
      <c r="B1008" s="70" t="s">
        <v>2371</v>
      </c>
      <c r="C1008" s="70" t="s">
        <v>2372</v>
      </c>
      <c r="D1008" s="70">
        <v>1703</v>
      </c>
      <c r="E1008" s="70">
        <v>3</v>
      </c>
      <c r="F1008" s="71">
        <v>1.1000000000000001</v>
      </c>
      <c r="G1008" s="71">
        <v>1.56</v>
      </c>
      <c r="H1008" s="71">
        <v>3.3</v>
      </c>
      <c r="I1008" s="71">
        <v>4.68</v>
      </c>
      <c r="J1008" s="70" t="s">
        <v>528</v>
      </c>
      <c r="K1008" s="70" t="s">
        <v>48</v>
      </c>
      <c r="L1008" s="74">
        <v>46141</v>
      </c>
    </row>
    <row r="1009" spans="1:12" hidden="1" x14ac:dyDescent="0.25">
      <c r="A1009" s="70" t="s">
        <v>898</v>
      </c>
      <c r="B1009" s="70" t="s">
        <v>2373</v>
      </c>
      <c r="C1009" s="70" t="s">
        <v>2374</v>
      </c>
      <c r="D1009" s="70">
        <v>1703</v>
      </c>
      <c r="E1009" s="70">
        <v>1</v>
      </c>
      <c r="F1009" s="71">
        <v>2.6680000000000001</v>
      </c>
      <c r="G1009" s="71">
        <v>3.86</v>
      </c>
      <c r="H1009" s="71">
        <v>2.6680000000000001</v>
      </c>
      <c r="I1009" s="71">
        <v>3.86</v>
      </c>
      <c r="J1009" s="70" t="s">
        <v>528</v>
      </c>
      <c r="K1009" s="70" t="s">
        <v>48</v>
      </c>
      <c r="L1009" s="74">
        <v>46141</v>
      </c>
    </row>
    <row r="1010" spans="1:12" hidden="1" x14ac:dyDescent="0.25">
      <c r="A1010" s="70" t="s">
        <v>911</v>
      </c>
      <c r="B1010" s="70" t="s">
        <v>2375</v>
      </c>
      <c r="C1010" s="70" t="s">
        <v>2376</v>
      </c>
      <c r="D1010" s="70">
        <v>1703</v>
      </c>
      <c r="E1010" s="70">
        <v>4</v>
      </c>
      <c r="F1010" s="71">
        <v>0.72</v>
      </c>
      <c r="G1010" s="71">
        <v>1.02</v>
      </c>
      <c r="H1010" s="71">
        <v>2.88</v>
      </c>
      <c r="I1010" s="71">
        <v>4.08</v>
      </c>
      <c r="J1010" s="70" t="s">
        <v>528</v>
      </c>
      <c r="K1010" s="70" t="s">
        <v>48</v>
      </c>
      <c r="L1010" s="74">
        <v>46141</v>
      </c>
    </row>
    <row r="1011" spans="1:12" hidden="1" x14ac:dyDescent="0.25">
      <c r="A1011" s="70" t="s">
        <v>911</v>
      </c>
      <c r="B1011" s="70" t="s">
        <v>2377</v>
      </c>
      <c r="C1011" s="70" t="s">
        <v>2378</v>
      </c>
      <c r="D1011" s="70">
        <v>1703</v>
      </c>
      <c r="E1011" s="70">
        <v>1</v>
      </c>
      <c r="F1011" s="71">
        <v>15.358000000000001</v>
      </c>
      <c r="G1011" s="71">
        <v>34.79</v>
      </c>
      <c r="H1011" s="71">
        <v>15.358000000000001</v>
      </c>
      <c r="I1011" s="71">
        <v>34.79</v>
      </c>
      <c r="J1011" s="70" t="s">
        <v>528</v>
      </c>
      <c r="K1011" s="70" t="s">
        <v>48</v>
      </c>
      <c r="L1011" s="74">
        <v>46141</v>
      </c>
    </row>
    <row r="1012" spans="1:12" hidden="1" x14ac:dyDescent="0.25">
      <c r="A1012" s="70" t="s">
        <v>911</v>
      </c>
      <c r="B1012" s="70" t="s">
        <v>2379</v>
      </c>
      <c r="C1012" s="70" t="s">
        <v>2380</v>
      </c>
      <c r="D1012" s="70">
        <v>1703</v>
      </c>
      <c r="E1012" s="70">
        <v>4</v>
      </c>
      <c r="F1012" s="71">
        <v>0.66</v>
      </c>
      <c r="G1012" s="71">
        <v>0.94</v>
      </c>
      <c r="H1012" s="71">
        <v>2.64</v>
      </c>
      <c r="I1012" s="71">
        <v>3.76</v>
      </c>
      <c r="J1012" s="70" t="s">
        <v>528</v>
      </c>
      <c r="K1012" s="70" t="s">
        <v>48</v>
      </c>
      <c r="L1012" s="74">
        <v>46141</v>
      </c>
    </row>
    <row r="1013" spans="1:12" hidden="1" x14ac:dyDescent="0.25">
      <c r="A1013" s="70" t="s">
        <v>911</v>
      </c>
      <c r="B1013" s="70" t="s">
        <v>2381</v>
      </c>
      <c r="C1013" s="70" t="s">
        <v>2382</v>
      </c>
      <c r="D1013" s="70">
        <v>1703</v>
      </c>
      <c r="E1013" s="70">
        <v>2</v>
      </c>
      <c r="F1013" s="71">
        <v>0.7258</v>
      </c>
      <c r="G1013" s="71">
        <v>1.08</v>
      </c>
      <c r="H1013" s="71">
        <v>1.4516</v>
      </c>
      <c r="I1013" s="71">
        <v>2.16</v>
      </c>
      <c r="J1013" s="70" t="s">
        <v>528</v>
      </c>
      <c r="K1013" s="70" t="s">
        <v>48</v>
      </c>
      <c r="L1013" s="74">
        <v>46141</v>
      </c>
    </row>
    <row r="1014" spans="1:12" hidden="1" x14ac:dyDescent="0.25">
      <c r="A1014" s="70" t="s">
        <v>911</v>
      </c>
      <c r="B1014" s="70" t="s">
        <v>2383</v>
      </c>
      <c r="C1014" s="70" t="s">
        <v>2384</v>
      </c>
      <c r="D1014" s="70">
        <v>1703</v>
      </c>
      <c r="E1014" s="70">
        <v>1</v>
      </c>
      <c r="F1014" s="71">
        <v>41.747500000000002</v>
      </c>
      <c r="G1014" s="71">
        <v>62.35</v>
      </c>
      <c r="H1014" s="71">
        <v>41.747500000000002</v>
      </c>
      <c r="I1014" s="71">
        <v>62.35</v>
      </c>
      <c r="J1014" s="70" t="s">
        <v>528</v>
      </c>
      <c r="K1014" s="70" t="s">
        <v>48</v>
      </c>
      <c r="L1014" s="74">
        <v>46141</v>
      </c>
    </row>
    <row r="1015" spans="1:12" hidden="1" x14ac:dyDescent="0.25">
      <c r="A1015" s="70" t="s">
        <v>911</v>
      </c>
      <c r="B1015" s="70" t="s">
        <v>2385</v>
      </c>
      <c r="C1015" s="70" t="s">
        <v>2386</v>
      </c>
      <c r="D1015" s="70">
        <v>1703</v>
      </c>
      <c r="E1015" s="70">
        <v>1</v>
      </c>
      <c r="F1015" s="71">
        <v>15.461600000000001</v>
      </c>
      <c r="G1015" s="71">
        <v>37.19</v>
      </c>
      <c r="H1015" s="71">
        <v>15.461600000000001</v>
      </c>
      <c r="I1015" s="71">
        <v>37.19</v>
      </c>
      <c r="J1015" s="70" t="s">
        <v>528</v>
      </c>
      <c r="K1015" s="70" t="s">
        <v>48</v>
      </c>
      <c r="L1015" s="74">
        <v>46141</v>
      </c>
    </row>
    <row r="1016" spans="1:12" hidden="1" x14ac:dyDescent="0.25">
      <c r="A1016" s="70" t="s">
        <v>922</v>
      </c>
      <c r="B1016" s="70" t="s">
        <v>2387</v>
      </c>
      <c r="C1016" s="70" t="s">
        <v>2388</v>
      </c>
      <c r="D1016" s="70">
        <v>1703</v>
      </c>
      <c r="E1016" s="70">
        <v>-4</v>
      </c>
      <c r="F1016" s="71">
        <v>0.67</v>
      </c>
      <c r="G1016" s="71">
        <v>0.95</v>
      </c>
      <c r="H1016" s="71">
        <v>-2.68</v>
      </c>
      <c r="I1016" s="71">
        <v>-3.8</v>
      </c>
      <c r="J1016" s="70" t="s">
        <v>528</v>
      </c>
      <c r="K1016" s="70" t="s">
        <v>48</v>
      </c>
      <c r="L1016" s="74">
        <v>46141</v>
      </c>
    </row>
    <row r="1017" spans="1:12" hidden="1" x14ac:dyDescent="0.25">
      <c r="A1017" s="70" t="s">
        <v>922</v>
      </c>
      <c r="B1017" s="70" t="s">
        <v>2389</v>
      </c>
      <c r="C1017" s="70" t="s">
        <v>2390</v>
      </c>
      <c r="D1017" s="70">
        <v>1703</v>
      </c>
      <c r="E1017" s="70">
        <v>-1</v>
      </c>
      <c r="F1017" s="71">
        <v>14.0425</v>
      </c>
      <c r="G1017" s="71">
        <v>35.31</v>
      </c>
      <c r="H1017" s="71">
        <v>-14.0425</v>
      </c>
      <c r="I1017" s="71">
        <v>-35.31</v>
      </c>
      <c r="J1017" s="70" t="s">
        <v>528</v>
      </c>
      <c r="K1017" s="70" t="s">
        <v>48</v>
      </c>
      <c r="L1017" s="74">
        <v>46141</v>
      </c>
    </row>
    <row r="1018" spans="1:12" hidden="1" x14ac:dyDescent="0.25">
      <c r="A1018" s="70" t="s">
        <v>922</v>
      </c>
      <c r="B1018" s="70" t="s">
        <v>2391</v>
      </c>
      <c r="C1018" s="70" t="s">
        <v>2392</v>
      </c>
      <c r="D1018" s="70">
        <v>1703</v>
      </c>
      <c r="E1018" s="70">
        <v>-4</v>
      </c>
      <c r="F1018" s="71">
        <v>0.50149999999999995</v>
      </c>
      <c r="G1018" s="71">
        <v>0.71</v>
      </c>
      <c r="H1018" s="71">
        <v>-2.0059999999999998</v>
      </c>
      <c r="I1018" s="71">
        <v>-2.84</v>
      </c>
      <c r="J1018" s="70" t="s">
        <v>528</v>
      </c>
      <c r="K1018" s="70" t="s">
        <v>48</v>
      </c>
      <c r="L1018" s="74">
        <v>46141</v>
      </c>
    </row>
    <row r="1019" spans="1:12" hidden="1" x14ac:dyDescent="0.25">
      <c r="A1019" s="70" t="s">
        <v>922</v>
      </c>
      <c r="B1019" s="70" t="s">
        <v>2387</v>
      </c>
      <c r="C1019" s="70" t="s">
        <v>2388</v>
      </c>
      <c r="D1019" s="70">
        <v>1703</v>
      </c>
      <c r="E1019" s="70">
        <v>-2</v>
      </c>
      <c r="F1019" s="71">
        <v>0.67</v>
      </c>
      <c r="G1019" s="71">
        <v>0.95</v>
      </c>
      <c r="H1019" s="71">
        <v>-1.34</v>
      </c>
      <c r="I1019" s="71">
        <v>-1.9</v>
      </c>
      <c r="J1019" s="70" t="s">
        <v>528</v>
      </c>
      <c r="K1019" s="70" t="s">
        <v>48</v>
      </c>
      <c r="L1019" s="74">
        <v>46141</v>
      </c>
    </row>
    <row r="1020" spans="1:12" hidden="1" x14ac:dyDescent="0.25">
      <c r="A1020" s="70" t="s">
        <v>922</v>
      </c>
      <c r="B1020" s="70" t="s">
        <v>2393</v>
      </c>
      <c r="C1020" s="70" t="s">
        <v>2394</v>
      </c>
      <c r="D1020" s="70">
        <v>1703</v>
      </c>
      <c r="E1020" s="70">
        <v>-1</v>
      </c>
      <c r="F1020" s="71">
        <v>35.780450000000002</v>
      </c>
      <c r="G1020" s="71">
        <v>53.44</v>
      </c>
      <c r="H1020" s="71">
        <v>-35.780450000000002</v>
      </c>
      <c r="I1020" s="71">
        <v>-53.44</v>
      </c>
      <c r="J1020" s="70" t="s">
        <v>528</v>
      </c>
      <c r="K1020" s="70" t="s">
        <v>48</v>
      </c>
      <c r="L1020" s="74">
        <v>46141</v>
      </c>
    </row>
    <row r="1021" spans="1:12" hidden="1" x14ac:dyDescent="0.25">
      <c r="A1021" s="70" t="s">
        <v>922</v>
      </c>
      <c r="B1021" s="70" t="s">
        <v>2395</v>
      </c>
      <c r="C1021" s="70" t="s">
        <v>2396</v>
      </c>
      <c r="D1021" s="70">
        <v>1703</v>
      </c>
      <c r="E1021" s="70">
        <v>-1</v>
      </c>
      <c r="F1021" s="71">
        <v>15.461600000000001</v>
      </c>
      <c r="G1021" s="71">
        <v>37.19</v>
      </c>
      <c r="H1021" s="71">
        <v>-15.461600000000001</v>
      </c>
      <c r="I1021" s="71">
        <v>-37.19</v>
      </c>
      <c r="J1021" s="70" t="s">
        <v>528</v>
      </c>
      <c r="K1021" s="70" t="s">
        <v>48</v>
      </c>
      <c r="L1021" s="74">
        <v>46141</v>
      </c>
    </row>
    <row r="1022" spans="1:12" hidden="1" x14ac:dyDescent="0.25">
      <c r="A1022" s="70" t="s">
        <v>1468</v>
      </c>
      <c r="B1022" s="70" t="s">
        <v>2397</v>
      </c>
      <c r="C1022" s="70" t="s">
        <v>2398</v>
      </c>
      <c r="D1022" s="70">
        <v>1703</v>
      </c>
      <c r="E1022" s="70">
        <v>-1</v>
      </c>
      <c r="F1022" s="71">
        <v>194.24199999999999</v>
      </c>
      <c r="G1022" s="71">
        <v>251.86</v>
      </c>
      <c r="H1022" s="71">
        <v>-194.24199999999999</v>
      </c>
      <c r="I1022" s="71">
        <v>-251.86</v>
      </c>
      <c r="J1022" s="70" t="s">
        <v>528</v>
      </c>
      <c r="K1022" s="70" t="s">
        <v>48</v>
      </c>
      <c r="L1022" s="74">
        <v>46141</v>
      </c>
    </row>
    <row r="1023" spans="1:12" hidden="1" x14ac:dyDescent="0.25">
      <c r="A1023" s="70" t="s">
        <v>1468</v>
      </c>
      <c r="B1023" s="70" t="s">
        <v>2399</v>
      </c>
      <c r="C1023" s="70" t="s">
        <v>2400</v>
      </c>
      <c r="D1023" s="70">
        <v>1703</v>
      </c>
      <c r="E1023" s="70">
        <v>-1</v>
      </c>
      <c r="F1023" s="71">
        <v>100.82</v>
      </c>
      <c r="G1023" s="71">
        <v>141.38999999999999</v>
      </c>
      <c r="H1023" s="71">
        <v>-100.82</v>
      </c>
      <c r="I1023" s="71">
        <v>-141.38999999999999</v>
      </c>
      <c r="J1023" s="70" t="s">
        <v>528</v>
      </c>
      <c r="K1023" s="70" t="s">
        <v>48</v>
      </c>
      <c r="L1023" s="74">
        <v>46141</v>
      </c>
    </row>
    <row r="1024" spans="1:12" hidden="1" x14ac:dyDescent="0.25">
      <c r="A1024" s="70" t="s">
        <v>1468</v>
      </c>
      <c r="B1024" s="70" t="s">
        <v>2401</v>
      </c>
      <c r="C1024" s="70" t="s">
        <v>2402</v>
      </c>
      <c r="D1024" s="70">
        <v>1703</v>
      </c>
      <c r="E1024" s="70">
        <v>-1</v>
      </c>
      <c r="F1024" s="71">
        <v>12.994999999999999</v>
      </c>
      <c r="G1024" s="71">
        <v>18.45</v>
      </c>
      <c r="H1024" s="71">
        <v>-12.994999999999999</v>
      </c>
      <c r="I1024" s="71">
        <v>-18.45</v>
      </c>
      <c r="J1024" s="70" t="s">
        <v>528</v>
      </c>
      <c r="K1024" s="70" t="s">
        <v>48</v>
      </c>
      <c r="L1024" s="74">
        <v>46141</v>
      </c>
    </row>
    <row r="1025" spans="1:12" hidden="1" x14ac:dyDescent="0.25">
      <c r="A1025" s="70" t="s">
        <v>877</v>
      </c>
      <c r="B1025" s="70" t="s">
        <v>986</v>
      </c>
      <c r="C1025" s="70" t="s">
        <v>987</v>
      </c>
      <c r="D1025" s="70">
        <v>1508</v>
      </c>
      <c r="E1025" s="70">
        <v>-1</v>
      </c>
      <c r="F1025" s="71">
        <v>4.7413999999999996</v>
      </c>
      <c r="G1025" s="71">
        <v>13.76</v>
      </c>
      <c r="H1025" s="71">
        <v>-4.7413999999999996</v>
      </c>
      <c r="I1025" s="71">
        <v>-13.76</v>
      </c>
      <c r="J1025" s="70" t="s">
        <v>531</v>
      </c>
      <c r="K1025" s="70" t="s">
        <v>48</v>
      </c>
      <c r="L1025" s="74">
        <v>46141</v>
      </c>
    </row>
    <row r="1026" spans="1:12" hidden="1" x14ac:dyDescent="0.25">
      <c r="A1026" s="70" t="s">
        <v>877</v>
      </c>
      <c r="B1026" s="70" t="s">
        <v>2403</v>
      </c>
      <c r="C1026" s="70" t="s">
        <v>2404</v>
      </c>
      <c r="D1026" s="70">
        <v>1508</v>
      </c>
      <c r="E1026" s="70">
        <v>-1</v>
      </c>
      <c r="F1026" s="71">
        <v>1.1101000000000001</v>
      </c>
      <c r="G1026" s="71">
        <v>3.51</v>
      </c>
      <c r="H1026" s="71">
        <v>-1.1101000000000001</v>
      </c>
      <c r="I1026" s="71">
        <v>-3.51</v>
      </c>
      <c r="J1026" s="70" t="s">
        <v>531</v>
      </c>
      <c r="K1026" s="70" t="s">
        <v>48</v>
      </c>
      <c r="L1026" s="74">
        <v>46141</v>
      </c>
    </row>
    <row r="1027" spans="1:12" hidden="1" x14ac:dyDescent="0.25">
      <c r="A1027" s="70" t="s">
        <v>922</v>
      </c>
      <c r="B1027" s="70" t="s">
        <v>1048</v>
      </c>
      <c r="C1027" s="70" t="s">
        <v>1047</v>
      </c>
      <c r="D1027" s="70">
        <v>1508</v>
      </c>
      <c r="E1027" s="70">
        <v>-2</v>
      </c>
      <c r="F1027" s="71">
        <v>29.065100000000001</v>
      </c>
      <c r="G1027" s="71">
        <v>67.239999999999995</v>
      </c>
      <c r="H1027" s="71">
        <v>-58.130200000000002</v>
      </c>
      <c r="I1027" s="71">
        <v>-134.47999999999999</v>
      </c>
      <c r="J1027" s="70" t="s">
        <v>531</v>
      </c>
      <c r="K1027" s="70" t="s">
        <v>48</v>
      </c>
      <c r="L1027" s="74">
        <v>46141</v>
      </c>
    </row>
    <row r="1028" spans="1:12" hidden="1" x14ac:dyDescent="0.25">
      <c r="A1028" s="70" t="s">
        <v>911</v>
      </c>
      <c r="B1028" s="70" t="s">
        <v>1046</v>
      </c>
      <c r="C1028" s="70" t="s">
        <v>1047</v>
      </c>
      <c r="D1028" s="70">
        <v>1508</v>
      </c>
      <c r="E1028" s="70">
        <v>2</v>
      </c>
      <c r="F1028" s="71">
        <v>25.326499999999999</v>
      </c>
      <c r="G1028" s="71">
        <v>64.86</v>
      </c>
      <c r="H1028" s="71">
        <v>50.652999999999999</v>
      </c>
      <c r="I1028" s="71">
        <v>129.72</v>
      </c>
      <c r="J1028" s="70" t="s">
        <v>531</v>
      </c>
      <c r="K1028" s="70" t="s">
        <v>48</v>
      </c>
      <c r="L1028" s="74">
        <v>46141</v>
      </c>
    </row>
    <row r="1029" spans="1:12" hidden="1" x14ac:dyDescent="0.25">
      <c r="A1029" s="70" t="s">
        <v>898</v>
      </c>
      <c r="B1029" s="70" t="s">
        <v>2405</v>
      </c>
      <c r="C1029" s="70" t="s">
        <v>2406</v>
      </c>
      <c r="D1029" s="70">
        <v>1508</v>
      </c>
      <c r="E1029" s="70">
        <v>1</v>
      </c>
      <c r="F1029" s="71">
        <v>14.942299999999999</v>
      </c>
      <c r="G1029" s="71">
        <v>30.15</v>
      </c>
      <c r="H1029" s="71">
        <v>14.942299999999999</v>
      </c>
      <c r="I1029" s="71">
        <v>30.15</v>
      </c>
      <c r="J1029" s="70" t="s">
        <v>531</v>
      </c>
      <c r="K1029" s="70" t="s">
        <v>48</v>
      </c>
      <c r="L1029" s="74">
        <v>46141</v>
      </c>
    </row>
    <row r="1030" spans="1:12" hidden="1" x14ac:dyDescent="0.25">
      <c r="A1030" s="70" t="s">
        <v>877</v>
      </c>
      <c r="B1030" s="70" t="s">
        <v>2407</v>
      </c>
      <c r="C1030" s="70" t="s">
        <v>2408</v>
      </c>
      <c r="D1030" s="70">
        <v>1508</v>
      </c>
      <c r="E1030" s="70">
        <v>-1</v>
      </c>
      <c r="F1030" s="71">
        <v>2.0333333333333301</v>
      </c>
      <c r="G1030" s="71">
        <v>3.04</v>
      </c>
      <c r="H1030" s="71">
        <v>-2.0333333333333301</v>
      </c>
      <c r="I1030" s="71">
        <v>-3.04</v>
      </c>
      <c r="J1030" s="70" t="s">
        <v>531</v>
      </c>
      <c r="K1030" s="70" t="s">
        <v>48</v>
      </c>
      <c r="L1030" s="74">
        <v>46141</v>
      </c>
    </row>
    <row r="1031" spans="1:12" hidden="1" x14ac:dyDescent="0.25">
      <c r="A1031" s="70" t="s">
        <v>877</v>
      </c>
      <c r="B1031" s="70" t="s">
        <v>2409</v>
      </c>
      <c r="C1031" s="70" t="s">
        <v>2410</v>
      </c>
      <c r="D1031" s="70">
        <v>1508</v>
      </c>
      <c r="E1031" s="70">
        <v>-2</v>
      </c>
      <c r="F1031" s="71">
        <v>0.87439999999999996</v>
      </c>
      <c r="G1031" s="71">
        <v>2.4300000000000002</v>
      </c>
      <c r="H1031" s="71">
        <v>-1.7487999999999999</v>
      </c>
      <c r="I1031" s="71">
        <v>-4.8600000000000003</v>
      </c>
      <c r="J1031" s="70" t="s">
        <v>531</v>
      </c>
      <c r="K1031" s="70" t="s">
        <v>48</v>
      </c>
      <c r="L1031" s="74">
        <v>46141</v>
      </c>
    </row>
    <row r="1032" spans="1:12" hidden="1" x14ac:dyDescent="0.25">
      <c r="A1032" s="70" t="s">
        <v>898</v>
      </c>
      <c r="B1032" s="70" t="s">
        <v>2411</v>
      </c>
      <c r="C1032" s="70" t="s">
        <v>1193</v>
      </c>
      <c r="D1032" s="70">
        <v>1508</v>
      </c>
      <c r="E1032" s="70">
        <v>1</v>
      </c>
      <c r="F1032" s="71">
        <v>16.7895</v>
      </c>
      <c r="G1032" s="71">
        <v>33.119999999999997</v>
      </c>
      <c r="H1032" s="71">
        <v>16.7895</v>
      </c>
      <c r="I1032" s="71">
        <v>33.119999999999997</v>
      </c>
      <c r="J1032" s="70" t="s">
        <v>531</v>
      </c>
      <c r="K1032" s="70" t="s">
        <v>48</v>
      </c>
      <c r="L1032" s="74">
        <v>46141</v>
      </c>
    </row>
    <row r="1033" spans="1:12" hidden="1" x14ac:dyDescent="0.25">
      <c r="A1033" s="70" t="s">
        <v>911</v>
      </c>
      <c r="B1033" s="70" t="s">
        <v>1042</v>
      </c>
      <c r="C1033" s="70" t="s">
        <v>1043</v>
      </c>
      <c r="D1033" s="70">
        <v>1508</v>
      </c>
      <c r="E1033" s="70">
        <v>1</v>
      </c>
      <c r="F1033" s="71">
        <v>11.69</v>
      </c>
      <c r="G1033" s="71">
        <v>17.45</v>
      </c>
      <c r="H1033" s="71">
        <v>11.69</v>
      </c>
      <c r="I1033" s="71">
        <v>17.45</v>
      </c>
      <c r="J1033" s="70" t="s">
        <v>531</v>
      </c>
      <c r="K1033" s="70" t="s">
        <v>48</v>
      </c>
      <c r="L1033" s="74">
        <v>46141</v>
      </c>
    </row>
    <row r="1034" spans="1:12" hidden="1" x14ac:dyDescent="0.25">
      <c r="A1034" s="70" t="s">
        <v>922</v>
      </c>
      <c r="B1034" s="70" t="s">
        <v>1044</v>
      </c>
      <c r="C1034" s="70" t="s">
        <v>1045</v>
      </c>
      <c r="D1034" s="70">
        <v>1508</v>
      </c>
      <c r="E1034" s="70">
        <v>-1</v>
      </c>
      <c r="F1034" s="71">
        <v>26.234400000000001</v>
      </c>
      <c r="G1034" s="71">
        <v>38.409999999999997</v>
      </c>
      <c r="H1034" s="71">
        <v>-26.234400000000001</v>
      </c>
      <c r="I1034" s="71">
        <v>-38.409999999999997</v>
      </c>
      <c r="J1034" s="70" t="s">
        <v>531</v>
      </c>
      <c r="K1034" s="70" t="s">
        <v>48</v>
      </c>
      <c r="L1034" s="74">
        <v>46141</v>
      </c>
    </row>
    <row r="1035" spans="1:12" hidden="1" x14ac:dyDescent="0.25">
      <c r="A1035" s="70" t="s">
        <v>877</v>
      </c>
      <c r="B1035" s="70" t="s">
        <v>2412</v>
      </c>
      <c r="C1035" s="70" t="s">
        <v>2413</v>
      </c>
      <c r="D1035" s="70">
        <v>1508</v>
      </c>
      <c r="E1035" s="70">
        <v>-1</v>
      </c>
      <c r="F1035" s="71">
        <v>62.005600000000001</v>
      </c>
      <c r="G1035" s="71">
        <v>90.79</v>
      </c>
      <c r="H1035" s="71">
        <v>-62.005600000000001</v>
      </c>
      <c r="I1035" s="71">
        <v>-90.79</v>
      </c>
      <c r="J1035" s="70" t="s">
        <v>531</v>
      </c>
      <c r="K1035" s="70" t="s">
        <v>48</v>
      </c>
      <c r="L1035" s="74">
        <v>46141</v>
      </c>
    </row>
    <row r="1036" spans="1:12" hidden="1" x14ac:dyDescent="0.25">
      <c r="A1036" s="70" t="s">
        <v>922</v>
      </c>
      <c r="B1036" s="70" t="s">
        <v>2414</v>
      </c>
      <c r="C1036" s="70" t="s">
        <v>2415</v>
      </c>
      <c r="D1036" s="70">
        <v>1508</v>
      </c>
      <c r="E1036" s="70">
        <v>-1</v>
      </c>
      <c r="F1036" s="71">
        <v>17.905000000000001</v>
      </c>
      <c r="G1036" s="71">
        <v>65.27</v>
      </c>
      <c r="H1036" s="71">
        <v>-17.905000000000001</v>
      </c>
      <c r="I1036" s="71">
        <v>-65.27</v>
      </c>
      <c r="J1036" s="70" t="s">
        <v>531</v>
      </c>
      <c r="K1036" s="70" t="s">
        <v>48</v>
      </c>
      <c r="L1036" s="74">
        <v>46141</v>
      </c>
    </row>
    <row r="1037" spans="1:12" hidden="1" x14ac:dyDescent="0.25">
      <c r="A1037" s="70" t="s">
        <v>911</v>
      </c>
      <c r="B1037" s="70" t="s">
        <v>2416</v>
      </c>
      <c r="C1037" s="70" t="s">
        <v>2417</v>
      </c>
      <c r="D1037" s="70">
        <v>1508</v>
      </c>
      <c r="E1037" s="70">
        <v>1</v>
      </c>
      <c r="F1037" s="71">
        <v>20.308399999999999</v>
      </c>
      <c r="G1037" s="71">
        <v>74.03</v>
      </c>
      <c r="H1037" s="71">
        <v>20.308399999999999</v>
      </c>
      <c r="I1037" s="71">
        <v>74.03</v>
      </c>
      <c r="J1037" s="70" t="s">
        <v>531</v>
      </c>
      <c r="K1037" s="70" t="s">
        <v>48</v>
      </c>
      <c r="L1037" s="74">
        <v>46141</v>
      </c>
    </row>
    <row r="1038" spans="1:12" hidden="1" x14ac:dyDescent="0.25">
      <c r="A1038" s="70" t="s">
        <v>877</v>
      </c>
      <c r="B1038" s="70" t="s">
        <v>2418</v>
      </c>
      <c r="C1038" s="70" t="s">
        <v>2419</v>
      </c>
      <c r="D1038" s="70">
        <v>1508</v>
      </c>
      <c r="E1038" s="70">
        <v>-1</v>
      </c>
      <c r="F1038" s="71">
        <v>3.2866666666666702</v>
      </c>
      <c r="G1038" s="71">
        <v>4.74</v>
      </c>
      <c r="H1038" s="71">
        <v>-3.2866666666666702</v>
      </c>
      <c r="I1038" s="71">
        <v>-4.74</v>
      </c>
      <c r="J1038" s="70" t="s">
        <v>531</v>
      </c>
      <c r="K1038" s="70" t="s">
        <v>48</v>
      </c>
      <c r="L1038" s="74">
        <v>46141</v>
      </c>
    </row>
    <row r="1039" spans="1:12" hidden="1" x14ac:dyDescent="0.25">
      <c r="A1039" s="70" t="s">
        <v>877</v>
      </c>
      <c r="B1039" s="70" t="s">
        <v>2420</v>
      </c>
      <c r="C1039" s="70" t="s">
        <v>2421</v>
      </c>
      <c r="D1039" s="70">
        <v>1508</v>
      </c>
      <c r="E1039" s="70">
        <v>-1</v>
      </c>
      <c r="F1039" s="71">
        <v>10.0776</v>
      </c>
      <c r="G1039" s="71">
        <v>14.03</v>
      </c>
      <c r="H1039" s="71">
        <v>-10.0776</v>
      </c>
      <c r="I1039" s="71">
        <v>-14.03</v>
      </c>
      <c r="J1039" s="70" t="s">
        <v>531</v>
      </c>
      <c r="K1039" s="70" t="s">
        <v>48</v>
      </c>
      <c r="L1039" s="74">
        <v>46141</v>
      </c>
    </row>
    <row r="1040" spans="1:12" hidden="1" x14ac:dyDescent="0.25">
      <c r="A1040" s="70" t="s">
        <v>877</v>
      </c>
      <c r="B1040" s="70" t="s">
        <v>2422</v>
      </c>
      <c r="C1040" s="70" t="s">
        <v>2423</v>
      </c>
      <c r="D1040" s="70">
        <v>1508</v>
      </c>
      <c r="E1040" s="70">
        <v>-1</v>
      </c>
      <c r="F1040" s="71">
        <v>2.8374000000000001</v>
      </c>
      <c r="G1040" s="71">
        <v>5.6</v>
      </c>
      <c r="H1040" s="71">
        <v>-2.8374000000000001</v>
      </c>
      <c r="I1040" s="71">
        <v>-5.6</v>
      </c>
      <c r="J1040" s="70" t="s">
        <v>531</v>
      </c>
      <c r="K1040" s="70" t="s">
        <v>48</v>
      </c>
      <c r="L1040" s="74">
        <v>46141</v>
      </c>
    </row>
    <row r="1041" spans="1:12" hidden="1" x14ac:dyDescent="0.25">
      <c r="A1041" s="70" t="s">
        <v>922</v>
      </c>
      <c r="B1041" s="70" t="s">
        <v>707</v>
      </c>
      <c r="C1041" s="70" t="s">
        <v>708</v>
      </c>
      <c r="D1041" s="70">
        <v>1508</v>
      </c>
      <c r="E1041" s="70">
        <v>-1</v>
      </c>
      <c r="F1041" s="71">
        <v>8.3339999999999996</v>
      </c>
      <c r="G1041" s="71">
        <v>18.25</v>
      </c>
      <c r="H1041" s="71">
        <v>-8.3339999999999996</v>
      </c>
      <c r="I1041" s="71">
        <v>-18.25</v>
      </c>
      <c r="J1041" s="70" t="s">
        <v>531</v>
      </c>
      <c r="K1041" s="70" t="s">
        <v>48</v>
      </c>
      <c r="L1041" s="74">
        <v>46141</v>
      </c>
    </row>
    <row r="1042" spans="1:12" hidden="1" x14ac:dyDescent="0.25">
      <c r="A1042" s="70" t="s">
        <v>911</v>
      </c>
      <c r="B1042" s="70" t="s">
        <v>2317</v>
      </c>
      <c r="C1042" s="70" t="s">
        <v>2318</v>
      </c>
      <c r="D1042" s="70">
        <v>1508</v>
      </c>
      <c r="E1042" s="70">
        <v>1</v>
      </c>
      <c r="F1042" s="71">
        <v>8.3341999999999992</v>
      </c>
      <c r="G1042" s="71">
        <v>18.25</v>
      </c>
      <c r="H1042" s="71">
        <v>8.3341999999999992</v>
      </c>
      <c r="I1042" s="71">
        <v>18.25</v>
      </c>
      <c r="J1042" s="70" t="s">
        <v>531</v>
      </c>
      <c r="K1042" s="70" t="s">
        <v>48</v>
      </c>
      <c r="L1042" s="74">
        <v>46141</v>
      </c>
    </row>
    <row r="1043" spans="1:12" hidden="1" x14ac:dyDescent="0.25">
      <c r="A1043" s="70" t="s">
        <v>898</v>
      </c>
      <c r="B1043" s="70" t="s">
        <v>2424</v>
      </c>
      <c r="C1043" s="70" t="s">
        <v>2425</v>
      </c>
      <c r="D1043" s="70">
        <v>1508</v>
      </c>
      <c r="E1043" s="70">
        <v>1</v>
      </c>
      <c r="F1043" s="71">
        <v>43.271700000000003</v>
      </c>
      <c r="G1043" s="71">
        <v>85</v>
      </c>
      <c r="H1043" s="71">
        <v>43.271700000000003</v>
      </c>
      <c r="I1043" s="71">
        <v>85</v>
      </c>
      <c r="J1043" s="70" t="s">
        <v>531</v>
      </c>
      <c r="K1043" s="70" t="s">
        <v>48</v>
      </c>
      <c r="L1043" s="74">
        <v>46141</v>
      </c>
    </row>
    <row r="1044" spans="1:12" hidden="1" x14ac:dyDescent="0.25">
      <c r="A1044" s="70" t="s">
        <v>922</v>
      </c>
      <c r="B1044" s="70" t="s">
        <v>2426</v>
      </c>
      <c r="C1044" s="70" t="s">
        <v>2427</v>
      </c>
      <c r="D1044" s="70">
        <v>1508</v>
      </c>
      <c r="E1044" s="70">
        <v>-1</v>
      </c>
      <c r="F1044" s="71">
        <v>30.6</v>
      </c>
      <c r="G1044" s="71">
        <v>81.96</v>
      </c>
      <c r="H1044" s="71">
        <v>-30.6</v>
      </c>
      <c r="I1044" s="71">
        <v>-81.96</v>
      </c>
      <c r="J1044" s="70" t="s">
        <v>531</v>
      </c>
      <c r="K1044" s="70" t="s">
        <v>48</v>
      </c>
      <c r="L1044" s="74">
        <v>46141</v>
      </c>
    </row>
    <row r="1045" spans="1:12" hidden="1" x14ac:dyDescent="0.25">
      <c r="A1045" s="70" t="s">
        <v>898</v>
      </c>
      <c r="B1045" s="70" t="s">
        <v>2428</v>
      </c>
      <c r="C1045" s="70" t="s">
        <v>2429</v>
      </c>
      <c r="D1045" s="70">
        <v>1508</v>
      </c>
      <c r="E1045" s="70">
        <v>1</v>
      </c>
      <c r="F1045" s="71">
        <v>13.577299999999999</v>
      </c>
      <c r="G1045" s="71">
        <v>29.85</v>
      </c>
      <c r="H1045" s="71">
        <v>13.577299999999999</v>
      </c>
      <c r="I1045" s="71">
        <v>29.85</v>
      </c>
      <c r="J1045" s="70" t="s">
        <v>531</v>
      </c>
      <c r="K1045" s="70" t="s">
        <v>48</v>
      </c>
      <c r="L1045" s="74">
        <v>46141</v>
      </c>
    </row>
    <row r="1046" spans="1:12" hidden="1" x14ac:dyDescent="0.25">
      <c r="A1046" s="70" t="s">
        <v>922</v>
      </c>
      <c r="B1046" s="70" t="s">
        <v>2430</v>
      </c>
      <c r="C1046" s="70" t="s">
        <v>2431</v>
      </c>
      <c r="D1046" s="70">
        <v>1508</v>
      </c>
      <c r="E1046" s="70">
        <v>-1</v>
      </c>
      <c r="F1046" s="71">
        <v>8.875</v>
      </c>
      <c r="G1046" s="71">
        <v>18.190000000000001</v>
      </c>
      <c r="H1046" s="71">
        <v>-8.875</v>
      </c>
      <c r="I1046" s="71">
        <v>-18.190000000000001</v>
      </c>
      <c r="J1046" s="70" t="s">
        <v>531</v>
      </c>
      <c r="K1046" s="70" t="s">
        <v>48</v>
      </c>
      <c r="L1046" s="74">
        <v>46141</v>
      </c>
    </row>
    <row r="1047" spans="1:12" hidden="1" x14ac:dyDescent="0.25">
      <c r="A1047" s="70" t="s">
        <v>911</v>
      </c>
      <c r="B1047" s="70" t="s">
        <v>2432</v>
      </c>
      <c r="C1047" s="70" t="s">
        <v>2433</v>
      </c>
      <c r="D1047" s="70">
        <v>1508</v>
      </c>
      <c r="E1047" s="70">
        <v>1</v>
      </c>
      <c r="F1047" s="71">
        <v>24.136700000000001</v>
      </c>
      <c r="G1047" s="71">
        <v>49.47</v>
      </c>
      <c r="H1047" s="71">
        <v>24.136700000000001</v>
      </c>
      <c r="I1047" s="71">
        <v>49.47</v>
      </c>
      <c r="J1047" s="70" t="s">
        <v>531</v>
      </c>
      <c r="K1047" s="70" t="s">
        <v>48</v>
      </c>
      <c r="L1047" s="74">
        <v>46141</v>
      </c>
    </row>
    <row r="1048" spans="1:12" hidden="1" x14ac:dyDescent="0.25">
      <c r="A1048" s="70" t="s">
        <v>922</v>
      </c>
      <c r="B1048" s="70" t="s">
        <v>2434</v>
      </c>
      <c r="C1048" s="70" t="s">
        <v>2435</v>
      </c>
      <c r="D1048" s="70">
        <v>1508</v>
      </c>
      <c r="E1048" s="70">
        <v>-1</v>
      </c>
      <c r="F1048" s="71">
        <v>24.136399999999998</v>
      </c>
      <c r="G1048" s="71">
        <v>49.47</v>
      </c>
      <c r="H1048" s="71">
        <v>-24.136399999999998</v>
      </c>
      <c r="I1048" s="71">
        <v>-49.47</v>
      </c>
      <c r="J1048" s="70" t="s">
        <v>531</v>
      </c>
      <c r="K1048" s="70" t="s">
        <v>48</v>
      </c>
      <c r="L1048" s="74">
        <v>46141</v>
      </c>
    </row>
    <row r="1049" spans="1:12" hidden="1" x14ac:dyDescent="0.25">
      <c r="A1049" s="70" t="s">
        <v>922</v>
      </c>
      <c r="B1049" s="70" t="s">
        <v>2436</v>
      </c>
      <c r="C1049" s="70" t="s">
        <v>2437</v>
      </c>
      <c r="D1049" s="70">
        <v>1508</v>
      </c>
      <c r="E1049" s="70">
        <v>-1</v>
      </c>
      <c r="F1049" s="71">
        <v>7.3078000000000003</v>
      </c>
      <c r="G1049" s="71">
        <v>18.84</v>
      </c>
      <c r="H1049" s="71">
        <v>-7.3078000000000003</v>
      </c>
      <c r="I1049" s="71">
        <v>-18.84</v>
      </c>
      <c r="J1049" s="70" t="s">
        <v>531</v>
      </c>
      <c r="K1049" s="70" t="s">
        <v>48</v>
      </c>
      <c r="L1049" s="74">
        <v>46141</v>
      </c>
    </row>
    <row r="1050" spans="1:12" hidden="1" x14ac:dyDescent="0.25">
      <c r="A1050" s="70" t="s">
        <v>922</v>
      </c>
      <c r="B1050" s="70" t="s">
        <v>2438</v>
      </c>
      <c r="C1050" s="70" t="s">
        <v>2439</v>
      </c>
      <c r="D1050" s="70">
        <v>1508</v>
      </c>
      <c r="E1050" s="70">
        <v>-1</v>
      </c>
      <c r="F1050" s="71">
        <v>40.331800000000001</v>
      </c>
      <c r="G1050" s="71">
        <v>101.69</v>
      </c>
      <c r="H1050" s="71">
        <v>-40.331800000000001</v>
      </c>
      <c r="I1050" s="71">
        <v>-101.69</v>
      </c>
      <c r="J1050" s="70" t="s">
        <v>531</v>
      </c>
      <c r="K1050" s="70" t="s">
        <v>48</v>
      </c>
      <c r="L1050" s="74">
        <v>46141</v>
      </c>
    </row>
    <row r="1051" spans="1:12" hidden="1" x14ac:dyDescent="0.25">
      <c r="A1051" s="70" t="s">
        <v>922</v>
      </c>
      <c r="B1051" s="70" t="s">
        <v>2440</v>
      </c>
      <c r="C1051" s="70" t="s">
        <v>2441</v>
      </c>
      <c r="D1051" s="70">
        <v>1508</v>
      </c>
      <c r="E1051" s="70">
        <v>-1</v>
      </c>
      <c r="F1051" s="71">
        <v>48.919199999999996</v>
      </c>
      <c r="G1051" s="71">
        <v>71.62</v>
      </c>
      <c r="H1051" s="71">
        <v>-48.919199999999996</v>
      </c>
      <c r="I1051" s="71">
        <v>-71.62</v>
      </c>
      <c r="J1051" s="70" t="s">
        <v>531</v>
      </c>
      <c r="K1051" s="70" t="s">
        <v>48</v>
      </c>
      <c r="L1051" s="74">
        <v>46141</v>
      </c>
    </row>
    <row r="1052" spans="1:12" hidden="1" x14ac:dyDescent="0.25">
      <c r="A1052" s="70" t="s">
        <v>922</v>
      </c>
      <c r="B1052" s="70" t="s">
        <v>2442</v>
      </c>
      <c r="C1052" s="70" t="s">
        <v>2443</v>
      </c>
      <c r="D1052" s="70">
        <v>1508</v>
      </c>
      <c r="E1052" s="70">
        <v>-1</v>
      </c>
      <c r="F1052" s="71">
        <v>101.459166666667</v>
      </c>
      <c r="G1052" s="71">
        <v>220.1</v>
      </c>
      <c r="H1052" s="71">
        <v>-101.459166666667</v>
      </c>
      <c r="I1052" s="71">
        <v>-220.1</v>
      </c>
      <c r="J1052" s="70" t="s">
        <v>531</v>
      </c>
      <c r="K1052" s="70" t="s">
        <v>48</v>
      </c>
      <c r="L1052" s="74">
        <v>46141</v>
      </c>
    </row>
    <row r="1053" spans="1:12" hidden="1" x14ac:dyDescent="0.25">
      <c r="A1053" s="70" t="s">
        <v>922</v>
      </c>
      <c r="B1053" s="70" t="s">
        <v>2444</v>
      </c>
      <c r="C1053" s="70" t="s">
        <v>2445</v>
      </c>
      <c r="D1053" s="70">
        <v>1508</v>
      </c>
      <c r="E1053" s="70">
        <v>-1</v>
      </c>
      <c r="F1053" s="71">
        <v>90.584900000000005</v>
      </c>
      <c r="G1053" s="71">
        <v>124.57</v>
      </c>
      <c r="H1053" s="71">
        <v>-90.584900000000005</v>
      </c>
      <c r="I1053" s="71">
        <v>-124.57</v>
      </c>
      <c r="J1053" s="70" t="s">
        <v>531</v>
      </c>
      <c r="K1053" s="70" t="s">
        <v>48</v>
      </c>
      <c r="L1053" s="74">
        <v>46141</v>
      </c>
    </row>
    <row r="1054" spans="1:12" hidden="1" x14ac:dyDescent="0.25">
      <c r="A1054" s="70" t="s">
        <v>922</v>
      </c>
      <c r="B1054" s="70" t="s">
        <v>2446</v>
      </c>
      <c r="C1054" s="70" t="s">
        <v>2447</v>
      </c>
      <c r="D1054" s="70">
        <v>1508</v>
      </c>
      <c r="E1054" s="70">
        <v>-1</v>
      </c>
      <c r="F1054" s="71">
        <v>96.831000000000003</v>
      </c>
      <c r="G1054" s="71">
        <v>140.13</v>
      </c>
      <c r="H1054" s="71">
        <v>-96.831000000000003</v>
      </c>
      <c r="I1054" s="71">
        <v>-140.13</v>
      </c>
      <c r="J1054" s="70" t="s">
        <v>531</v>
      </c>
      <c r="K1054" s="70" t="s">
        <v>48</v>
      </c>
      <c r="L1054" s="74">
        <v>46141</v>
      </c>
    </row>
    <row r="1055" spans="1:12" hidden="1" x14ac:dyDescent="0.25">
      <c r="A1055" s="70" t="s">
        <v>911</v>
      </c>
      <c r="B1055" s="70" t="s">
        <v>2448</v>
      </c>
      <c r="C1055" s="70" t="s">
        <v>2449</v>
      </c>
      <c r="D1055" s="70">
        <v>1508</v>
      </c>
      <c r="E1055" s="70">
        <v>1</v>
      </c>
      <c r="F1055" s="71">
        <v>73.110399999999998</v>
      </c>
      <c r="G1055" s="71">
        <v>152.33000000000001</v>
      </c>
      <c r="H1055" s="71">
        <v>73.110399999999998</v>
      </c>
      <c r="I1055" s="71">
        <v>152.33000000000001</v>
      </c>
      <c r="J1055" s="70" t="s">
        <v>531</v>
      </c>
      <c r="K1055" s="70" t="s">
        <v>48</v>
      </c>
      <c r="L1055" s="74">
        <v>46141</v>
      </c>
    </row>
    <row r="1056" spans="1:12" hidden="1" x14ac:dyDescent="0.25">
      <c r="A1056" s="70" t="s">
        <v>922</v>
      </c>
      <c r="B1056" s="70" t="s">
        <v>2450</v>
      </c>
      <c r="C1056" s="70" t="s">
        <v>2451</v>
      </c>
      <c r="D1056" s="70">
        <v>1508</v>
      </c>
      <c r="E1056" s="70">
        <v>-1</v>
      </c>
      <c r="F1056" s="71">
        <v>35.006399999999999</v>
      </c>
      <c r="G1056" s="71">
        <v>48.72</v>
      </c>
      <c r="H1056" s="71">
        <v>-35.006399999999999</v>
      </c>
      <c r="I1056" s="71">
        <v>-48.72</v>
      </c>
      <c r="J1056" s="70" t="s">
        <v>531</v>
      </c>
      <c r="K1056" s="70" t="s">
        <v>48</v>
      </c>
      <c r="L1056" s="74">
        <v>46141</v>
      </c>
    </row>
    <row r="1057" spans="1:12" hidden="1" x14ac:dyDescent="0.25">
      <c r="A1057" s="70" t="s">
        <v>911</v>
      </c>
      <c r="B1057" s="70" t="s">
        <v>2452</v>
      </c>
      <c r="C1057" s="70" t="s">
        <v>2453</v>
      </c>
      <c r="D1057" s="70">
        <v>1508</v>
      </c>
      <c r="E1057" s="70">
        <v>1</v>
      </c>
      <c r="F1057" s="71">
        <v>44.604599999999998</v>
      </c>
      <c r="G1057" s="71">
        <v>62.09</v>
      </c>
      <c r="H1057" s="71">
        <v>44.604599999999998</v>
      </c>
      <c r="I1057" s="71">
        <v>62.09</v>
      </c>
      <c r="J1057" s="70" t="s">
        <v>531</v>
      </c>
      <c r="K1057" s="70" t="s">
        <v>48</v>
      </c>
      <c r="L1057" s="74">
        <v>46141</v>
      </c>
    </row>
    <row r="1058" spans="1:12" hidden="1" x14ac:dyDescent="0.25">
      <c r="A1058" s="70" t="s">
        <v>922</v>
      </c>
      <c r="B1058" s="70" t="s">
        <v>2454</v>
      </c>
      <c r="C1058" s="70" t="s">
        <v>2455</v>
      </c>
      <c r="D1058" s="70">
        <v>1508</v>
      </c>
      <c r="E1058" s="70">
        <v>-1</v>
      </c>
      <c r="F1058" s="71">
        <v>44.604599999999998</v>
      </c>
      <c r="G1058" s="71">
        <v>62.09</v>
      </c>
      <c r="H1058" s="71">
        <v>-44.604599999999998</v>
      </c>
      <c r="I1058" s="71">
        <v>-62.09</v>
      </c>
      <c r="J1058" s="70" t="s">
        <v>531</v>
      </c>
      <c r="K1058" s="70" t="s">
        <v>48</v>
      </c>
      <c r="L1058" s="74">
        <v>46141</v>
      </c>
    </row>
    <row r="1059" spans="1:12" hidden="1" x14ac:dyDescent="0.25">
      <c r="A1059" s="70" t="s">
        <v>911</v>
      </c>
      <c r="B1059" s="70" t="s">
        <v>2456</v>
      </c>
      <c r="C1059" s="70" t="s">
        <v>2457</v>
      </c>
      <c r="D1059" s="70">
        <v>1508</v>
      </c>
      <c r="E1059" s="70">
        <v>1</v>
      </c>
      <c r="F1059" s="71">
        <v>6.3733333333333304</v>
      </c>
      <c r="G1059" s="71">
        <v>15.1</v>
      </c>
      <c r="H1059" s="71">
        <v>6.3733333333333304</v>
      </c>
      <c r="I1059" s="71">
        <v>15.1</v>
      </c>
      <c r="J1059" s="70" t="s">
        <v>531</v>
      </c>
      <c r="K1059" s="70" t="s">
        <v>48</v>
      </c>
      <c r="L1059" s="74">
        <v>46141</v>
      </c>
    </row>
    <row r="1060" spans="1:12" hidden="1" x14ac:dyDescent="0.25">
      <c r="A1060" s="70" t="s">
        <v>911</v>
      </c>
      <c r="B1060" s="70" t="s">
        <v>1072</v>
      </c>
      <c r="C1060" s="70" t="s">
        <v>1073</v>
      </c>
      <c r="D1060" s="70">
        <v>1508</v>
      </c>
      <c r="E1060" s="70">
        <v>2</v>
      </c>
      <c r="F1060" s="71">
        <v>6.0564999999999998</v>
      </c>
      <c r="G1060" s="71">
        <v>12.35</v>
      </c>
      <c r="H1060" s="71">
        <v>12.113</v>
      </c>
      <c r="I1060" s="71">
        <v>24.7</v>
      </c>
      <c r="J1060" s="70" t="s">
        <v>531</v>
      </c>
      <c r="K1060" s="70" t="s">
        <v>48</v>
      </c>
      <c r="L1060" s="74">
        <v>46141</v>
      </c>
    </row>
    <row r="1061" spans="1:12" hidden="1" x14ac:dyDescent="0.25">
      <c r="A1061" s="70" t="s">
        <v>922</v>
      </c>
      <c r="B1061" s="70" t="s">
        <v>2458</v>
      </c>
      <c r="C1061" s="70" t="s">
        <v>2459</v>
      </c>
      <c r="D1061" s="70">
        <v>1508</v>
      </c>
      <c r="E1061" s="70">
        <v>-1</v>
      </c>
      <c r="F1061" s="71">
        <v>6.0872999999999999</v>
      </c>
      <c r="G1061" s="71">
        <v>14.56</v>
      </c>
      <c r="H1061" s="71">
        <v>-6.0872999999999999</v>
      </c>
      <c r="I1061" s="71">
        <v>-14.56</v>
      </c>
      <c r="J1061" s="70" t="s">
        <v>531</v>
      </c>
      <c r="K1061" s="70" t="s">
        <v>48</v>
      </c>
      <c r="L1061" s="74">
        <v>46141</v>
      </c>
    </row>
    <row r="1062" spans="1:12" hidden="1" x14ac:dyDescent="0.25">
      <c r="A1062" s="70" t="s">
        <v>877</v>
      </c>
      <c r="B1062" s="70" t="s">
        <v>2460</v>
      </c>
      <c r="C1062" s="70" t="s">
        <v>2461</v>
      </c>
      <c r="D1062" s="70">
        <v>1508</v>
      </c>
      <c r="E1062" s="70">
        <v>-1</v>
      </c>
      <c r="F1062" s="71">
        <v>2.4</v>
      </c>
      <c r="G1062" s="71">
        <v>5.42</v>
      </c>
      <c r="H1062" s="71">
        <v>-2.4</v>
      </c>
      <c r="I1062" s="71">
        <v>-5.42</v>
      </c>
      <c r="J1062" s="70" t="s">
        <v>531</v>
      </c>
      <c r="K1062" s="70" t="s">
        <v>48</v>
      </c>
      <c r="L1062" s="74">
        <v>46141</v>
      </c>
    </row>
    <row r="1063" spans="1:12" hidden="1" x14ac:dyDescent="0.25">
      <c r="A1063" s="70" t="s">
        <v>877</v>
      </c>
      <c r="B1063" s="70" t="s">
        <v>2462</v>
      </c>
      <c r="C1063" s="70" t="s">
        <v>2463</v>
      </c>
      <c r="D1063" s="70">
        <v>1508</v>
      </c>
      <c r="E1063" s="70">
        <v>-1</v>
      </c>
      <c r="F1063" s="71">
        <v>0.99409999999999998</v>
      </c>
      <c r="G1063" s="71">
        <v>2.95</v>
      </c>
      <c r="H1063" s="71">
        <v>-0.99409999999999998</v>
      </c>
      <c r="I1063" s="71">
        <v>-2.95</v>
      </c>
      <c r="J1063" s="70" t="s">
        <v>531</v>
      </c>
      <c r="K1063" s="70" t="s">
        <v>48</v>
      </c>
      <c r="L1063" s="74">
        <v>46141</v>
      </c>
    </row>
    <row r="1064" spans="1:12" hidden="1" x14ac:dyDescent="0.25">
      <c r="A1064" s="70" t="s">
        <v>922</v>
      </c>
      <c r="B1064" s="70" t="s">
        <v>2335</v>
      </c>
      <c r="C1064" s="70" t="s">
        <v>2336</v>
      </c>
      <c r="D1064" s="70">
        <v>1508</v>
      </c>
      <c r="E1064" s="70">
        <v>-2</v>
      </c>
      <c r="F1064" s="71">
        <v>5.8360000000000003</v>
      </c>
      <c r="G1064" s="71">
        <v>12.35</v>
      </c>
      <c r="H1064" s="71">
        <v>-11.672000000000001</v>
      </c>
      <c r="I1064" s="71">
        <v>-24.7</v>
      </c>
      <c r="J1064" s="70" t="s">
        <v>531</v>
      </c>
      <c r="K1064" s="70" t="s">
        <v>48</v>
      </c>
      <c r="L1064" s="74">
        <v>46141</v>
      </c>
    </row>
    <row r="1065" spans="1:12" hidden="1" x14ac:dyDescent="0.25">
      <c r="A1065" s="70" t="s">
        <v>877</v>
      </c>
      <c r="B1065" s="70" t="s">
        <v>2464</v>
      </c>
      <c r="C1065" s="70" t="s">
        <v>2465</v>
      </c>
      <c r="D1065" s="70">
        <v>1508</v>
      </c>
      <c r="E1065" s="70">
        <v>-1</v>
      </c>
      <c r="F1065" s="71">
        <v>0.72950000000000004</v>
      </c>
      <c r="G1065" s="71">
        <v>2.8450500000000001</v>
      </c>
      <c r="H1065" s="71">
        <v>-0.72950000000000004</v>
      </c>
      <c r="I1065" s="71">
        <v>-2.8450500000000001</v>
      </c>
      <c r="J1065" s="70" t="s">
        <v>531</v>
      </c>
      <c r="K1065" s="70" t="s">
        <v>48</v>
      </c>
      <c r="L1065" s="74">
        <v>46141</v>
      </c>
    </row>
    <row r="1066" spans="1:12" hidden="1" x14ac:dyDescent="0.25">
      <c r="A1066" s="70" t="s">
        <v>898</v>
      </c>
      <c r="B1066" s="70" t="s">
        <v>1801</v>
      </c>
      <c r="C1066" s="70" t="s">
        <v>1802</v>
      </c>
      <c r="D1066" s="70">
        <v>1508</v>
      </c>
      <c r="E1066" s="70">
        <v>1</v>
      </c>
      <c r="F1066" s="71">
        <v>1.7739</v>
      </c>
      <c r="G1066" s="71">
        <v>3.85</v>
      </c>
      <c r="H1066" s="71">
        <v>1.7739</v>
      </c>
      <c r="I1066" s="71">
        <v>3.85</v>
      </c>
      <c r="J1066" s="70" t="s">
        <v>531</v>
      </c>
      <c r="K1066" s="70" t="s">
        <v>48</v>
      </c>
      <c r="L1066" s="74">
        <v>46141</v>
      </c>
    </row>
    <row r="1067" spans="1:12" hidden="1" x14ac:dyDescent="0.25">
      <c r="A1067" s="70" t="s">
        <v>898</v>
      </c>
      <c r="B1067" s="70" t="s">
        <v>2466</v>
      </c>
      <c r="C1067" s="70" t="s">
        <v>2467</v>
      </c>
      <c r="D1067" s="70">
        <v>1508</v>
      </c>
      <c r="E1067" s="70">
        <v>2</v>
      </c>
      <c r="F1067" s="71">
        <v>2.0807000000000002</v>
      </c>
      <c r="G1067" s="71">
        <v>4.5199999999999996</v>
      </c>
      <c r="H1067" s="71">
        <v>4.1614000000000004</v>
      </c>
      <c r="I1067" s="71">
        <v>9.0399999999999991</v>
      </c>
      <c r="J1067" s="70" t="s">
        <v>531</v>
      </c>
      <c r="K1067" s="70" t="s">
        <v>48</v>
      </c>
      <c r="L1067" s="74">
        <v>46141</v>
      </c>
    </row>
    <row r="1068" spans="1:12" hidden="1" x14ac:dyDescent="0.25">
      <c r="A1068" s="70" t="s">
        <v>898</v>
      </c>
      <c r="B1068" s="70" t="s">
        <v>1643</v>
      </c>
      <c r="C1068" s="70" t="s">
        <v>1644</v>
      </c>
      <c r="D1068" s="70">
        <v>1508</v>
      </c>
      <c r="E1068" s="70">
        <v>1</v>
      </c>
      <c r="F1068" s="71">
        <v>1.5204</v>
      </c>
      <c r="G1068" s="71">
        <v>3.3</v>
      </c>
      <c r="H1068" s="71">
        <v>1.5204</v>
      </c>
      <c r="I1068" s="71">
        <v>3.3</v>
      </c>
      <c r="J1068" s="70" t="s">
        <v>531</v>
      </c>
      <c r="K1068" s="70" t="s">
        <v>48</v>
      </c>
      <c r="L1068" s="74">
        <v>46141</v>
      </c>
    </row>
    <row r="1069" spans="1:12" hidden="1" x14ac:dyDescent="0.25">
      <c r="A1069" s="70" t="s">
        <v>877</v>
      </c>
      <c r="B1069" s="70" t="s">
        <v>2468</v>
      </c>
      <c r="C1069" s="70" t="s">
        <v>2469</v>
      </c>
      <c r="D1069" s="70">
        <v>1508</v>
      </c>
      <c r="E1069" s="70">
        <v>-1</v>
      </c>
      <c r="F1069" s="71">
        <v>1.2804</v>
      </c>
      <c r="G1069" s="71">
        <v>2.78</v>
      </c>
      <c r="H1069" s="71">
        <v>-1.2804</v>
      </c>
      <c r="I1069" s="71">
        <v>-2.78</v>
      </c>
      <c r="J1069" s="70" t="s">
        <v>531</v>
      </c>
      <c r="K1069" s="70" t="s">
        <v>48</v>
      </c>
      <c r="L1069" s="74">
        <v>46141</v>
      </c>
    </row>
    <row r="1070" spans="1:12" hidden="1" x14ac:dyDescent="0.25">
      <c r="A1070" s="70" t="s">
        <v>922</v>
      </c>
      <c r="B1070" s="70" t="s">
        <v>2470</v>
      </c>
      <c r="C1070" s="70" t="s">
        <v>2471</v>
      </c>
      <c r="D1070" s="70">
        <v>1508</v>
      </c>
      <c r="E1070" s="70">
        <v>-2</v>
      </c>
      <c r="F1070" s="71">
        <v>8.3993000000000002</v>
      </c>
      <c r="G1070" s="71">
        <v>31</v>
      </c>
      <c r="H1070" s="71">
        <v>-16.7986</v>
      </c>
      <c r="I1070" s="71">
        <v>-62</v>
      </c>
      <c r="J1070" s="70" t="s">
        <v>531</v>
      </c>
      <c r="K1070" s="70" t="s">
        <v>48</v>
      </c>
      <c r="L1070" s="74">
        <v>46141</v>
      </c>
    </row>
    <row r="1071" spans="1:12" hidden="1" x14ac:dyDescent="0.25">
      <c r="A1071" s="70" t="s">
        <v>911</v>
      </c>
      <c r="B1071" s="70" t="s">
        <v>1704</v>
      </c>
      <c r="C1071" s="70" t="s">
        <v>1705</v>
      </c>
      <c r="D1071" s="70">
        <v>1508</v>
      </c>
      <c r="E1071" s="70">
        <v>1</v>
      </c>
      <c r="F1071" s="71">
        <v>63.587449999999997</v>
      </c>
      <c r="G1071" s="71">
        <v>164.41</v>
      </c>
      <c r="H1071" s="71">
        <v>63.587449999999997</v>
      </c>
      <c r="I1071" s="71">
        <v>164.41</v>
      </c>
      <c r="J1071" s="70" t="s">
        <v>531</v>
      </c>
      <c r="K1071" s="70" t="s">
        <v>48</v>
      </c>
      <c r="L1071" s="74">
        <v>46141</v>
      </c>
    </row>
    <row r="1072" spans="1:12" hidden="1" x14ac:dyDescent="0.25">
      <c r="A1072" s="70" t="s">
        <v>922</v>
      </c>
      <c r="B1072" s="70" t="s">
        <v>1702</v>
      </c>
      <c r="C1072" s="70" t="s">
        <v>1703</v>
      </c>
      <c r="D1072" s="70">
        <v>1508</v>
      </c>
      <c r="E1072" s="70">
        <v>-1</v>
      </c>
      <c r="F1072" s="71">
        <v>63.587400000000002</v>
      </c>
      <c r="G1072" s="71">
        <v>164.41</v>
      </c>
      <c r="H1072" s="71">
        <v>-63.587400000000002</v>
      </c>
      <c r="I1072" s="71">
        <v>-164.41</v>
      </c>
      <c r="J1072" s="70" t="s">
        <v>531</v>
      </c>
      <c r="K1072" s="70" t="s">
        <v>48</v>
      </c>
      <c r="L1072" s="74">
        <v>46141</v>
      </c>
    </row>
    <row r="1073" spans="1:12" hidden="1" x14ac:dyDescent="0.25">
      <c r="A1073" s="70" t="s">
        <v>911</v>
      </c>
      <c r="B1073" s="70" t="s">
        <v>2472</v>
      </c>
      <c r="C1073" s="70" t="s">
        <v>2473</v>
      </c>
      <c r="D1073" s="70">
        <v>1508</v>
      </c>
      <c r="E1073" s="70">
        <v>1</v>
      </c>
      <c r="F1073" s="71">
        <v>8.6920500000000001</v>
      </c>
      <c r="G1073" s="71">
        <v>23.3</v>
      </c>
      <c r="H1073" s="71">
        <v>8.6920500000000001</v>
      </c>
      <c r="I1073" s="71">
        <v>23.3</v>
      </c>
      <c r="J1073" s="70" t="s">
        <v>531</v>
      </c>
      <c r="K1073" s="70" t="s">
        <v>48</v>
      </c>
      <c r="L1073" s="74">
        <v>46141</v>
      </c>
    </row>
    <row r="1074" spans="1:12" hidden="1" x14ac:dyDescent="0.25">
      <c r="A1074" s="70" t="s">
        <v>922</v>
      </c>
      <c r="B1074" s="70" t="s">
        <v>2474</v>
      </c>
      <c r="C1074" s="70" t="s">
        <v>2475</v>
      </c>
      <c r="D1074" s="70">
        <v>1508</v>
      </c>
      <c r="E1074" s="70">
        <v>-1</v>
      </c>
      <c r="F1074" s="71">
        <v>8.6920500000000001</v>
      </c>
      <c r="G1074" s="71">
        <v>23.3</v>
      </c>
      <c r="H1074" s="71">
        <v>-8.6920500000000001</v>
      </c>
      <c r="I1074" s="71">
        <v>-23.3</v>
      </c>
      <c r="J1074" s="70" t="s">
        <v>531</v>
      </c>
      <c r="K1074" s="70" t="s">
        <v>48</v>
      </c>
      <c r="L1074" s="74">
        <v>46141</v>
      </c>
    </row>
    <row r="1075" spans="1:12" hidden="1" x14ac:dyDescent="0.25">
      <c r="A1075" s="70" t="s">
        <v>911</v>
      </c>
      <c r="B1075" s="70" t="s">
        <v>2476</v>
      </c>
      <c r="C1075" s="70" t="s">
        <v>2477</v>
      </c>
      <c r="D1075" s="70">
        <v>1508</v>
      </c>
      <c r="E1075" s="70">
        <v>2</v>
      </c>
      <c r="F1075" s="71">
        <v>8.6920000000000002</v>
      </c>
      <c r="G1075" s="71">
        <v>23.3</v>
      </c>
      <c r="H1075" s="71">
        <v>17.384</v>
      </c>
      <c r="I1075" s="71">
        <v>46.6</v>
      </c>
      <c r="J1075" s="70" t="s">
        <v>531</v>
      </c>
      <c r="K1075" s="70" t="s">
        <v>48</v>
      </c>
      <c r="L1075" s="74">
        <v>46141</v>
      </c>
    </row>
    <row r="1076" spans="1:12" hidden="1" x14ac:dyDescent="0.25">
      <c r="A1076" s="70" t="s">
        <v>922</v>
      </c>
      <c r="B1076" s="70" t="s">
        <v>2478</v>
      </c>
      <c r="C1076" s="70" t="s">
        <v>2479</v>
      </c>
      <c r="D1076" s="70">
        <v>1508</v>
      </c>
      <c r="E1076" s="70">
        <v>-1</v>
      </c>
      <c r="F1076" s="71">
        <v>65.900700000000001</v>
      </c>
      <c r="G1076" s="71">
        <v>91.733000000000004</v>
      </c>
      <c r="H1076" s="71">
        <v>-65.900700000000001</v>
      </c>
      <c r="I1076" s="71">
        <v>-91.733000000000004</v>
      </c>
      <c r="J1076" s="70" t="s">
        <v>531</v>
      </c>
      <c r="K1076" s="70" t="s">
        <v>48</v>
      </c>
      <c r="L1076" s="74">
        <v>46141</v>
      </c>
    </row>
    <row r="1077" spans="1:12" hidden="1" x14ac:dyDescent="0.25">
      <c r="A1077" s="70" t="s">
        <v>922</v>
      </c>
      <c r="B1077" s="70" t="s">
        <v>2480</v>
      </c>
      <c r="C1077" s="70" t="s">
        <v>2481</v>
      </c>
      <c r="D1077" s="70">
        <v>1508</v>
      </c>
      <c r="E1077" s="70">
        <v>-1</v>
      </c>
      <c r="F1077" s="71">
        <v>10.379</v>
      </c>
      <c r="G1077" s="71">
        <v>16.03</v>
      </c>
      <c r="H1077" s="71">
        <v>-10.379</v>
      </c>
      <c r="I1077" s="71">
        <v>-16.03</v>
      </c>
      <c r="J1077" s="70" t="s">
        <v>531</v>
      </c>
      <c r="K1077" s="70" t="s">
        <v>48</v>
      </c>
      <c r="L1077" s="74">
        <v>46141</v>
      </c>
    </row>
    <row r="1078" spans="1:12" hidden="1" x14ac:dyDescent="0.25">
      <c r="A1078" s="70" t="s">
        <v>911</v>
      </c>
      <c r="B1078" s="70" t="s">
        <v>2482</v>
      </c>
      <c r="C1078" s="70" t="s">
        <v>2483</v>
      </c>
      <c r="D1078" s="70">
        <v>1508</v>
      </c>
      <c r="E1078" s="70">
        <v>1</v>
      </c>
      <c r="F1078" s="71">
        <v>106.1922</v>
      </c>
      <c r="G1078" s="71">
        <v>164.01</v>
      </c>
      <c r="H1078" s="71">
        <v>106.1922</v>
      </c>
      <c r="I1078" s="71">
        <v>164.01</v>
      </c>
      <c r="J1078" s="70" t="s">
        <v>531</v>
      </c>
      <c r="K1078" s="70" t="s">
        <v>48</v>
      </c>
      <c r="L1078" s="74">
        <v>46141</v>
      </c>
    </row>
    <row r="1079" spans="1:12" hidden="1" x14ac:dyDescent="0.25">
      <c r="A1079" s="70" t="s">
        <v>877</v>
      </c>
      <c r="B1079" s="70" t="s">
        <v>2484</v>
      </c>
      <c r="C1079" s="70" t="s">
        <v>2485</v>
      </c>
      <c r="D1079" s="70">
        <v>1508</v>
      </c>
      <c r="E1079" s="70">
        <v>-1</v>
      </c>
      <c r="F1079" s="71">
        <v>6.9870000000000001</v>
      </c>
      <c r="G1079" s="71">
        <v>11.28</v>
      </c>
      <c r="H1079" s="71">
        <v>-6.9870000000000001</v>
      </c>
      <c r="I1079" s="71">
        <v>-11.28</v>
      </c>
      <c r="J1079" s="70" t="s">
        <v>531</v>
      </c>
      <c r="K1079" s="70" t="s">
        <v>48</v>
      </c>
      <c r="L1079" s="74">
        <v>46141</v>
      </c>
    </row>
    <row r="1080" spans="1:12" hidden="1" x14ac:dyDescent="0.25">
      <c r="A1080" s="70" t="s">
        <v>898</v>
      </c>
      <c r="B1080" s="70" t="s">
        <v>810</v>
      </c>
      <c r="C1080" s="70" t="s">
        <v>2206</v>
      </c>
      <c r="D1080" s="70">
        <v>1508</v>
      </c>
      <c r="E1080" s="70">
        <v>2</v>
      </c>
      <c r="F1080" s="71">
        <v>2.2999999999999998</v>
      </c>
      <c r="G1080" s="71">
        <v>3.78</v>
      </c>
      <c r="H1080" s="71">
        <v>4.5999999999999996</v>
      </c>
      <c r="I1080" s="71">
        <v>7.56</v>
      </c>
      <c r="J1080" s="70" t="s">
        <v>531</v>
      </c>
      <c r="K1080" s="70" t="s">
        <v>48</v>
      </c>
      <c r="L1080" s="74">
        <v>46141</v>
      </c>
    </row>
    <row r="1081" spans="1:12" hidden="1" x14ac:dyDescent="0.25">
      <c r="A1081" s="70" t="s">
        <v>877</v>
      </c>
      <c r="B1081" s="70" t="s">
        <v>1666</v>
      </c>
      <c r="C1081" s="70" t="s">
        <v>1667</v>
      </c>
      <c r="D1081" s="70">
        <v>1508</v>
      </c>
      <c r="E1081" s="70">
        <v>-1</v>
      </c>
      <c r="F1081" s="71">
        <v>1.46065</v>
      </c>
      <c r="G1081" s="71">
        <v>2.4500000000000002</v>
      </c>
      <c r="H1081" s="71">
        <v>-1.46065</v>
      </c>
      <c r="I1081" s="71">
        <v>-2.4500000000000002</v>
      </c>
      <c r="J1081" s="70" t="s">
        <v>531</v>
      </c>
      <c r="K1081" s="70" t="s">
        <v>48</v>
      </c>
      <c r="L1081" s="74">
        <v>46141</v>
      </c>
    </row>
    <row r="1082" spans="1:12" hidden="1" x14ac:dyDescent="0.25">
      <c r="A1082" s="70" t="s">
        <v>922</v>
      </c>
      <c r="B1082" s="70" t="s">
        <v>806</v>
      </c>
      <c r="C1082" s="70" t="s">
        <v>807</v>
      </c>
      <c r="D1082" s="70">
        <v>1508</v>
      </c>
      <c r="E1082" s="70">
        <v>-1</v>
      </c>
      <c r="F1082" s="71">
        <v>2.0176500000000002</v>
      </c>
      <c r="G1082" s="71">
        <v>3.78</v>
      </c>
      <c r="H1082" s="71">
        <v>-2.0176500000000002</v>
      </c>
      <c r="I1082" s="71">
        <v>-3.78</v>
      </c>
      <c r="J1082" s="70" t="s">
        <v>531</v>
      </c>
      <c r="K1082" s="70" t="s">
        <v>48</v>
      </c>
      <c r="L1082" s="74">
        <v>46141</v>
      </c>
    </row>
    <row r="1083" spans="1:12" hidden="1" x14ac:dyDescent="0.25">
      <c r="A1083" s="70" t="s">
        <v>922</v>
      </c>
      <c r="B1083" s="70" t="s">
        <v>733</v>
      </c>
      <c r="C1083" s="70" t="s">
        <v>734</v>
      </c>
      <c r="D1083" s="70">
        <v>1508</v>
      </c>
      <c r="E1083" s="70">
        <v>-1</v>
      </c>
      <c r="F1083" s="71">
        <v>1.8</v>
      </c>
      <c r="G1083" s="71">
        <v>2.96</v>
      </c>
      <c r="H1083" s="71">
        <v>-1.8</v>
      </c>
      <c r="I1083" s="71">
        <v>-2.96</v>
      </c>
      <c r="J1083" s="70" t="s">
        <v>531</v>
      </c>
      <c r="K1083" s="70" t="s">
        <v>48</v>
      </c>
      <c r="L1083" s="74">
        <v>46141</v>
      </c>
    </row>
    <row r="1084" spans="1:12" hidden="1" x14ac:dyDescent="0.25">
      <c r="A1084" s="70" t="s">
        <v>911</v>
      </c>
      <c r="B1084" s="70" t="s">
        <v>735</v>
      </c>
      <c r="C1084" s="70" t="s">
        <v>736</v>
      </c>
      <c r="D1084" s="70">
        <v>1508</v>
      </c>
      <c r="E1084" s="70">
        <v>1</v>
      </c>
      <c r="F1084" s="71">
        <v>1.58</v>
      </c>
      <c r="G1084" s="71">
        <v>2.96</v>
      </c>
      <c r="H1084" s="71">
        <v>1.58</v>
      </c>
      <c r="I1084" s="71">
        <v>2.96</v>
      </c>
      <c r="J1084" s="70" t="s">
        <v>531</v>
      </c>
      <c r="K1084" s="70" t="s">
        <v>48</v>
      </c>
      <c r="L1084" s="74">
        <v>46141</v>
      </c>
    </row>
    <row r="1085" spans="1:12" hidden="1" x14ac:dyDescent="0.25">
      <c r="A1085" s="70" t="s">
        <v>911</v>
      </c>
      <c r="B1085" s="70" t="s">
        <v>794</v>
      </c>
      <c r="C1085" s="70" t="s">
        <v>795</v>
      </c>
      <c r="D1085" s="70">
        <v>1508</v>
      </c>
      <c r="E1085" s="70">
        <v>1</v>
      </c>
      <c r="F1085" s="71">
        <v>2.3002250000000002</v>
      </c>
      <c r="G1085" s="71">
        <v>3.78</v>
      </c>
      <c r="H1085" s="71">
        <v>2.3002250000000002</v>
      </c>
      <c r="I1085" s="71">
        <v>3.78</v>
      </c>
      <c r="J1085" s="70" t="s">
        <v>531</v>
      </c>
      <c r="K1085" s="70" t="s">
        <v>48</v>
      </c>
      <c r="L1085" s="74">
        <v>46141</v>
      </c>
    </row>
    <row r="1086" spans="1:12" hidden="1" x14ac:dyDescent="0.25">
      <c r="A1086" s="70" t="s">
        <v>898</v>
      </c>
      <c r="B1086" s="70" t="s">
        <v>982</v>
      </c>
      <c r="C1086" s="70" t="s">
        <v>983</v>
      </c>
      <c r="D1086" s="70">
        <v>1508</v>
      </c>
      <c r="E1086" s="70">
        <v>3</v>
      </c>
      <c r="F1086" s="71">
        <v>10</v>
      </c>
      <c r="G1086" s="71">
        <v>15.33</v>
      </c>
      <c r="H1086" s="71">
        <v>30</v>
      </c>
      <c r="I1086" s="71">
        <v>45.99</v>
      </c>
      <c r="J1086" s="70" t="s">
        <v>531</v>
      </c>
      <c r="K1086" s="70" t="s">
        <v>48</v>
      </c>
      <c r="L1086" s="74">
        <v>46141</v>
      </c>
    </row>
    <row r="1087" spans="1:12" hidden="1" x14ac:dyDescent="0.25">
      <c r="A1087" s="70" t="s">
        <v>877</v>
      </c>
      <c r="B1087" s="70" t="s">
        <v>2343</v>
      </c>
      <c r="C1087" s="70" t="s">
        <v>2344</v>
      </c>
      <c r="D1087" s="70">
        <v>1508</v>
      </c>
      <c r="E1087" s="70">
        <v>-1</v>
      </c>
      <c r="F1087" s="71">
        <v>3.04372857142857</v>
      </c>
      <c r="G1087" s="71">
        <v>5.75</v>
      </c>
      <c r="H1087" s="71">
        <v>-3.04372857142857</v>
      </c>
      <c r="I1087" s="71">
        <v>-5.75</v>
      </c>
      <c r="J1087" s="70" t="s">
        <v>531</v>
      </c>
      <c r="K1087" s="70" t="s">
        <v>48</v>
      </c>
      <c r="L1087" s="74">
        <v>46141</v>
      </c>
    </row>
    <row r="1088" spans="1:12" hidden="1" x14ac:dyDescent="0.25">
      <c r="A1088" s="70" t="s">
        <v>877</v>
      </c>
      <c r="B1088" s="70" t="s">
        <v>804</v>
      </c>
      <c r="C1088" s="70" t="s">
        <v>805</v>
      </c>
      <c r="D1088" s="70">
        <v>1508</v>
      </c>
      <c r="E1088" s="70">
        <v>-1</v>
      </c>
      <c r="F1088" s="71">
        <v>3.0437500000000002</v>
      </c>
      <c r="G1088" s="71">
        <v>5.75</v>
      </c>
      <c r="H1088" s="71">
        <v>-3.0437500000000002</v>
      </c>
      <c r="I1088" s="71">
        <v>-5.75</v>
      </c>
      <c r="J1088" s="70" t="s">
        <v>531</v>
      </c>
      <c r="K1088" s="70" t="s">
        <v>48</v>
      </c>
      <c r="L1088" s="74">
        <v>46141</v>
      </c>
    </row>
    <row r="1089" spans="1:12" hidden="1" x14ac:dyDescent="0.25">
      <c r="A1089" s="70" t="s">
        <v>898</v>
      </c>
      <c r="B1089" s="70" t="s">
        <v>2486</v>
      </c>
      <c r="C1089" s="70" t="s">
        <v>2487</v>
      </c>
      <c r="D1089" s="70">
        <v>1508</v>
      </c>
      <c r="E1089" s="70">
        <v>1</v>
      </c>
      <c r="F1089" s="71">
        <v>3.9</v>
      </c>
      <c r="G1089" s="71">
        <v>6.41</v>
      </c>
      <c r="H1089" s="71">
        <v>3.9</v>
      </c>
      <c r="I1089" s="71">
        <v>6.41</v>
      </c>
      <c r="J1089" s="70" t="s">
        <v>531</v>
      </c>
      <c r="K1089" s="70" t="s">
        <v>48</v>
      </c>
      <c r="L1089" s="74">
        <v>46141</v>
      </c>
    </row>
    <row r="1090" spans="1:12" hidden="1" x14ac:dyDescent="0.25">
      <c r="A1090" s="70" t="s">
        <v>898</v>
      </c>
      <c r="B1090" s="70" t="s">
        <v>2488</v>
      </c>
      <c r="C1090" s="70" t="s">
        <v>2489</v>
      </c>
      <c r="D1090" s="70">
        <v>1508</v>
      </c>
      <c r="E1090" s="70">
        <v>2</v>
      </c>
      <c r="F1090" s="71">
        <v>4.2431400000000004</v>
      </c>
      <c r="G1090" s="71">
        <v>6.59</v>
      </c>
      <c r="H1090" s="71">
        <v>8.4862800000000007</v>
      </c>
      <c r="I1090" s="71">
        <v>13.18</v>
      </c>
      <c r="J1090" s="70" t="s">
        <v>531</v>
      </c>
      <c r="K1090" s="70" t="s">
        <v>48</v>
      </c>
      <c r="L1090" s="74">
        <v>46141</v>
      </c>
    </row>
    <row r="1091" spans="1:12" hidden="1" x14ac:dyDescent="0.25">
      <c r="A1091" s="70" t="s">
        <v>898</v>
      </c>
      <c r="B1091" s="70" t="s">
        <v>2490</v>
      </c>
      <c r="C1091" s="70" t="s">
        <v>2491</v>
      </c>
      <c r="D1091" s="70">
        <v>1508</v>
      </c>
      <c r="E1091" s="70">
        <v>1</v>
      </c>
      <c r="F1091" s="71">
        <v>4.88</v>
      </c>
      <c r="G1091" s="71">
        <v>8.27</v>
      </c>
      <c r="H1091" s="71">
        <v>4.88</v>
      </c>
      <c r="I1091" s="71">
        <v>8.27</v>
      </c>
      <c r="J1091" s="70" t="s">
        <v>531</v>
      </c>
      <c r="K1091" s="70" t="s">
        <v>48</v>
      </c>
      <c r="L1091" s="74">
        <v>46141</v>
      </c>
    </row>
    <row r="1092" spans="1:12" hidden="1" x14ac:dyDescent="0.25">
      <c r="A1092" s="70" t="s">
        <v>877</v>
      </c>
      <c r="B1092" s="70" t="s">
        <v>2492</v>
      </c>
      <c r="C1092" s="70" t="s">
        <v>2491</v>
      </c>
      <c r="D1092" s="70">
        <v>1508</v>
      </c>
      <c r="E1092" s="70">
        <v>-2</v>
      </c>
      <c r="F1092" s="71">
        <v>3.68</v>
      </c>
      <c r="G1092" s="71">
        <v>7.61</v>
      </c>
      <c r="H1092" s="71">
        <v>-7.36</v>
      </c>
      <c r="I1092" s="71">
        <v>-15.22</v>
      </c>
      <c r="J1092" s="70" t="s">
        <v>531</v>
      </c>
      <c r="K1092" s="70" t="s">
        <v>48</v>
      </c>
      <c r="L1092" s="74">
        <v>46141</v>
      </c>
    </row>
    <row r="1093" spans="1:12" hidden="1" x14ac:dyDescent="0.25">
      <c r="A1093" s="70" t="s">
        <v>877</v>
      </c>
      <c r="B1093" s="70" t="s">
        <v>711</v>
      </c>
      <c r="C1093" s="70" t="s">
        <v>712</v>
      </c>
      <c r="D1093" s="70">
        <v>1508</v>
      </c>
      <c r="E1093" s="70">
        <v>-3</v>
      </c>
      <c r="F1093" s="71">
        <v>3.1657500000000001</v>
      </c>
      <c r="G1093" s="71">
        <v>5.77</v>
      </c>
      <c r="H1093" s="71">
        <v>-9.4972500000000011</v>
      </c>
      <c r="I1093" s="71">
        <v>-17.309999999999999</v>
      </c>
      <c r="J1093" s="70" t="s">
        <v>531</v>
      </c>
      <c r="K1093" s="70" t="s">
        <v>48</v>
      </c>
      <c r="L1093" s="74">
        <v>46141</v>
      </c>
    </row>
    <row r="1094" spans="1:12" hidden="1" x14ac:dyDescent="0.25">
      <c r="A1094" s="70" t="s">
        <v>911</v>
      </c>
      <c r="B1094" s="70" t="s">
        <v>2493</v>
      </c>
      <c r="C1094" s="70" t="s">
        <v>2494</v>
      </c>
      <c r="D1094" s="70">
        <v>1508</v>
      </c>
      <c r="E1094" s="70">
        <v>1</v>
      </c>
      <c r="F1094" s="71">
        <v>6.45</v>
      </c>
      <c r="G1094" s="71">
        <v>13.56</v>
      </c>
      <c r="H1094" s="71">
        <v>6.45</v>
      </c>
      <c r="I1094" s="71">
        <v>13.56</v>
      </c>
      <c r="J1094" s="70" t="s">
        <v>531</v>
      </c>
      <c r="K1094" s="70" t="s">
        <v>48</v>
      </c>
      <c r="L1094" s="74">
        <v>46141</v>
      </c>
    </row>
    <row r="1095" spans="1:12" hidden="1" x14ac:dyDescent="0.25">
      <c r="A1095" s="70" t="s">
        <v>911</v>
      </c>
      <c r="B1095" s="70" t="s">
        <v>2495</v>
      </c>
      <c r="C1095" s="70" t="s">
        <v>2496</v>
      </c>
      <c r="D1095" s="70">
        <v>1508</v>
      </c>
      <c r="E1095" s="70">
        <v>1</v>
      </c>
      <c r="F1095" s="71">
        <v>34.32</v>
      </c>
      <c r="G1095" s="71">
        <v>48.72</v>
      </c>
      <c r="H1095" s="71">
        <v>34.32</v>
      </c>
      <c r="I1095" s="71">
        <v>48.72</v>
      </c>
      <c r="J1095" s="70" t="s">
        <v>531</v>
      </c>
      <c r="K1095" s="70" t="s">
        <v>48</v>
      </c>
      <c r="L1095" s="74">
        <v>46141</v>
      </c>
    </row>
    <row r="1096" spans="1:12" hidden="1" x14ac:dyDescent="0.25">
      <c r="A1096" s="70" t="s">
        <v>911</v>
      </c>
      <c r="B1096" s="70" t="s">
        <v>2497</v>
      </c>
      <c r="C1096" s="70" t="s">
        <v>2498</v>
      </c>
      <c r="D1096" s="70">
        <v>1508</v>
      </c>
      <c r="E1096" s="70">
        <v>1</v>
      </c>
      <c r="F1096" s="71">
        <v>48.919199999999996</v>
      </c>
      <c r="G1096" s="71">
        <v>71.62</v>
      </c>
      <c r="H1096" s="71">
        <v>48.919199999999996</v>
      </c>
      <c r="I1096" s="71">
        <v>71.62</v>
      </c>
      <c r="J1096" s="70" t="s">
        <v>531</v>
      </c>
      <c r="K1096" s="70" t="s">
        <v>48</v>
      </c>
      <c r="L1096" s="74">
        <v>46141</v>
      </c>
    </row>
    <row r="1097" spans="1:12" hidden="1" x14ac:dyDescent="0.25">
      <c r="A1097" s="70" t="s">
        <v>911</v>
      </c>
      <c r="B1097" s="70" t="s">
        <v>2499</v>
      </c>
      <c r="C1097" s="70" t="s">
        <v>2500</v>
      </c>
      <c r="D1097" s="70">
        <v>1508</v>
      </c>
      <c r="E1097" s="70">
        <v>1</v>
      </c>
      <c r="F1097" s="71">
        <v>39.730699999999999</v>
      </c>
      <c r="G1097" s="71">
        <v>55.31</v>
      </c>
      <c r="H1097" s="71">
        <v>39.730699999999999</v>
      </c>
      <c r="I1097" s="71">
        <v>55.31</v>
      </c>
      <c r="J1097" s="70" t="s">
        <v>531</v>
      </c>
      <c r="K1097" s="70" t="s">
        <v>48</v>
      </c>
      <c r="L1097" s="74">
        <v>46141</v>
      </c>
    </row>
    <row r="1098" spans="1:12" hidden="1" x14ac:dyDescent="0.25">
      <c r="A1098" s="70" t="s">
        <v>911</v>
      </c>
      <c r="B1098" s="70" t="s">
        <v>2501</v>
      </c>
      <c r="C1098" s="70" t="s">
        <v>2502</v>
      </c>
      <c r="D1098" s="70">
        <v>1508</v>
      </c>
      <c r="E1098" s="70">
        <v>1</v>
      </c>
      <c r="F1098" s="71">
        <v>79.549300000000002</v>
      </c>
      <c r="G1098" s="71">
        <v>128.93</v>
      </c>
      <c r="H1098" s="71">
        <v>79.549300000000002</v>
      </c>
      <c r="I1098" s="71">
        <v>128.93</v>
      </c>
      <c r="J1098" s="70" t="s">
        <v>531</v>
      </c>
      <c r="K1098" s="70" t="s">
        <v>48</v>
      </c>
      <c r="L1098" s="74">
        <v>46141</v>
      </c>
    </row>
    <row r="1099" spans="1:12" hidden="1" x14ac:dyDescent="0.25">
      <c r="A1099" s="70" t="s">
        <v>911</v>
      </c>
      <c r="B1099" s="70" t="s">
        <v>2503</v>
      </c>
      <c r="C1099" s="70" t="s">
        <v>2504</v>
      </c>
      <c r="D1099" s="70">
        <v>1508</v>
      </c>
      <c r="E1099" s="70">
        <v>1</v>
      </c>
      <c r="F1099" s="71">
        <v>30.6</v>
      </c>
      <c r="G1099" s="71">
        <v>81.96</v>
      </c>
      <c r="H1099" s="71">
        <v>30.6</v>
      </c>
      <c r="I1099" s="71">
        <v>81.96</v>
      </c>
      <c r="J1099" s="70" t="s">
        <v>531</v>
      </c>
      <c r="K1099" s="70" t="s">
        <v>48</v>
      </c>
      <c r="L1099" s="74">
        <v>46141</v>
      </c>
    </row>
    <row r="1100" spans="1:12" hidden="1" x14ac:dyDescent="0.25">
      <c r="A1100" s="70" t="s">
        <v>911</v>
      </c>
      <c r="B1100" s="70" t="s">
        <v>2505</v>
      </c>
      <c r="C1100" s="70" t="s">
        <v>2506</v>
      </c>
      <c r="D1100" s="70">
        <v>1508</v>
      </c>
      <c r="E1100" s="70">
        <v>1</v>
      </c>
      <c r="F1100" s="71">
        <v>79.61</v>
      </c>
      <c r="G1100" s="71">
        <v>116.57</v>
      </c>
      <c r="H1100" s="71">
        <v>79.61</v>
      </c>
      <c r="I1100" s="71">
        <v>116.57</v>
      </c>
      <c r="J1100" s="70" t="s">
        <v>531</v>
      </c>
      <c r="K1100" s="70" t="s">
        <v>48</v>
      </c>
      <c r="L1100" s="74">
        <v>46141</v>
      </c>
    </row>
    <row r="1101" spans="1:12" hidden="1" x14ac:dyDescent="0.25">
      <c r="A1101" s="70" t="s">
        <v>911</v>
      </c>
      <c r="B1101" s="70" t="s">
        <v>2507</v>
      </c>
      <c r="C1101" s="70" t="s">
        <v>2508</v>
      </c>
      <c r="D1101" s="70">
        <v>1508</v>
      </c>
      <c r="E1101" s="70">
        <v>1</v>
      </c>
      <c r="F1101" s="71">
        <v>8.8734000000000002</v>
      </c>
      <c r="G1101" s="71">
        <v>18.190000000000001</v>
      </c>
      <c r="H1101" s="71">
        <v>8.8734000000000002</v>
      </c>
      <c r="I1101" s="71">
        <v>18.190000000000001</v>
      </c>
      <c r="J1101" s="70" t="s">
        <v>531</v>
      </c>
      <c r="K1101" s="70" t="s">
        <v>48</v>
      </c>
      <c r="L1101" s="74">
        <v>46141</v>
      </c>
    </row>
    <row r="1102" spans="1:12" hidden="1" x14ac:dyDescent="0.25">
      <c r="A1102" s="70" t="s">
        <v>911</v>
      </c>
      <c r="B1102" s="70" t="s">
        <v>2509</v>
      </c>
      <c r="C1102" s="70" t="s">
        <v>2510</v>
      </c>
      <c r="D1102" s="70">
        <v>1508</v>
      </c>
      <c r="E1102" s="70">
        <v>1</v>
      </c>
      <c r="F1102" s="71">
        <v>64.128699999999995</v>
      </c>
      <c r="G1102" s="71">
        <v>118.05</v>
      </c>
      <c r="H1102" s="71">
        <v>64.128699999999995</v>
      </c>
      <c r="I1102" s="71">
        <v>118.05</v>
      </c>
      <c r="J1102" s="70" t="s">
        <v>531</v>
      </c>
      <c r="K1102" s="70" t="s">
        <v>48</v>
      </c>
      <c r="L1102" s="74">
        <v>46141</v>
      </c>
    </row>
    <row r="1103" spans="1:12" hidden="1" x14ac:dyDescent="0.25">
      <c r="A1103" s="70" t="s">
        <v>911</v>
      </c>
      <c r="B1103" s="70" t="s">
        <v>2511</v>
      </c>
      <c r="C1103" s="70" t="s">
        <v>2512</v>
      </c>
      <c r="D1103" s="70">
        <v>1508</v>
      </c>
      <c r="E1103" s="70">
        <v>1</v>
      </c>
      <c r="F1103" s="71">
        <v>4.4523000000000001</v>
      </c>
      <c r="G1103" s="71">
        <v>6.88</v>
      </c>
      <c r="H1103" s="71">
        <v>4.4523000000000001</v>
      </c>
      <c r="I1103" s="71">
        <v>6.88</v>
      </c>
      <c r="J1103" s="70" t="s">
        <v>531</v>
      </c>
      <c r="K1103" s="70" t="s">
        <v>48</v>
      </c>
      <c r="L1103" s="74">
        <v>46141</v>
      </c>
    </row>
    <row r="1104" spans="1:12" hidden="1" x14ac:dyDescent="0.25">
      <c r="A1104" s="70" t="s">
        <v>922</v>
      </c>
      <c r="B1104" s="70" t="s">
        <v>2513</v>
      </c>
      <c r="C1104" s="70" t="s">
        <v>2514</v>
      </c>
      <c r="D1104" s="70">
        <v>1508</v>
      </c>
      <c r="E1104" s="70">
        <v>-1</v>
      </c>
      <c r="F1104" s="71">
        <v>73.521600000000007</v>
      </c>
      <c r="G1104" s="71">
        <v>113.55</v>
      </c>
      <c r="H1104" s="71">
        <v>-73.521600000000007</v>
      </c>
      <c r="I1104" s="71">
        <v>-113.55</v>
      </c>
      <c r="J1104" s="70" t="s">
        <v>531</v>
      </c>
      <c r="K1104" s="70" t="s">
        <v>48</v>
      </c>
      <c r="L1104" s="74">
        <v>46141</v>
      </c>
    </row>
    <row r="1105" spans="1:12" hidden="1" x14ac:dyDescent="0.25">
      <c r="A1105" s="70" t="s">
        <v>877</v>
      </c>
      <c r="B1105" s="70" t="s">
        <v>2458</v>
      </c>
      <c r="C1105" s="70" t="s">
        <v>2459</v>
      </c>
      <c r="D1105" s="70">
        <v>1508</v>
      </c>
      <c r="E1105" s="70">
        <v>-1</v>
      </c>
      <c r="F1105" s="71">
        <v>6.0872999999999999</v>
      </c>
      <c r="G1105" s="71">
        <v>14.56</v>
      </c>
      <c r="H1105" s="71">
        <v>-6.0872999999999999</v>
      </c>
      <c r="I1105" s="71">
        <v>-14.56</v>
      </c>
      <c r="J1105" s="70" t="s">
        <v>531</v>
      </c>
      <c r="K1105" s="70" t="s">
        <v>48</v>
      </c>
      <c r="L1105" s="74">
        <v>46141</v>
      </c>
    </row>
    <row r="1106" spans="1:12" hidden="1" x14ac:dyDescent="0.25">
      <c r="A1106" s="70" t="s">
        <v>898</v>
      </c>
      <c r="B1106" s="70" t="s">
        <v>1190</v>
      </c>
      <c r="C1106" s="70" t="s">
        <v>1191</v>
      </c>
      <c r="D1106" s="70">
        <v>1508</v>
      </c>
      <c r="E1106" s="70">
        <v>1</v>
      </c>
      <c r="F1106" s="71">
        <v>16.7895</v>
      </c>
      <c r="G1106" s="71">
        <v>33.119999999999997</v>
      </c>
      <c r="H1106" s="71">
        <v>16.7895</v>
      </c>
      <c r="I1106" s="71">
        <v>33.119999999999997</v>
      </c>
      <c r="J1106" s="70" t="s">
        <v>531</v>
      </c>
      <c r="K1106" s="70" t="s">
        <v>48</v>
      </c>
      <c r="L1106" s="74">
        <v>46141</v>
      </c>
    </row>
    <row r="1107" spans="1:12" hidden="1" x14ac:dyDescent="0.25">
      <c r="A1107" s="70" t="s">
        <v>877</v>
      </c>
      <c r="B1107" s="70" t="s">
        <v>2515</v>
      </c>
      <c r="C1107" s="70" t="s">
        <v>2516</v>
      </c>
      <c r="D1107" s="70">
        <v>1514</v>
      </c>
      <c r="E1107" s="70">
        <v>-1</v>
      </c>
      <c r="F1107" s="71">
        <v>9.4855</v>
      </c>
      <c r="G1107" s="71">
        <v>27.52</v>
      </c>
      <c r="H1107" s="71">
        <v>-9.4855</v>
      </c>
      <c r="I1107" s="71">
        <v>-27.52</v>
      </c>
      <c r="J1107" s="70" t="s">
        <v>526</v>
      </c>
      <c r="K1107" s="70" t="s">
        <v>48</v>
      </c>
      <c r="L1107" s="74">
        <v>46136</v>
      </c>
    </row>
    <row r="1108" spans="1:12" hidden="1" x14ac:dyDescent="0.25">
      <c r="A1108" s="70" t="s">
        <v>911</v>
      </c>
      <c r="B1108" s="70" t="s">
        <v>2517</v>
      </c>
      <c r="C1108" s="70" t="s">
        <v>2518</v>
      </c>
      <c r="D1108" s="70">
        <v>1514</v>
      </c>
      <c r="E1108" s="70">
        <v>1</v>
      </c>
      <c r="F1108" s="71">
        <v>31.558299999999999</v>
      </c>
      <c r="G1108" s="71">
        <v>42.78</v>
      </c>
      <c r="H1108" s="71">
        <v>31.558299999999999</v>
      </c>
      <c r="I1108" s="71">
        <v>42.78</v>
      </c>
      <c r="J1108" s="70" t="s">
        <v>526</v>
      </c>
      <c r="K1108" s="70" t="s">
        <v>48</v>
      </c>
      <c r="L1108" s="74">
        <v>46136</v>
      </c>
    </row>
    <row r="1109" spans="1:12" hidden="1" x14ac:dyDescent="0.25">
      <c r="A1109" s="70" t="s">
        <v>922</v>
      </c>
      <c r="B1109" s="70" t="s">
        <v>2519</v>
      </c>
      <c r="C1109" s="70" t="s">
        <v>2520</v>
      </c>
      <c r="D1109" s="70">
        <v>1514</v>
      </c>
      <c r="E1109" s="70">
        <v>-1</v>
      </c>
      <c r="F1109" s="71">
        <v>31.977</v>
      </c>
      <c r="G1109" s="71">
        <v>46.82</v>
      </c>
      <c r="H1109" s="71">
        <v>-31.977</v>
      </c>
      <c r="I1109" s="71">
        <v>-46.82</v>
      </c>
      <c r="J1109" s="70" t="s">
        <v>526</v>
      </c>
      <c r="K1109" s="70" t="s">
        <v>48</v>
      </c>
      <c r="L1109" s="74">
        <v>46136</v>
      </c>
    </row>
    <row r="1110" spans="1:12" hidden="1" x14ac:dyDescent="0.25">
      <c r="A1110" s="70" t="s">
        <v>877</v>
      </c>
      <c r="B1110" s="70" t="s">
        <v>2521</v>
      </c>
      <c r="C1110" s="70" t="s">
        <v>2522</v>
      </c>
      <c r="D1110" s="70">
        <v>1514</v>
      </c>
      <c r="E1110" s="70">
        <v>-1</v>
      </c>
      <c r="F1110" s="71">
        <v>36.1937</v>
      </c>
      <c r="G1110" s="71">
        <v>65.03</v>
      </c>
      <c r="H1110" s="71">
        <v>-36.1937</v>
      </c>
      <c r="I1110" s="71">
        <v>-65.03</v>
      </c>
      <c r="J1110" s="70" t="s">
        <v>526</v>
      </c>
      <c r="K1110" s="70" t="s">
        <v>48</v>
      </c>
      <c r="L1110" s="74">
        <v>46136</v>
      </c>
    </row>
    <row r="1111" spans="1:12" hidden="1" x14ac:dyDescent="0.25">
      <c r="A1111" s="70" t="s">
        <v>877</v>
      </c>
      <c r="B1111" s="70" t="s">
        <v>1809</v>
      </c>
      <c r="C1111" s="70" t="s">
        <v>1810</v>
      </c>
      <c r="D1111" s="70">
        <v>1514</v>
      </c>
      <c r="E1111" s="70">
        <v>-1</v>
      </c>
      <c r="F1111" s="71">
        <v>37.612499999999997</v>
      </c>
      <c r="G1111" s="71">
        <v>105.42</v>
      </c>
      <c r="H1111" s="71">
        <v>-37.612499999999997</v>
      </c>
      <c r="I1111" s="71">
        <v>-105.42</v>
      </c>
      <c r="J1111" s="70" t="s">
        <v>526</v>
      </c>
      <c r="K1111" s="70" t="s">
        <v>48</v>
      </c>
      <c r="L1111" s="74">
        <v>46136</v>
      </c>
    </row>
    <row r="1112" spans="1:12" hidden="1" x14ac:dyDescent="0.25">
      <c r="A1112" s="70" t="s">
        <v>877</v>
      </c>
      <c r="B1112" s="70" t="s">
        <v>2523</v>
      </c>
      <c r="C1112" s="70" t="s">
        <v>2524</v>
      </c>
      <c r="D1112" s="70">
        <v>1514</v>
      </c>
      <c r="E1112" s="70">
        <v>-1</v>
      </c>
      <c r="F1112" s="71">
        <v>9.7675333333333292</v>
      </c>
      <c r="G1112" s="71">
        <v>26.31</v>
      </c>
      <c r="H1112" s="71">
        <v>-9.7675333333333292</v>
      </c>
      <c r="I1112" s="71">
        <v>-26.31</v>
      </c>
      <c r="J1112" s="70" t="s">
        <v>526</v>
      </c>
      <c r="K1112" s="70" t="s">
        <v>48</v>
      </c>
      <c r="L1112" s="74">
        <v>46136</v>
      </c>
    </row>
    <row r="1113" spans="1:12" hidden="1" x14ac:dyDescent="0.25">
      <c r="A1113" s="70" t="s">
        <v>877</v>
      </c>
      <c r="B1113" s="70" t="s">
        <v>2525</v>
      </c>
      <c r="C1113" s="70" t="s">
        <v>2526</v>
      </c>
      <c r="D1113" s="70">
        <v>1514</v>
      </c>
      <c r="E1113" s="70">
        <v>-1</v>
      </c>
      <c r="F1113" s="71">
        <v>80.3232</v>
      </c>
      <c r="G1113" s="71">
        <v>150.19</v>
      </c>
      <c r="H1113" s="71">
        <v>-80.3232</v>
      </c>
      <c r="I1113" s="71">
        <v>-150.19</v>
      </c>
      <c r="J1113" s="70" t="s">
        <v>526</v>
      </c>
      <c r="K1113" s="70" t="s">
        <v>48</v>
      </c>
      <c r="L1113" s="74">
        <v>46136</v>
      </c>
    </row>
    <row r="1114" spans="1:12" hidden="1" x14ac:dyDescent="0.25">
      <c r="A1114" s="70" t="s">
        <v>911</v>
      </c>
      <c r="B1114" s="70" t="s">
        <v>2527</v>
      </c>
      <c r="C1114" s="70" t="s">
        <v>2528</v>
      </c>
      <c r="D1114" s="70">
        <v>1514</v>
      </c>
      <c r="E1114" s="70">
        <v>1</v>
      </c>
      <c r="F1114" s="71">
        <v>3.4388999999999998</v>
      </c>
      <c r="G1114" s="71">
        <v>8.86</v>
      </c>
      <c r="H1114" s="71">
        <v>3.4388999999999998</v>
      </c>
      <c r="I1114" s="71">
        <v>8.86</v>
      </c>
      <c r="J1114" s="70" t="s">
        <v>526</v>
      </c>
      <c r="K1114" s="70" t="s">
        <v>48</v>
      </c>
      <c r="L1114" s="74">
        <v>46136</v>
      </c>
    </row>
    <row r="1115" spans="1:12" hidden="1" x14ac:dyDescent="0.25">
      <c r="A1115" s="70" t="s">
        <v>922</v>
      </c>
      <c r="B1115" s="70" t="s">
        <v>2184</v>
      </c>
      <c r="C1115" s="70" t="s">
        <v>2185</v>
      </c>
      <c r="D1115" s="70">
        <v>1514</v>
      </c>
      <c r="E1115" s="70">
        <v>-1</v>
      </c>
      <c r="F1115" s="71">
        <v>3.5373000000000001</v>
      </c>
      <c r="G1115" s="71">
        <v>9.1199999999999992</v>
      </c>
      <c r="H1115" s="71">
        <v>-3.5373000000000001</v>
      </c>
      <c r="I1115" s="71">
        <v>-9.1199999999999992</v>
      </c>
      <c r="J1115" s="70" t="s">
        <v>526</v>
      </c>
      <c r="K1115" s="70" t="s">
        <v>48</v>
      </c>
      <c r="L1115" s="74">
        <v>46136</v>
      </c>
    </row>
    <row r="1116" spans="1:12" hidden="1" x14ac:dyDescent="0.25">
      <c r="A1116" s="70" t="s">
        <v>911</v>
      </c>
      <c r="B1116" s="70" t="s">
        <v>925</v>
      </c>
      <c r="C1116" s="70" t="s">
        <v>926</v>
      </c>
      <c r="D1116" s="70">
        <v>1514</v>
      </c>
      <c r="E1116" s="70">
        <v>2</v>
      </c>
      <c r="F1116" s="71">
        <v>3.4388999999999998</v>
      </c>
      <c r="G1116" s="71">
        <v>8.86</v>
      </c>
      <c r="H1116" s="71">
        <v>6.8777999999999997</v>
      </c>
      <c r="I1116" s="71">
        <v>17.72</v>
      </c>
      <c r="J1116" s="70" t="s">
        <v>526</v>
      </c>
      <c r="K1116" s="70" t="s">
        <v>48</v>
      </c>
      <c r="L1116" s="74">
        <v>46136</v>
      </c>
    </row>
    <row r="1117" spans="1:12" hidden="1" x14ac:dyDescent="0.25">
      <c r="A1117" s="70" t="s">
        <v>922</v>
      </c>
      <c r="B1117" s="70" t="s">
        <v>1931</v>
      </c>
      <c r="C1117" s="70" t="s">
        <v>1932</v>
      </c>
      <c r="D1117" s="70">
        <v>1514</v>
      </c>
      <c r="E1117" s="70">
        <v>-2</v>
      </c>
      <c r="F1117" s="71">
        <v>3.4388999999999998</v>
      </c>
      <c r="G1117" s="71">
        <v>8.86</v>
      </c>
      <c r="H1117" s="71">
        <v>-6.8777999999999997</v>
      </c>
      <c r="I1117" s="71">
        <v>-17.72</v>
      </c>
      <c r="J1117" s="70" t="s">
        <v>526</v>
      </c>
      <c r="K1117" s="70" t="s">
        <v>48</v>
      </c>
      <c r="L1117" s="74">
        <v>46136</v>
      </c>
    </row>
    <row r="1118" spans="1:12" hidden="1" x14ac:dyDescent="0.25">
      <c r="A1118" s="70" t="s">
        <v>922</v>
      </c>
      <c r="B1118" s="70" t="s">
        <v>2529</v>
      </c>
      <c r="C1118" s="70" t="s">
        <v>2530</v>
      </c>
      <c r="D1118" s="70">
        <v>1514</v>
      </c>
      <c r="E1118" s="70">
        <v>-1</v>
      </c>
      <c r="F1118" s="71">
        <v>6.9855</v>
      </c>
      <c r="G1118" s="71">
        <v>14.39</v>
      </c>
      <c r="H1118" s="71">
        <v>-6.9855</v>
      </c>
      <c r="I1118" s="71">
        <v>-14.39</v>
      </c>
      <c r="J1118" s="70" t="s">
        <v>526</v>
      </c>
      <c r="K1118" s="70" t="s">
        <v>48</v>
      </c>
      <c r="L1118" s="74">
        <v>46136</v>
      </c>
    </row>
    <row r="1119" spans="1:12" hidden="1" x14ac:dyDescent="0.25">
      <c r="A1119" s="70" t="s">
        <v>911</v>
      </c>
      <c r="B1119" s="70" t="s">
        <v>2531</v>
      </c>
      <c r="C1119" s="70" t="s">
        <v>2494</v>
      </c>
      <c r="D1119" s="70">
        <v>1514</v>
      </c>
      <c r="E1119" s="70">
        <v>1</v>
      </c>
      <c r="F1119" s="71">
        <v>6.9855</v>
      </c>
      <c r="G1119" s="71">
        <v>14.39</v>
      </c>
      <c r="H1119" s="71">
        <v>6.9855</v>
      </c>
      <c r="I1119" s="71">
        <v>14.39</v>
      </c>
      <c r="J1119" s="70" t="s">
        <v>526</v>
      </c>
      <c r="K1119" s="70" t="s">
        <v>48</v>
      </c>
      <c r="L1119" s="74">
        <v>46136</v>
      </c>
    </row>
    <row r="1120" spans="1:12" hidden="1" x14ac:dyDescent="0.25">
      <c r="A1120" s="70" t="s">
        <v>911</v>
      </c>
      <c r="B1120" s="70" t="s">
        <v>2532</v>
      </c>
      <c r="C1120" s="70" t="s">
        <v>2533</v>
      </c>
      <c r="D1120" s="70">
        <v>1514</v>
      </c>
      <c r="E1120" s="70">
        <v>1</v>
      </c>
      <c r="F1120" s="71">
        <v>28.05</v>
      </c>
      <c r="G1120" s="71">
        <v>41.07</v>
      </c>
      <c r="H1120" s="71">
        <v>28.05</v>
      </c>
      <c r="I1120" s="71">
        <v>41.07</v>
      </c>
      <c r="J1120" s="70" t="s">
        <v>526</v>
      </c>
      <c r="K1120" s="70" t="s">
        <v>48</v>
      </c>
      <c r="L1120" s="74">
        <v>46136</v>
      </c>
    </row>
    <row r="1121" spans="1:12" hidden="1" x14ac:dyDescent="0.25">
      <c r="A1121" s="70" t="s">
        <v>922</v>
      </c>
      <c r="B1121" s="70" t="s">
        <v>2534</v>
      </c>
      <c r="C1121" s="70" t="s">
        <v>2535</v>
      </c>
      <c r="D1121" s="70">
        <v>1514</v>
      </c>
      <c r="E1121" s="70">
        <v>-1</v>
      </c>
      <c r="F1121" s="71">
        <v>26.101800000000001</v>
      </c>
      <c r="G1121" s="71">
        <v>38.22</v>
      </c>
      <c r="H1121" s="71">
        <v>-26.101800000000001</v>
      </c>
      <c r="I1121" s="71">
        <v>-38.22</v>
      </c>
      <c r="J1121" s="70" t="s">
        <v>526</v>
      </c>
      <c r="K1121" s="70" t="s">
        <v>48</v>
      </c>
      <c r="L1121" s="74">
        <v>46136</v>
      </c>
    </row>
    <row r="1122" spans="1:12" hidden="1" x14ac:dyDescent="0.25">
      <c r="A1122" s="70" t="s">
        <v>922</v>
      </c>
      <c r="B1122" s="70" t="s">
        <v>1819</v>
      </c>
      <c r="C1122" s="70" t="s">
        <v>1820</v>
      </c>
      <c r="D1122" s="70">
        <v>1514</v>
      </c>
      <c r="E1122" s="70">
        <v>-1</v>
      </c>
      <c r="F1122" s="71">
        <v>217.9402</v>
      </c>
      <c r="G1122" s="71">
        <v>299.7</v>
      </c>
      <c r="H1122" s="71">
        <v>-217.9402</v>
      </c>
      <c r="I1122" s="71">
        <v>-299.7</v>
      </c>
      <c r="J1122" s="70" t="s">
        <v>526</v>
      </c>
      <c r="K1122" s="70" t="s">
        <v>48</v>
      </c>
      <c r="L1122" s="74">
        <v>46136</v>
      </c>
    </row>
    <row r="1123" spans="1:12" hidden="1" x14ac:dyDescent="0.25">
      <c r="A1123" s="70" t="s">
        <v>911</v>
      </c>
      <c r="B1123" s="70" t="s">
        <v>935</v>
      </c>
      <c r="C1123" s="70" t="s">
        <v>936</v>
      </c>
      <c r="D1123" s="70">
        <v>1514</v>
      </c>
      <c r="E1123" s="70">
        <v>1</v>
      </c>
      <c r="F1123" s="71">
        <v>217.9402</v>
      </c>
      <c r="G1123" s="71">
        <v>299.7</v>
      </c>
      <c r="H1123" s="71">
        <v>217.9402</v>
      </c>
      <c r="I1123" s="71">
        <v>299.7</v>
      </c>
      <c r="J1123" s="70" t="s">
        <v>526</v>
      </c>
      <c r="K1123" s="70" t="s">
        <v>48</v>
      </c>
      <c r="L1123" s="74">
        <v>46136</v>
      </c>
    </row>
    <row r="1124" spans="1:12" hidden="1" x14ac:dyDescent="0.25">
      <c r="A1124" s="70" t="s">
        <v>922</v>
      </c>
      <c r="B1124" s="70" t="s">
        <v>2536</v>
      </c>
      <c r="C1124" s="70" t="s">
        <v>2537</v>
      </c>
      <c r="D1124" s="70">
        <v>1514</v>
      </c>
      <c r="E1124" s="70">
        <v>-1</v>
      </c>
      <c r="F1124" s="71">
        <v>99.592799999999997</v>
      </c>
      <c r="G1124" s="71">
        <v>136.94</v>
      </c>
      <c r="H1124" s="71">
        <v>-99.592799999999997</v>
      </c>
      <c r="I1124" s="71">
        <v>-136.94</v>
      </c>
      <c r="J1124" s="70" t="s">
        <v>526</v>
      </c>
      <c r="K1124" s="70" t="s">
        <v>48</v>
      </c>
      <c r="L1124" s="74">
        <v>46136</v>
      </c>
    </row>
    <row r="1125" spans="1:12" hidden="1" x14ac:dyDescent="0.25">
      <c r="A1125" s="70" t="s">
        <v>911</v>
      </c>
      <c r="B1125" s="70" t="s">
        <v>2538</v>
      </c>
      <c r="C1125" s="70" t="s">
        <v>2539</v>
      </c>
      <c r="D1125" s="70">
        <v>1514</v>
      </c>
      <c r="E1125" s="70">
        <v>1</v>
      </c>
      <c r="F1125" s="71">
        <v>114.1979</v>
      </c>
      <c r="G1125" s="71">
        <v>192.47</v>
      </c>
      <c r="H1125" s="71">
        <v>114.1979</v>
      </c>
      <c r="I1125" s="71">
        <v>192.47</v>
      </c>
      <c r="J1125" s="70" t="s">
        <v>526</v>
      </c>
      <c r="K1125" s="70" t="s">
        <v>48</v>
      </c>
      <c r="L1125" s="74">
        <v>46136</v>
      </c>
    </row>
    <row r="1126" spans="1:12" hidden="1" x14ac:dyDescent="0.25">
      <c r="A1126" s="70" t="s">
        <v>877</v>
      </c>
      <c r="B1126" s="70" t="s">
        <v>2540</v>
      </c>
      <c r="C1126" s="70" t="s">
        <v>2541</v>
      </c>
      <c r="D1126" s="70">
        <v>1514</v>
      </c>
      <c r="E1126" s="70">
        <v>-1</v>
      </c>
      <c r="F1126" s="71">
        <v>25.5867</v>
      </c>
      <c r="G1126" s="71">
        <v>37.47</v>
      </c>
      <c r="H1126" s="71">
        <v>-25.5867</v>
      </c>
      <c r="I1126" s="71">
        <v>-37.47</v>
      </c>
      <c r="J1126" s="70" t="s">
        <v>526</v>
      </c>
      <c r="K1126" s="70" t="s">
        <v>48</v>
      </c>
      <c r="L1126" s="74">
        <v>46136</v>
      </c>
    </row>
    <row r="1127" spans="1:12" hidden="1" x14ac:dyDescent="0.25">
      <c r="A1127" s="70" t="s">
        <v>922</v>
      </c>
      <c r="B1127" s="70" t="s">
        <v>2542</v>
      </c>
      <c r="C1127" s="70" t="s">
        <v>2543</v>
      </c>
      <c r="D1127" s="70">
        <v>1514</v>
      </c>
      <c r="E1127" s="70">
        <v>-1</v>
      </c>
      <c r="F1127" s="71">
        <v>0.8387</v>
      </c>
      <c r="G1127" s="71">
        <v>1.99</v>
      </c>
      <c r="H1127" s="71">
        <v>-0.8387</v>
      </c>
      <c r="I1127" s="71">
        <v>-1.99</v>
      </c>
      <c r="J1127" s="70" t="s">
        <v>526</v>
      </c>
      <c r="K1127" s="70" t="s">
        <v>48</v>
      </c>
      <c r="L1127" s="74">
        <v>46136</v>
      </c>
    </row>
    <row r="1128" spans="1:12" hidden="1" x14ac:dyDescent="0.25">
      <c r="A1128" s="70" t="s">
        <v>911</v>
      </c>
      <c r="B1128" s="70" t="s">
        <v>2462</v>
      </c>
      <c r="C1128" s="70" t="s">
        <v>2463</v>
      </c>
      <c r="D1128" s="70">
        <v>1514</v>
      </c>
      <c r="E1128" s="70">
        <v>1</v>
      </c>
      <c r="F1128" s="71">
        <v>0.99409999999999998</v>
      </c>
      <c r="G1128" s="71">
        <v>2.95</v>
      </c>
      <c r="H1128" s="71">
        <v>0.99409999999999998</v>
      </c>
      <c r="I1128" s="71">
        <v>2.95</v>
      </c>
      <c r="J1128" s="70" t="s">
        <v>526</v>
      </c>
      <c r="K1128" s="70" t="s">
        <v>48</v>
      </c>
      <c r="L1128" s="74">
        <v>46136</v>
      </c>
    </row>
    <row r="1129" spans="1:12" hidden="1" x14ac:dyDescent="0.25">
      <c r="A1129" s="70" t="s">
        <v>911</v>
      </c>
      <c r="B1129" s="70" t="s">
        <v>1156</v>
      </c>
      <c r="C1129" s="70" t="s">
        <v>1157</v>
      </c>
      <c r="D1129" s="70">
        <v>1514</v>
      </c>
      <c r="E1129" s="70">
        <v>2</v>
      </c>
      <c r="F1129" s="71">
        <v>8.690175</v>
      </c>
      <c r="G1129" s="71">
        <v>23.3</v>
      </c>
      <c r="H1129" s="71">
        <v>17.38035</v>
      </c>
      <c r="I1129" s="71">
        <v>46.6</v>
      </c>
      <c r="J1129" s="70" t="s">
        <v>526</v>
      </c>
      <c r="K1129" s="70" t="s">
        <v>48</v>
      </c>
      <c r="L1129" s="74">
        <v>46136</v>
      </c>
    </row>
    <row r="1130" spans="1:12" hidden="1" x14ac:dyDescent="0.25">
      <c r="A1130" s="70" t="s">
        <v>922</v>
      </c>
      <c r="B1130" s="70" t="s">
        <v>2470</v>
      </c>
      <c r="C1130" s="70" t="s">
        <v>2471</v>
      </c>
      <c r="D1130" s="70">
        <v>1514</v>
      </c>
      <c r="E1130" s="70">
        <v>-3</v>
      </c>
      <c r="F1130" s="71">
        <v>8.3992799999999992</v>
      </c>
      <c r="G1130" s="71">
        <v>31</v>
      </c>
      <c r="H1130" s="71">
        <v>-25.197839999999999</v>
      </c>
      <c r="I1130" s="71">
        <v>-93</v>
      </c>
      <c r="J1130" s="70" t="s">
        <v>526</v>
      </c>
      <c r="K1130" s="70" t="s">
        <v>48</v>
      </c>
      <c r="L1130" s="74">
        <v>46136</v>
      </c>
    </row>
    <row r="1131" spans="1:12" hidden="1" x14ac:dyDescent="0.25">
      <c r="A1131" s="70" t="s">
        <v>911</v>
      </c>
      <c r="B1131" s="70" t="s">
        <v>2474</v>
      </c>
      <c r="C1131" s="70" t="s">
        <v>2475</v>
      </c>
      <c r="D1131" s="70">
        <v>1514</v>
      </c>
      <c r="E1131" s="70">
        <v>1</v>
      </c>
      <c r="F1131" s="71">
        <v>8.6920428571428605</v>
      </c>
      <c r="G1131" s="71">
        <v>23.3</v>
      </c>
      <c r="H1131" s="71">
        <v>8.6920428571428605</v>
      </c>
      <c r="I1131" s="71">
        <v>23.3</v>
      </c>
      <c r="J1131" s="70" t="s">
        <v>526</v>
      </c>
      <c r="K1131" s="70" t="s">
        <v>48</v>
      </c>
      <c r="L1131" s="74">
        <v>46136</v>
      </c>
    </row>
    <row r="1132" spans="1:12" hidden="1" x14ac:dyDescent="0.25">
      <c r="A1132" s="70" t="s">
        <v>877</v>
      </c>
      <c r="B1132" s="70" t="s">
        <v>2544</v>
      </c>
      <c r="C1132" s="70" t="s">
        <v>2545</v>
      </c>
      <c r="D1132" s="70">
        <v>1514</v>
      </c>
      <c r="E1132" s="70">
        <v>-1</v>
      </c>
      <c r="F1132" s="71">
        <v>26.2773</v>
      </c>
      <c r="G1132" s="71">
        <v>58</v>
      </c>
      <c r="H1132" s="71">
        <v>-26.2773</v>
      </c>
      <c r="I1132" s="71">
        <v>-58</v>
      </c>
      <c r="J1132" s="70" t="s">
        <v>526</v>
      </c>
      <c r="K1132" s="70" t="s">
        <v>48</v>
      </c>
      <c r="L1132" s="74">
        <v>46136</v>
      </c>
    </row>
    <row r="1133" spans="1:12" hidden="1" x14ac:dyDescent="0.25">
      <c r="A1133" s="70" t="s">
        <v>877</v>
      </c>
      <c r="B1133" s="70" t="s">
        <v>2546</v>
      </c>
      <c r="C1133" s="70" t="s">
        <v>2547</v>
      </c>
      <c r="D1133" s="70">
        <v>1514</v>
      </c>
      <c r="E1133" s="70">
        <v>-1</v>
      </c>
      <c r="F1133" s="71">
        <v>41.667000000000002</v>
      </c>
      <c r="G1133" s="71">
        <v>58</v>
      </c>
      <c r="H1133" s="71">
        <v>-41.667000000000002</v>
      </c>
      <c r="I1133" s="71">
        <v>-58</v>
      </c>
      <c r="J1133" s="70" t="s">
        <v>526</v>
      </c>
      <c r="K1133" s="70" t="s">
        <v>48</v>
      </c>
      <c r="L1133" s="74">
        <v>46136</v>
      </c>
    </row>
    <row r="1134" spans="1:12" hidden="1" x14ac:dyDescent="0.25">
      <c r="A1134" s="70" t="s">
        <v>898</v>
      </c>
      <c r="B1134" s="70" t="s">
        <v>916</v>
      </c>
      <c r="C1134" s="70" t="s">
        <v>917</v>
      </c>
      <c r="D1134" s="70">
        <v>1514</v>
      </c>
      <c r="E1134" s="70">
        <v>3</v>
      </c>
      <c r="F1134" s="71">
        <v>7.14</v>
      </c>
      <c r="G1134" s="71">
        <v>11.5</v>
      </c>
      <c r="H1134" s="71">
        <v>21.42</v>
      </c>
      <c r="I1134" s="71">
        <v>34.5</v>
      </c>
      <c r="J1134" s="70" t="s">
        <v>526</v>
      </c>
      <c r="K1134" s="70" t="s">
        <v>48</v>
      </c>
      <c r="L1134" s="74">
        <v>46136</v>
      </c>
    </row>
    <row r="1135" spans="1:12" hidden="1" x14ac:dyDescent="0.25">
      <c r="A1135" s="70" t="s">
        <v>911</v>
      </c>
      <c r="B1135" s="70" t="s">
        <v>2548</v>
      </c>
      <c r="C1135" s="70" t="s">
        <v>2549</v>
      </c>
      <c r="D1135" s="70">
        <v>1514</v>
      </c>
      <c r="E1135" s="70">
        <v>1</v>
      </c>
      <c r="F1135" s="71">
        <v>34.704599999999999</v>
      </c>
      <c r="G1135" s="71">
        <v>74.19</v>
      </c>
      <c r="H1135" s="71">
        <v>34.704599999999999</v>
      </c>
      <c r="I1135" s="71">
        <v>74.19</v>
      </c>
      <c r="J1135" s="70" t="s">
        <v>526</v>
      </c>
      <c r="K1135" s="70" t="s">
        <v>48</v>
      </c>
      <c r="L1135" s="74">
        <v>46136</v>
      </c>
    </row>
    <row r="1136" spans="1:12" hidden="1" x14ac:dyDescent="0.25">
      <c r="A1136" s="70" t="s">
        <v>922</v>
      </c>
      <c r="B1136" s="70" t="s">
        <v>2550</v>
      </c>
      <c r="C1136" s="70" t="s">
        <v>2551</v>
      </c>
      <c r="D1136" s="70">
        <v>1514</v>
      </c>
      <c r="E1136" s="70">
        <v>-1</v>
      </c>
      <c r="F1136" s="71">
        <v>53.305199999999999</v>
      </c>
      <c r="G1136" s="71">
        <v>74.19</v>
      </c>
      <c r="H1136" s="71">
        <v>-53.305199999999999</v>
      </c>
      <c r="I1136" s="71">
        <v>-74.19</v>
      </c>
      <c r="J1136" s="70" t="s">
        <v>526</v>
      </c>
      <c r="K1136" s="70" t="s">
        <v>48</v>
      </c>
      <c r="L1136" s="74">
        <v>46136</v>
      </c>
    </row>
    <row r="1137" spans="1:12" hidden="1" x14ac:dyDescent="0.25">
      <c r="A1137" s="70" t="s">
        <v>911</v>
      </c>
      <c r="B1137" s="70" t="s">
        <v>2552</v>
      </c>
      <c r="C1137" s="70" t="s">
        <v>2553</v>
      </c>
      <c r="D1137" s="70">
        <v>1514</v>
      </c>
      <c r="E1137" s="70">
        <v>1</v>
      </c>
      <c r="F1137" s="71">
        <v>34.832799999999999</v>
      </c>
      <c r="G1137" s="71">
        <v>76.89</v>
      </c>
      <c r="H1137" s="71">
        <v>34.832799999999999</v>
      </c>
      <c r="I1137" s="71">
        <v>76.89</v>
      </c>
      <c r="J1137" s="70" t="s">
        <v>526</v>
      </c>
      <c r="K1137" s="70" t="s">
        <v>48</v>
      </c>
      <c r="L1137" s="74">
        <v>46136</v>
      </c>
    </row>
    <row r="1138" spans="1:12" hidden="1" x14ac:dyDescent="0.25">
      <c r="A1138" s="70" t="s">
        <v>922</v>
      </c>
      <c r="B1138" s="70" t="s">
        <v>2554</v>
      </c>
      <c r="C1138" s="70" t="s">
        <v>2555</v>
      </c>
      <c r="D1138" s="70">
        <v>1514</v>
      </c>
      <c r="E1138" s="70">
        <v>-1</v>
      </c>
      <c r="F1138" s="71">
        <v>45.037999999999997</v>
      </c>
      <c r="G1138" s="71">
        <v>76.89</v>
      </c>
      <c r="H1138" s="71">
        <v>-45.037999999999997</v>
      </c>
      <c r="I1138" s="71">
        <v>-76.89</v>
      </c>
      <c r="J1138" s="70" t="s">
        <v>526</v>
      </c>
      <c r="K1138" s="70" t="s">
        <v>48</v>
      </c>
      <c r="L1138" s="74">
        <v>46136</v>
      </c>
    </row>
    <row r="1139" spans="1:12" hidden="1" x14ac:dyDescent="0.25">
      <c r="A1139" s="70" t="s">
        <v>898</v>
      </c>
      <c r="B1139" s="70" t="s">
        <v>2556</v>
      </c>
      <c r="C1139" s="70" t="s">
        <v>2557</v>
      </c>
      <c r="D1139" s="70">
        <v>1514</v>
      </c>
      <c r="E1139" s="70">
        <v>1</v>
      </c>
      <c r="F1139" s="71">
        <v>10.6386</v>
      </c>
      <c r="G1139" s="71">
        <v>32.86</v>
      </c>
      <c r="H1139" s="71">
        <v>10.6386</v>
      </c>
      <c r="I1139" s="71">
        <v>32.86</v>
      </c>
      <c r="J1139" s="70" t="s">
        <v>526</v>
      </c>
      <c r="K1139" s="70" t="s">
        <v>48</v>
      </c>
      <c r="L1139" s="74">
        <v>46136</v>
      </c>
    </row>
    <row r="1140" spans="1:12" hidden="1" x14ac:dyDescent="0.25">
      <c r="A1140" s="70" t="s">
        <v>898</v>
      </c>
      <c r="B1140" s="70" t="s">
        <v>2558</v>
      </c>
      <c r="C1140" s="70" t="s">
        <v>2559</v>
      </c>
      <c r="D1140" s="70">
        <v>1514</v>
      </c>
      <c r="E1140" s="70">
        <v>1</v>
      </c>
      <c r="F1140" s="71">
        <v>7.14</v>
      </c>
      <c r="G1140" s="71">
        <v>11.5</v>
      </c>
      <c r="H1140" s="71">
        <v>7.14</v>
      </c>
      <c r="I1140" s="71">
        <v>11.5</v>
      </c>
      <c r="J1140" s="70" t="s">
        <v>526</v>
      </c>
      <c r="K1140" s="70" t="s">
        <v>48</v>
      </c>
      <c r="L1140" s="74">
        <v>46136</v>
      </c>
    </row>
    <row r="1141" spans="1:12" hidden="1" x14ac:dyDescent="0.25">
      <c r="A1141" s="70" t="s">
        <v>877</v>
      </c>
      <c r="B1141" s="70" t="s">
        <v>2560</v>
      </c>
      <c r="C1141" s="70" t="s">
        <v>2561</v>
      </c>
      <c r="D1141" s="70">
        <v>1514</v>
      </c>
      <c r="E1141" s="70">
        <v>-1</v>
      </c>
      <c r="F1141" s="71">
        <v>16.32</v>
      </c>
      <c r="G1141" s="71">
        <v>26.29</v>
      </c>
      <c r="H1141" s="71">
        <v>-16.32</v>
      </c>
      <c r="I1141" s="71">
        <v>-26.29</v>
      </c>
      <c r="J1141" s="70" t="s">
        <v>526</v>
      </c>
      <c r="K1141" s="70" t="s">
        <v>48</v>
      </c>
      <c r="L1141" s="74">
        <v>46136</v>
      </c>
    </row>
    <row r="1142" spans="1:12" hidden="1" x14ac:dyDescent="0.25">
      <c r="A1142" s="70" t="s">
        <v>877</v>
      </c>
      <c r="B1142" s="70" t="s">
        <v>2562</v>
      </c>
      <c r="C1142" s="70" t="s">
        <v>2563</v>
      </c>
      <c r="D1142" s="70">
        <v>1514</v>
      </c>
      <c r="E1142" s="70">
        <v>-1</v>
      </c>
      <c r="F1142" s="71">
        <v>16.32</v>
      </c>
      <c r="G1142" s="71">
        <v>26.29</v>
      </c>
      <c r="H1142" s="71">
        <v>-16.32</v>
      </c>
      <c r="I1142" s="71">
        <v>-26.29</v>
      </c>
      <c r="J1142" s="70" t="s">
        <v>526</v>
      </c>
      <c r="K1142" s="70" t="s">
        <v>48</v>
      </c>
      <c r="L1142" s="74">
        <v>46136</v>
      </c>
    </row>
    <row r="1143" spans="1:12" hidden="1" x14ac:dyDescent="0.25">
      <c r="A1143" s="70" t="s">
        <v>877</v>
      </c>
      <c r="B1143" s="70" t="s">
        <v>2564</v>
      </c>
      <c r="C1143" s="70" t="s">
        <v>2565</v>
      </c>
      <c r="D1143" s="70">
        <v>1703</v>
      </c>
      <c r="E1143" s="70">
        <v>-1</v>
      </c>
      <c r="F1143" s="71">
        <v>14.176399999999999</v>
      </c>
      <c r="G1143" s="71">
        <v>28.93</v>
      </c>
      <c r="H1143" s="71">
        <v>-14.176399999999999</v>
      </c>
      <c r="I1143" s="71">
        <v>-28.93</v>
      </c>
      <c r="J1143" s="70" t="s">
        <v>423</v>
      </c>
      <c r="K1143" s="70" t="s">
        <v>48</v>
      </c>
      <c r="L1143" s="74">
        <v>46039</v>
      </c>
    </row>
    <row r="1144" spans="1:12" hidden="1" x14ac:dyDescent="0.25">
      <c r="A1144" s="70" t="s">
        <v>877</v>
      </c>
      <c r="B1144" s="70" t="s">
        <v>2566</v>
      </c>
      <c r="C1144" s="70" t="s">
        <v>2567</v>
      </c>
      <c r="D1144" s="70">
        <v>1703</v>
      </c>
      <c r="E1144" s="70">
        <v>-1</v>
      </c>
      <c r="F1144" s="71">
        <v>10.456</v>
      </c>
      <c r="G1144" s="71">
        <v>16.829999999999998</v>
      </c>
      <c r="H1144" s="71">
        <v>-10.456</v>
      </c>
      <c r="I1144" s="71">
        <v>-16.829999999999998</v>
      </c>
      <c r="J1144" s="70" t="s">
        <v>423</v>
      </c>
      <c r="K1144" s="70" t="s">
        <v>48</v>
      </c>
      <c r="L1144" s="74">
        <v>46039</v>
      </c>
    </row>
    <row r="1145" spans="1:12" hidden="1" x14ac:dyDescent="0.25">
      <c r="A1145" s="70" t="s">
        <v>877</v>
      </c>
      <c r="B1145" s="70" t="s">
        <v>2568</v>
      </c>
      <c r="C1145" s="70" t="s">
        <v>2569</v>
      </c>
      <c r="D1145" s="70">
        <v>1703</v>
      </c>
      <c r="E1145" s="70">
        <v>-1</v>
      </c>
      <c r="F1145" s="71">
        <v>8.5164333333333335</v>
      </c>
      <c r="G1145" s="71">
        <v>21.42</v>
      </c>
      <c r="H1145" s="71">
        <v>-8.5164333333333335</v>
      </c>
      <c r="I1145" s="71">
        <v>-21.42</v>
      </c>
      <c r="J1145" s="70" t="s">
        <v>423</v>
      </c>
      <c r="K1145" s="70" t="s">
        <v>48</v>
      </c>
      <c r="L1145" s="74">
        <v>46039</v>
      </c>
    </row>
    <row r="1146" spans="1:12" hidden="1" x14ac:dyDescent="0.25">
      <c r="A1146" s="70" t="s">
        <v>877</v>
      </c>
      <c r="B1146" s="70" t="s">
        <v>2570</v>
      </c>
      <c r="C1146" s="70" t="s">
        <v>2571</v>
      </c>
      <c r="D1146" s="70">
        <v>1703</v>
      </c>
      <c r="E1146" s="70">
        <v>-1</v>
      </c>
      <c r="F1146" s="71">
        <v>7.7565499999999998</v>
      </c>
      <c r="G1146" s="71">
        <v>20.41</v>
      </c>
      <c r="H1146" s="71">
        <v>-7.7565499999999998</v>
      </c>
      <c r="I1146" s="71">
        <v>-20.41</v>
      </c>
      <c r="J1146" s="70" t="s">
        <v>423</v>
      </c>
      <c r="K1146" s="70" t="s">
        <v>48</v>
      </c>
      <c r="L1146" s="74">
        <v>46039</v>
      </c>
    </row>
    <row r="1147" spans="1:12" hidden="1" x14ac:dyDescent="0.25">
      <c r="A1147" s="70" t="s">
        <v>877</v>
      </c>
      <c r="B1147" s="70" t="s">
        <v>1406</v>
      </c>
      <c r="C1147" s="70" t="s">
        <v>1407</v>
      </c>
      <c r="D1147" s="70">
        <v>1703</v>
      </c>
      <c r="E1147" s="70">
        <v>-1</v>
      </c>
      <c r="F1147" s="71">
        <v>4.97166</v>
      </c>
      <c r="G1147" s="71">
        <v>8.43</v>
      </c>
      <c r="H1147" s="71">
        <v>-4.97166</v>
      </c>
      <c r="I1147" s="71">
        <v>-8.43</v>
      </c>
      <c r="J1147" s="70" t="s">
        <v>423</v>
      </c>
      <c r="K1147" s="70" t="s">
        <v>48</v>
      </c>
      <c r="L1147" s="74">
        <v>46039</v>
      </c>
    </row>
    <row r="1148" spans="1:12" hidden="1" x14ac:dyDescent="0.25">
      <c r="A1148" s="70" t="s">
        <v>877</v>
      </c>
      <c r="B1148" s="70" t="s">
        <v>2572</v>
      </c>
      <c r="C1148" s="70" t="s">
        <v>2573</v>
      </c>
      <c r="D1148" s="70">
        <v>1703</v>
      </c>
      <c r="E1148" s="70">
        <v>-1</v>
      </c>
      <c r="F1148" s="71">
        <v>1.0960000000000001</v>
      </c>
      <c r="G1148" s="71">
        <v>2.37</v>
      </c>
      <c r="H1148" s="71">
        <v>-1.0960000000000001</v>
      </c>
      <c r="I1148" s="71">
        <v>-2.37</v>
      </c>
      <c r="J1148" s="70" t="s">
        <v>423</v>
      </c>
      <c r="K1148" s="70" t="s">
        <v>48</v>
      </c>
      <c r="L1148" s="74">
        <v>46039</v>
      </c>
    </row>
    <row r="1149" spans="1:12" hidden="1" x14ac:dyDescent="0.25">
      <c r="A1149" s="70" t="s">
        <v>877</v>
      </c>
      <c r="B1149" s="70" t="s">
        <v>2574</v>
      </c>
      <c r="C1149" s="70" t="s">
        <v>2575</v>
      </c>
      <c r="D1149" s="70">
        <v>1703</v>
      </c>
      <c r="E1149" s="70">
        <v>-1</v>
      </c>
      <c r="F1149" s="71">
        <v>0.93</v>
      </c>
      <c r="G1149" s="71">
        <v>1.32</v>
      </c>
      <c r="H1149" s="71">
        <v>-0.93</v>
      </c>
      <c r="I1149" s="71">
        <v>-1.32</v>
      </c>
      <c r="J1149" s="70" t="s">
        <v>423</v>
      </c>
      <c r="K1149" s="70" t="s">
        <v>48</v>
      </c>
      <c r="L1149" s="74">
        <v>46039</v>
      </c>
    </row>
    <row r="1150" spans="1:12" hidden="1" x14ac:dyDescent="0.25">
      <c r="A1150" s="70" t="s">
        <v>877</v>
      </c>
      <c r="B1150" s="70" t="s">
        <v>2576</v>
      </c>
      <c r="C1150" s="70" t="s">
        <v>2577</v>
      </c>
      <c r="D1150" s="70">
        <v>1718</v>
      </c>
      <c r="E1150" s="70">
        <v>-1</v>
      </c>
      <c r="F1150" s="71">
        <v>267.66140000000001</v>
      </c>
      <c r="G1150" s="71">
        <v>0</v>
      </c>
      <c r="H1150" s="71">
        <v>-267.66140000000001</v>
      </c>
      <c r="I1150" s="71">
        <v>0</v>
      </c>
      <c r="J1150" s="70" t="s">
        <v>523</v>
      </c>
      <c r="K1150" s="70" t="s">
        <v>48</v>
      </c>
      <c r="L1150" s="74">
        <v>46133</v>
      </c>
    </row>
    <row r="1151" spans="1:12" hidden="1" x14ac:dyDescent="0.25">
      <c r="A1151" s="70" t="s">
        <v>877</v>
      </c>
      <c r="B1151" s="70" t="s">
        <v>2578</v>
      </c>
      <c r="C1151" s="70" t="s">
        <v>2579</v>
      </c>
      <c r="D1151" s="70">
        <v>1718</v>
      </c>
      <c r="E1151" s="70">
        <v>-1</v>
      </c>
      <c r="F1151" s="71">
        <v>214.68315000000001</v>
      </c>
      <c r="G1151" s="71">
        <v>0</v>
      </c>
      <c r="H1151" s="71">
        <v>-214.68315000000001</v>
      </c>
      <c r="I1151" s="71">
        <v>0</v>
      </c>
      <c r="J1151" s="70" t="s">
        <v>523</v>
      </c>
      <c r="K1151" s="70" t="s">
        <v>48</v>
      </c>
      <c r="L1151" s="74">
        <v>46133</v>
      </c>
    </row>
    <row r="1152" spans="1:12" hidden="1" x14ac:dyDescent="0.25">
      <c r="A1152" s="70" t="s">
        <v>877</v>
      </c>
      <c r="B1152" s="70" t="s">
        <v>2580</v>
      </c>
      <c r="C1152" s="70" t="s">
        <v>2581</v>
      </c>
      <c r="D1152" s="70">
        <v>1718</v>
      </c>
      <c r="E1152" s="70">
        <v>-8</v>
      </c>
      <c r="F1152" s="71">
        <v>26.185306060606059</v>
      </c>
      <c r="G1152" s="71">
        <v>0</v>
      </c>
      <c r="H1152" s="71">
        <v>-209.4824484848485</v>
      </c>
      <c r="I1152" s="71">
        <v>0</v>
      </c>
      <c r="J1152" s="70" t="s">
        <v>523</v>
      </c>
      <c r="K1152" s="70" t="s">
        <v>48</v>
      </c>
      <c r="L1152" s="74">
        <v>46133</v>
      </c>
    </row>
    <row r="1153" spans="1:12" hidden="1" x14ac:dyDescent="0.25">
      <c r="A1153" s="70" t="s">
        <v>877</v>
      </c>
      <c r="B1153" s="70" t="s">
        <v>2582</v>
      </c>
      <c r="C1153" s="70" t="s">
        <v>2583</v>
      </c>
      <c r="D1153" s="70">
        <v>1718</v>
      </c>
      <c r="E1153" s="70">
        <v>-2</v>
      </c>
      <c r="F1153" s="71">
        <v>97.48177142857142</v>
      </c>
      <c r="G1153" s="71">
        <v>0</v>
      </c>
      <c r="H1153" s="71">
        <v>-194.96354285714281</v>
      </c>
      <c r="I1153" s="71">
        <v>0</v>
      </c>
      <c r="J1153" s="70" t="s">
        <v>523</v>
      </c>
      <c r="K1153" s="70" t="s">
        <v>48</v>
      </c>
      <c r="L1153" s="74">
        <v>46133</v>
      </c>
    </row>
    <row r="1154" spans="1:12" hidden="1" x14ac:dyDescent="0.25">
      <c r="A1154" s="70" t="s">
        <v>877</v>
      </c>
      <c r="B1154" s="70" t="s">
        <v>2584</v>
      </c>
      <c r="C1154" s="70" t="s">
        <v>2585</v>
      </c>
      <c r="D1154" s="70">
        <v>1718</v>
      </c>
      <c r="E1154" s="70">
        <v>-1</v>
      </c>
      <c r="F1154" s="71">
        <v>50.1768</v>
      </c>
      <c r="G1154" s="71">
        <v>0</v>
      </c>
      <c r="H1154" s="71">
        <v>-50.1768</v>
      </c>
      <c r="I1154" s="71">
        <v>0</v>
      </c>
      <c r="J1154" s="70" t="s">
        <v>523</v>
      </c>
      <c r="K1154" s="70" t="s">
        <v>48</v>
      </c>
      <c r="L1154" s="74">
        <v>46133</v>
      </c>
    </row>
    <row r="1155" spans="1:12" hidden="1" x14ac:dyDescent="0.25">
      <c r="A1155" s="70" t="s">
        <v>877</v>
      </c>
      <c r="B1155" s="70" t="s">
        <v>1231</v>
      </c>
      <c r="C1155" s="70" t="s">
        <v>1232</v>
      </c>
      <c r="D1155" s="70">
        <v>1718</v>
      </c>
      <c r="E1155" s="70">
        <v>-3</v>
      </c>
      <c r="F1155" s="71">
        <v>10.31324242424242</v>
      </c>
      <c r="G1155" s="71">
        <v>0</v>
      </c>
      <c r="H1155" s="71">
        <v>-30.939727272727271</v>
      </c>
      <c r="I1155" s="71">
        <v>0</v>
      </c>
      <c r="J1155" s="70" t="s">
        <v>523</v>
      </c>
      <c r="K1155" s="70" t="s">
        <v>48</v>
      </c>
      <c r="L1155" s="74">
        <v>46133</v>
      </c>
    </row>
    <row r="1156" spans="1:12" hidden="1" x14ac:dyDescent="0.25">
      <c r="A1156" s="70" t="s">
        <v>877</v>
      </c>
      <c r="B1156" s="70" t="s">
        <v>2586</v>
      </c>
      <c r="C1156" s="70" t="s">
        <v>2587</v>
      </c>
      <c r="D1156" s="70">
        <v>1718</v>
      </c>
      <c r="E1156" s="70">
        <v>-2</v>
      </c>
      <c r="F1156" s="71">
        <v>9.7553039999999989</v>
      </c>
      <c r="G1156" s="71">
        <v>0</v>
      </c>
      <c r="H1156" s="71">
        <v>-19.510608000000001</v>
      </c>
      <c r="I1156" s="71">
        <v>0</v>
      </c>
      <c r="J1156" s="70" t="s">
        <v>523</v>
      </c>
      <c r="K1156" s="70" t="s">
        <v>48</v>
      </c>
      <c r="L1156" s="74">
        <v>46133</v>
      </c>
    </row>
    <row r="1157" spans="1:12" hidden="1" x14ac:dyDescent="0.25">
      <c r="A1157" s="70" t="s">
        <v>877</v>
      </c>
      <c r="B1157" s="70" t="s">
        <v>2588</v>
      </c>
      <c r="C1157" s="70" t="s">
        <v>2589</v>
      </c>
      <c r="D1157" s="70">
        <v>1718</v>
      </c>
      <c r="E1157" s="70">
        <v>-1</v>
      </c>
      <c r="F1157" s="71">
        <v>4.0969584699453554</v>
      </c>
      <c r="G1157" s="71">
        <v>0</v>
      </c>
      <c r="H1157" s="71">
        <v>-4.0969584699453554</v>
      </c>
      <c r="I1157" s="71">
        <v>0</v>
      </c>
      <c r="J1157" s="70" t="s">
        <v>523</v>
      </c>
      <c r="K1157" s="70" t="s">
        <v>48</v>
      </c>
      <c r="L1157" s="74">
        <v>46133</v>
      </c>
    </row>
    <row r="1158" spans="1:12" hidden="1" x14ac:dyDescent="0.25">
      <c r="A1158" s="70" t="s">
        <v>877</v>
      </c>
      <c r="B1158" s="70" t="s">
        <v>2590</v>
      </c>
      <c r="C1158" s="70" t="s">
        <v>2591</v>
      </c>
      <c r="D1158" s="70">
        <v>1718</v>
      </c>
      <c r="E1158" s="70">
        <v>-2</v>
      </c>
      <c r="F1158" s="71">
        <v>1.087267458866545</v>
      </c>
      <c r="G1158" s="71">
        <v>0</v>
      </c>
      <c r="H1158" s="71">
        <v>-2.1745349177330899</v>
      </c>
      <c r="I1158" s="71">
        <v>0</v>
      </c>
      <c r="J1158" s="70" t="s">
        <v>523</v>
      </c>
      <c r="K1158" s="70" t="s">
        <v>48</v>
      </c>
      <c r="L1158" s="74">
        <v>46133</v>
      </c>
    </row>
    <row r="1159" spans="1:12" hidden="1" x14ac:dyDescent="0.25">
      <c r="A1159" s="70" t="s">
        <v>898</v>
      </c>
      <c r="B1159" s="70" t="s">
        <v>2592</v>
      </c>
      <c r="C1159" s="70" t="s">
        <v>2593</v>
      </c>
      <c r="D1159" s="70">
        <v>1718</v>
      </c>
      <c r="E1159" s="70">
        <v>12</v>
      </c>
      <c r="F1159" s="71">
        <v>53.062411111111111</v>
      </c>
      <c r="G1159" s="71">
        <v>0</v>
      </c>
      <c r="H1159" s="71">
        <v>636.7489333333333</v>
      </c>
      <c r="I1159" s="71">
        <v>0</v>
      </c>
      <c r="J1159" s="70" t="s">
        <v>523</v>
      </c>
      <c r="K1159" s="70" t="s">
        <v>48</v>
      </c>
      <c r="L1159" s="74">
        <v>46133</v>
      </c>
    </row>
    <row r="1160" spans="1:12" hidden="1" x14ac:dyDescent="0.25">
      <c r="A1160" s="70" t="s">
        <v>898</v>
      </c>
      <c r="B1160" s="70" t="s">
        <v>1333</v>
      </c>
      <c r="C1160" s="70" t="s">
        <v>1334</v>
      </c>
      <c r="D1160" s="70">
        <v>1718</v>
      </c>
      <c r="E1160" s="70">
        <v>6</v>
      </c>
      <c r="F1160" s="71">
        <v>26.866299999999999</v>
      </c>
      <c r="G1160" s="71">
        <v>0</v>
      </c>
      <c r="H1160" s="71">
        <v>161.1978</v>
      </c>
      <c r="I1160" s="71">
        <v>0</v>
      </c>
      <c r="J1160" s="70" t="s">
        <v>523</v>
      </c>
      <c r="K1160" s="70" t="s">
        <v>48</v>
      </c>
      <c r="L1160" s="74">
        <v>46133</v>
      </c>
    </row>
    <row r="1161" spans="1:12" hidden="1" x14ac:dyDescent="0.25">
      <c r="A1161" s="70" t="s">
        <v>898</v>
      </c>
      <c r="B1161" s="70" t="s">
        <v>1736</v>
      </c>
      <c r="C1161" s="70" t="s">
        <v>1737</v>
      </c>
      <c r="D1161" s="70">
        <v>1718</v>
      </c>
      <c r="E1161" s="70">
        <v>7</v>
      </c>
      <c r="F1161" s="71">
        <v>15.758090322580649</v>
      </c>
      <c r="G1161" s="71">
        <v>0</v>
      </c>
      <c r="H1161" s="71">
        <v>110.3066322580645</v>
      </c>
      <c r="I1161" s="71">
        <v>0</v>
      </c>
      <c r="J1161" s="70" t="s">
        <v>523</v>
      </c>
      <c r="K1161" s="70" t="s">
        <v>48</v>
      </c>
      <c r="L1161" s="74">
        <v>46133</v>
      </c>
    </row>
    <row r="1162" spans="1:12" hidden="1" x14ac:dyDescent="0.25">
      <c r="A1162" s="70" t="s">
        <v>898</v>
      </c>
      <c r="B1162" s="70" t="s">
        <v>2594</v>
      </c>
      <c r="C1162" s="70" t="s">
        <v>2595</v>
      </c>
      <c r="D1162" s="70">
        <v>1718</v>
      </c>
      <c r="E1162" s="70">
        <v>1</v>
      </c>
      <c r="F1162" s="71">
        <v>94.017466666666664</v>
      </c>
      <c r="G1162" s="71">
        <v>0</v>
      </c>
      <c r="H1162" s="71">
        <v>94.017466666666664</v>
      </c>
      <c r="I1162" s="71">
        <v>0</v>
      </c>
      <c r="J1162" s="70" t="s">
        <v>523</v>
      </c>
      <c r="K1162" s="70" t="s">
        <v>48</v>
      </c>
      <c r="L1162" s="74">
        <v>46133</v>
      </c>
    </row>
    <row r="1163" spans="1:12" hidden="1" x14ac:dyDescent="0.25">
      <c r="A1163" s="70" t="s">
        <v>898</v>
      </c>
      <c r="B1163" s="70" t="s">
        <v>2596</v>
      </c>
      <c r="C1163" s="70" t="s">
        <v>2597</v>
      </c>
      <c r="D1163" s="70">
        <v>1718</v>
      </c>
      <c r="E1163" s="70">
        <v>2</v>
      </c>
      <c r="F1163" s="71">
        <v>14.39845606060606</v>
      </c>
      <c r="G1163" s="71">
        <v>0</v>
      </c>
      <c r="H1163" s="71">
        <v>28.79691212121212</v>
      </c>
      <c r="I1163" s="71">
        <v>0</v>
      </c>
      <c r="J1163" s="70" t="s">
        <v>523</v>
      </c>
      <c r="K1163" s="70" t="s">
        <v>48</v>
      </c>
      <c r="L1163" s="74">
        <v>46133</v>
      </c>
    </row>
    <row r="1164" spans="1:12" hidden="1" x14ac:dyDescent="0.25">
      <c r="A1164" s="70" t="s">
        <v>898</v>
      </c>
      <c r="B1164" s="70" t="s">
        <v>2598</v>
      </c>
      <c r="C1164" s="70" t="s">
        <v>2599</v>
      </c>
      <c r="D1164" s="70">
        <v>1718</v>
      </c>
      <c r="E1164" s="70">
        <v>1</v>
      </c>
      <c r="F1164" s="71">
        <v>14.147084146341459</v>
      </c>
      <c r="G1164" s="71">
        <v>0</v>
      </c>
      <c r="H1164" s="71">
        <v>14.147084146341459</v>
      </c>
      <c r="I1164" s="71">
        <v>0</v>
      </c>
      <c r="J1164" s="70" t="s">
        <v>523</v>
      </c>
      <c r="K1164" s="70" t="s">
        <v>48</v>
      </c>
      <c r="L1164" s="74">
        <v>46133</v>
      </c>
    </row>
    <row r="1165" spans="1:12" hidden="1" x14ac:dyDescent="0.25">
      <c r="A1165" s="70" t="s">
        <v>898</v>
      </c>
      <c r="B1165" s="70" t="s">
        <v>1279</v>
      </c>
      <c r="C1165" s="70" t="s">
        <v>1280</v>
      </c>
      <c r="D1165" s="70">
        <v>1718</v>
      </c>
      <c r="E1165" s="70">
        <v>1</v>
      </c>
      <c r="F1165" s="71">
        <v>13.173087499999999</v>
      </c>
      <c r="G1165" s="71">
        <v>0</v>
      </c>
      <c r="H1165" s="71">
        <v>13.173087499999999</v>
      </c>
      <c r="I1165" s="71">
        <v>0</v>
      </c>
      <c r="J1165" s="70" t="s">
        <v>523</v>
      </c>
      <c r="K1165" s="70" t="s">
        <v>48</v>
      </c>
      <c r="L1165" s="74">
        <v>46133</v>
      </c>
    </row>
    <row r="1166" spans="1:12" hidden="1" x14ac:dyDescent="0.25">
      <c r="A1166" s="70" t="s">
        <v>911</v>
      </c>
      <c r="B1166" s="70" t="s">
        <v>2600</v>
      </c>
      <c r="C1166" s="70" t="s">
        <v>2601</v>
      </c>
      <c r="D1166" s="70">
        <v>1718</v>
      </c>
      <c r="E1166" s="70">
        <v>1</v>
      </c>
      <c r="F1166" s="71">
        <v>24.5076</v>
      </c>
      <c r="G1166" s="71">
        <v>0</v>
      </c>
      <c r="H1166" s="71">
        <v>24.5076</v>
      </c>
      <c r="I1166" s="71">
        <v>0</v>
      </c>
      <c r="J1166" s="70" t="s">
        <v>523</v>
      </c>
      <c r="K1166" s="70" t="s">
        <v>48</v>
      </c>
      <c r="L1166" s="74">
        <v>46133</v>
      </c>
    </row>
    <row r="1167" spans="1:12" hidden="1" x14ac:dyDescent="0.25">
      <c r="A1167" s="70" t="s">
        <v>911</v>
      </c>
      <c r="B1167" s="70" t="s">
        <v>2602</v>
      </c>
      <c r="C1167" s="70" t="s">
        <v>1240</v>
      </c>
      <c r="D1167" s="70">
        <v>1718</v>
      </c>
      <c r="E1167" s="70">
        <v>18</v>
      </c>
      <c r="F1167" s="71">
        <v>4.9995750000000001</v>
      </c>
      <c r="G1167" s="71">
        <v>0</v>
      </c>
      <c r="H1167" s="71">
        <v>89.992350000000002</v>
      </c>
      <c r="I1167" s="71">
        <v>0</v>
      </c>
      <c r="J1167" s="70" t="s">
        <v>523</v>
      </c>
      <c r="K1167" s="70" t="s">
        <v>48</v>
      </c>
      <c r="L1167" s="74">
        <v>46133</v>
      </c>
    </row>
    <row r="1168" spans="1:12" hidden="1" x14ac:dyDescent="0.25">
      <c r="A1168" s="70" t="s">
        <v>911</v>
      </c>
      <c r="B1168" s="70" t="s">
        <v>2603</v>
      </c>
      <c r="C1168" s="70" t="s">
        <v>2604</v>
      </c>
      <c r="D1168" s="70">
        <v>1718</v>
      </c>
      <c r="E1168" s="70">
        <v>1</v>
      </c>
      <c r="F1168" s="71">
        <v>90.171120000000002</v>
      </c>
      <c r="G1168" s="71">
        <v>0</v>
      </c>
      <c r="H1168" s="71">
        <v>90.171120000000002</v>
      </c>
      <c r="I1168" s="71">
        <v>0</v>
      </c>
      <c r="J1168" s="70" t="s">
        <v>523</v>
      </c>
      <c r="K1168" s="70" t="s">
        <v>48</v>
      </c>
      <c r="L1168" s="74">
        <v>46133</v>
      </c>
    </row>
    <row r="1169" spans="1:12" hidden="1" x14ac:dyDescent="0.25">
      <c r="A1169" s="70" t="s">
        <v>911</v>
      </c>
      <c r="B1169" s="70" t="s">
        <v>2605</v>
      </c>
      <c r="C1169" s="70" t="s">
        <v>2606</v>
      </c>
      <c r="D1169" s="70">
        <v>1718</v>
      </c>
      <c r="E1169" s="70">
        <v>1</v>
      </c>
      <c r="F1169" s="71">
        <v>97.48177142857142</v>
      </c>
      <c r="G1169" s="71">
        <v>0</v>
      </c>
      <c r="H1169" s="71">
        <v>97.48177142857142</v>
      </c>
      <c r="I1169" s="71">
        <v>0</v>
      </c>
      <c r="J1169" s="70" t="s">
        <v>523</v>
      </c>
      <c r="K1169" s="70" t="s">
        <v>48</v>
      </c>
      <c r="L1169" s="74">
        <v>46133</v>
      </c>
    </row>
    <row r="1170" spans="1:12" hidden="1" x14ac:dyDescent="0.25">
      <c r="A1170" s="70" t="s">
        <v>922</v>
      </c>
      <c r="B1170" s="70" t="s">
        <v>2607</v>
      </c>
      <c r="C1170" s="70" t="s">
        <v>2608</v>
      </c>
      <c r="D1170" s="70">
        <v>1718</v>
      </c>
      <c r="E1170" s="70">
        <v>-1</v>
      </c>
      <c r="F1170" s="71">
        <v>28.338999999999999</v>
      </c>
      <c r="G1170" s="71">
        <v>0</v>
      </c>
      <c r="H1170" s="71">
        <v>-28.338999999999999</v>
      </c>
      <c r="I1170" s="71">
        <v>0</v>
      </c>
      <c r="J1170" s="70" t="s">
        <v>523</v>
      </c>
      <c r="K1170" s="70" t="s">
        <v>48</v>
      </c>
      <c r="L1170" s="74">
        <v>46133</v>
      </c>
    </row>
    <row r="1171" spans="1:12" hidden="1" x14ac:dyDescent="0.25">
      <c r="A1171" s="70" t="s">
        <v>922</v>
      </c>
      <c r="B1171" s="70" t="s">
        <v>1231</v>
      </c>
      <c r="C1171" s="70" t="s">
        <v>1232</v>
      </c>
      <c r="D1171" s="70">
        <v>1718</v>
      </c>
      <c r="E1171" s="70">
        <v>-18</v>
      </c>
      <c r="F1171" s="71">
        <v>10.31324242424242</v>
      </c>
      <c r="G1171" s="71">
        <v>0</v>
      </c>
      <c r="H1171" s="71">
        <v>-185.63836363636361</v>
      </c>
      <c r="I1171" s="71">
        <v>0</v>
      </c>
      <c r="J1171" s="70" t="s">
        <v>523</v>
      </c>
      <c r="K1171" s="70" t="s">
        <v>48</v>
      </c>
      <c r="L1171" s="74">
        <v>46133</v>
      </c>
    </row>
    <row r="1172" spans="1:12" hidden="1" x14ac:dyDescent="0.25">
      <c r="A1172" s="70" t="s">
        <v>922</v>
      </c>
      <c r="B1172" s="70" t="s">
        <v>2609</v>
      </c>
      <c r="C1172" s="70" t="s">
        <v>2610</v>
      </c>
      <c r="D1172" s="70">
        <v>1718</v>
      </c>
      <c r="E1172" s="70">
        <v>-1</v>
      </c>
      <c r="F1172" s="71">
        <v>90.220769230769221</v>
      </c>
      <c r="G1172" s="71">
        <v>0</v>
      </c>
      <c r="H1172" s="71">
        <v>-90.220769230769221</v>
      </c>
      <c r="I1172" s="71">
        <v>0</v>
      </c>
      <c r="J1172" s="70" t="s">
        <v>523</v>
      </c>
      <c r="K1172" s="70" t="s">
        <v>48</v>
      </c>
      <c r="L1172" s="74">
        <v>46133</v>
      </c>
    </row>
    <row r="1173" spans="1:12" hidden="1" x14ac:dyDescent="0.25">
      <c r="A1173" s="70" t="s">
        <v>922</v>
      </c>
      <c r="B1173" s="70" t="s">
        <v>2582</v>
      </c>
      <c r="C1173" s="70" t="s">
        <v>2583</v>
      </c>
      <c r="D1173" s="70">
        <v>1718</v>
      </c>
      <c r="E1173" s="70">
        <v>-1</v>
      </c>
      <c r="F1173" s="71">
        <v>97.48177142857142</v>
      </c>
      <c r="G1173" s="71">
        <v>0</v>
      </c>
      <c r="H1173" s="71">
        <v>-97.48177142857142</v>
      </c>
      <c r="I1173" s="71">
        <v>0</v>
      </c>
      <c r="J1173" s="70" t="s">
        <v>523</v>
      </c>
      <c r="K1173" s="70" t="s">
        <v>48</v>
      </c>
      <c r="L1173" s="74">
        <v>46133</v>
      </c>
    </row>
    <row r="1174" spans="1:12" hidden="1" x14ac:dyDescent="0.25">
      <c r="A1174" s="70" t="s">
        <v>1721</v>
      </c>
      <c r="B1174" s="70" t="s">
        <v>2611</v>
      </c>
      <c r="C1174" s="70" t="s">
        <v>2612</v>
      </c>
      <c r="D1174" s="70">
        <v>1505</v>
      </c>
      <c r="E1174" s="70">
        <v>-33</v>
      </c>
      <c r="F1174" s="71">
        <v>0.203116666666667</v>
      </c>
      <c r="G1174" s="71">
        <v>5.97</v>
      </c>
      <c r="H1174" s="71">
        <v>-6.7028500000000113</v>
      </c>
      <c r="I1174" s="71">
        <v>-197.01</v>
      </c>
      <c r="J1174" s="70" t="s">
        <v>542</v>
      </c>
      <c r="K1174" s="70" t="s">
        <v>48</v>
      </c>
      <c r="L1174" s="74">
        <v>46146</v>
      </c>
    </row>
    <row r="1175" spans="1:12" hidden="1" x14ac:dyDescent="0.25">
      <c r="A1175" s="70" t="s">
        <v>1721</v>
      </c>
      <c r="B1175" s="70" t="s">
        <v>2613</v>
      </c>
      <c r="C1175" s="70" t="s">
        <v>2614</v>
      </c>
      <c r="D1175" s="70">
        <v>1505</v>
      </c>
      <c r="E1175" s="70">
        <v>-66</v>
      </c>
      <c r="F1175" s="71">
        <v>0.16572500000000001</v>
      </c>
      <c r="G1175" s="71">
        <v>4.62</v>
      </c>
      <c r="H1175" s="71">
        <v>-10.937849999999999</v>
      </c>
      <c r="I1175" s="71">
        <v>-304.92</v>
      </c>
      <c r="J1175" s="70" t="s">
        <v>542</v>
      </c>
      <c r="K1175" s="70" t="s">
        <v>48</v>
      </c>
      <c r="L1175" s="74">
        <v>46146</v>
      </c>
    </row>
    <row r="1176" spans="1:12" hidden="1" x14ac:dyDescent="0.25">
      <c r="A1176" s="70" t="s">
        <v>1468</v>
      </c>
      <c r="B1176" s="70" t="s">
        <v>1475</v>
      </c>
      <c r="C1176" s="70" t="s">
        <v>2615</v>
      </c>
      <c r="D1176" s="70">
        <v>1728</v>
      </c>
      <c r="E1176" s="70">
        <v>-1</v>
      </c>
      <c r="F1176" s="71">
        <v>790.68619999999999</v>
      </c>
      <c r="G1176" s="71">
        <v>722.77</v>
      </c>
      <c r="H1176" s="71">
        <v>-790.68619999999999</v>
      </c>
      <c r="I1176" s="71">
        <v>-722.77</v>
      </c>
      <c r="J1176" s="70" t="s">
        <v>546</v>
      </c>
      <c r="K1176" s="70" t="s">
        <v>48</v>
      </c>
      <c r="L1176" s="74">
        <v>46147</v>
      </c>
    </row>
    <row r="1177" spans="1:12" hidden="1" x14ac:dyDescent="0.25">
      <c r="A1177" s="70" t="s">
        <v>922</v>
      </c>
      <c r="B1177" s="70"/>
      <c r="C1177" s="70"/>
      <c r="D1177" s="70">
        <v>1710</v>
      </c>
      <c r="E1177" s="70"/>
      <c r="F1177" s="71"/>
      <c r="G1177" s="71"/>
      <c r="H1177" s="71"/>
      <c r="I1177" s="71"/>
      <c r="J1177" s="70" t="s">
        <v>544</v>
      </c>
      <c r="K1177" s="70"/>
      <c r="L1177" s="74">
        <v>46146</v>
      </c>
    </row>
    <row r="1178" spans="1:12" hidden="1" x14ac:dyDescent="0.25">
      <c r="A1178" s="70" t="s">
        <v>922</v>
      </c>
      <c r="B1178" s="70"/>
      <c r="C1178" s="70"/>
      <c r="D1178" s="70">
        <v>1710</v>
      </c>
      <c r="E1178" s="70"/>
      <c r="F1178" s="71"/>
      <c r="G1178" s="71"/>
      <c r="H1178" s="71"/>
      <c r="I1178" s="71"/>
      <c r="J1178" s="70" t="s">
        <v>544</v>
      </c>
      <c r="K1178" s="70"/>
      <c r="L1178" s="74">
        <v>46146</v>
      </c>
    </row>
    <row r="1179" spans="1:12" hidden="1" x14ac:dyDescent="0.25">
      <c r="A1179" s="70" t="s">
        <v>911</v>
      </c>
      <c r="B1179" s="70"/>
      <c r="C1179" s="70"/>
      <c r="D1179" s="70">
        <v>1710</v>
      </c>
      <c r="E1179" s="70"/>
      <c r="F1179" s="71"/>
      <c r="G1179" s="71"/>
      <c r="H1179" s="71"/>
      <c r="I1179" s="71"/>
      <c r="J1179" s="70" t="s">
        <v>544</v>
      </c>
      <c r="K1179" s="70"/>
      <c r="L1179" s="74">
        <v>46146</v>
      </c>
    </row>
    <row r="1180" spans="1:12" hidden="1" x14ac:dyDescent="0.25">
      <c r="A1180" s="70" t="s">
        <v>911</v>
      </c>
      <c r="B1180" s="70"/>
      <c r="C1180" s="70"/>
      <c r="D1180" s="70">
        <v>1710</v>
      </c>
      <c r="E1180" s="70"/>
      <c r="F1180" s="71"/>
      <c r="G1180" s="71"/>
      <c r="H1180" s="71"/>
      <c r="I1180" s="71"/>
      <c r="J1180" s="70" t="s">
        <v>544</v>
      </c>
      <c r="K1180" s="70"/>
      <c r="L1180" s="74">
        <v>46146</v>
      </c>
    </row>
    <row r="1181" spans="1:12" hidden="1" x14ac:dyDescent="0.25">
      <c r="A1181" s="70" t="s">
        <v>911</v>
      </c>
      <c r="B1181" s="70"/>
      <c r="C1181" s="70"/>
      <c r="D1181" s="70">
        <v>1710</v>
      </c>
      <c r="E1181" s="70"/>
      <c r="F1181" s="71"/>
      <c r="G1181" s="71"/>
      <c r="H1181" s="71"/>
      <c r="I1181" s="71"/>
      <c r="J1181" s="70" t="s">
        <v>544</v>
      </c>
      <c r="K1181" s="70"/>
      <c r="L1181" s="74">
        <v>46146</v>
      </c>
    </row>
    <row r="1182" spans="1:12" hidden="1" x14ac:dyDescent="0.25">
      <c r="A1182" s="70" t="s">
        <v>922</v>
      </c>
      <c r="B1182" s="70"/>
      <c r="C1182" s="70"/>
      <c r="D1182" s="70">
        <v>1755</v>
      </c>
      <c r="E1182" s="70"/>
      <c r="F1182" s="71"/>
      <c r="G1182" s="71"/>
      <c r="H1182" s="71"/>
      <c r="I1182" s="71"/>
      <c r="J1182" s="70" t="s">
        <v>552</v>
      </c>
      <c r="K1182" s="70"/>
      <c r="L1182" s="74">
        <v>46148</v>
      </c>
    </row>
    <row r="1183" spans="1:12" hidden="1" x14ac:dyDescent="0.25">
      <c r="A1183" s="70" t="s">
        <v>922</v>
      </c>
      <c r="B1183" s="70"/>
      <c r="C1183" s="70"/>
      <c r="D1183" s="70">
        <v>1755</v>
      </c>
      <c r="E1183" s="70"/>
      <c r="F1183" s="71"/>
      <c r="G1183" s="71"/>
      <c r="H1183" s="71"/>
      <c r="I1183" s="71"/>
      <c r="J1183" s="70" t="s">
        <v>552</v>
      </c>
      <c r="K1183" s="70"/>
      <c r="L1183" s="74">
        <v>46148</v>
      </c>
    </row>
    <row r="1184" spans="1:12" hidden="1" x14ac:dyDescent="0.25">
      <c r="A1184" s="70" t="s">
        <v>911</v>
      </c>
      <c r="B1184" s="70"/>
      <c r="C1184" s="70"/>
      <c r="D1184" s="70">
        <v>1755</v>
      </c>
      <c r="E1184" s="70"/>
      <c r="F1184" s="71"/>
      <c r="G1184" s="71"/>
      <c r="H1184" s="71"/>
      <c r="I1184" s="71"/>
      <c r="J1184" s="70" t="s">
        <v>552</v>
      </c>
      <c r="K1184" s="70"/>
      <c r="L1184" s="74">
        <v>46148</v>
      </c>
    </row>
    <row r="1185" spans="1:12" hidden="1" x14ac:dyDescent="0.25">
      <c r="A1185" s="70" t="s">
        <v>911</v>
      </c>
      <c r="B1185" s="70"/>
      <c r="C1185" s="70"/>
      <c r="D1185" s="70">
        <v>1755</v>
      </c>
      <c r="E1185" s="70"/>
      <c r="F1185" s="71"/>
      <c r="G1185" s="71"/>
      <c r="H1185" s="71"/>
      <c r="I1185" s="71"/>
      <c r="J1185" s="70" t="s">
        <v>552</v>
      </c>
      <c r="K1185" s="70"/>
      <c r="L1185" s="74">
        <v>46148</v>
      </c>
    </row>
    <row r="1186" spans="1:12" hidden="1" x14ac:dyDescent="0.25">
      <c r="A1186" s="70" t="s">
        <v>911</v>
      </c>
      <c r="B1186" s="70"/>
      <c r="C1186" s="70"/>
      <c r="D1186" s="70">
        <v>1755</v>
      </c>
      <c r="E1186" s="70"/>
      <c r="F1186" s="71"/>
      <c r="G1186" s="71"/>
      <c r="H1186" s="71"/>
      <c r="I1186" s="71"/>
      <c r="J1186" s="70" t="s">
        <v>552</v>
      </c>
      <c r="K1186" s="70"/>
      <c r="L1186" s="74">
        <v>46148</v>
      </c>
    </row>
    <row r="1187" spans="1:12" hidden="1" x14ac:dyDescent="0.25">
      <c r="A1187" s="70" t="s">
        <v>922</v>
      </c>
      <c r="B1187" s="70"/>
      <c r="C1187" s="70"/>
      <c r="D1187" s="70">
        <v>1708</v>
      </c>
      <c r="E1187" s="70"/>
      <c r="F1187" s="71"/>
      <c r="G1187" s="71"/>
      <c r="H1187" s="71"/>
      <c r="I1187" s="71"/>
      <c r="J1187" s="70" t="s">
        <v>553</v>
      </c>
      <c r="K1187" s="70"/>
      <c r="L1187" s="74">
        <v>46148</v>
      </c>
    </row>
    <row r="1188" spans="1:12" hidden="1" x14ac:dyDescent="0.25">
      <c r="A1188" s="70" t="s">
        <v>922</v>
      </c>
      <c r="B1188" s="70"/>
      <c r="C1188" s="70"/>
      <c r="D1188" s="70">
        <v>1708</v>
      </c>
      <c r="E1188" s="70"/>
      <c r="F1188" s="71"/>
      <c r="G1188" s="71"/>
      <c r="H1188" s="71"/>
      <c r="I1188" s="71"/>
      <c r="J1188" s="70" t="s">
        <v>553</v>
      </c>
      <c r="K1188" s="70"/>
      <c r="L1188" s="74">
        <v>46148</v>
      </c>
    </row>
    <row r="1189" spans="1:12" hidden="1" x14ac:dyDescent="0.25">
      <c r="A1189" s="70" t="s">
        <v>911</v>
      </c>
      <c r="B1189" s="70"/>
      <c r="C1189" s="70"/>
      <c r="D1189" s="70">
        <v>1708</v>
      </c>
      <c r="E1189" s="70"/>
      <c r="F1189" s="71"/>
      <c r="G1189" s="71"/>
      <c r="H1189" s="71"/>
      <c r="I1189" s="71"/>
      <c r="J1189" s="70" t="s">
        <v>553</v>
      </c>
      <c r="K1189" s="70"/>
      <c r="L1189" s="74">
        <v>46148</v>
      </c>
    </row>
    <row r="1190" spans="1:12" hidden="1" x14ac:dyDescent="0.25">
      <c r="A1190" s="70" t="s">
        <v>911</v>
      </c>
      <c r="B1190" s="70"/>
      <c r="C1190" s="70"/>
      <c r="D1190" s="70">
        <v>1708</v>
      </c>
      <c r="E1190" s="70"/>
      <c r="F1190" s="71"/>
      <c r="G1190" s="71"/>
      <c r="H1190" s="71"/>
      <c r="I1190" s="71"/>
      <c r="J1190" s="70" t="s">
        <v>553</v>
      </c>
      <c r="K1190" s="70"/>
      <c r="L1190" s="74">
        <v>46148</v>
      </c>
    </row>
    <row r="1191" spans="1:12" hidden="1" x14ac:dyDescent="0.25">
      <c r="A1191" s="70" t="s">
        <v>911</v>
      </c>
      <c r="B1191" s="70"/>
      <c r="C1191" s="70"/>
      <c r="D1191" s="70">
        <v>1708</v>
      </c>
      <c r="E1191" s="70"/>
      <c r="F1191" s="71"/>
      <c r="G1191" s="71"/>
      <c r="H1191" s="71"/>
      <c r="I1191" s="71"/>
      <c r="J1191" s="70" t="s">
        <v>553</v>
      </c>
      <c r="K1191" s="70"/>
      <c r="L1191" s="74">
        <v>46148</v>
      </c>
    </row>
    <row r="1192" spans="1:12" hidden="1" x14ac:dyDescent="0.25">
      <c r="A1192" s="70" t="s">
        <v>877</v>
      </c>
      <c r="B1192" s="70" t="s">
        <v>2616</v>
      </c>
      <c r="C1192" s="70" t="s">
        <v>2617</v>
      </c>
      <c r="D1192" s="70">
        <v>1724</v>
      </c>
      <c r="E1192" s="70">
        <v>-1</v>
      </c>
      <c r="F1192" s="71">
        <v>133.9</v>
      </c>
      <c r="G1192" s="71">
        <v>199.98759999999999</v>
      </c>
      <c r="H1192" s="71">
        <v>-133.9</v>
      </c>
      <c r="I1192" s="71">
        <v>-199.98759999999999</v>
      </c>
      <c r="J1192" s="70" t="s">
        <v>556</v>
      </c>
      <c r="K1192" s="70" t="s">
        <v>48</v>
      </c>
      <c r="L1192" s="74">
        <v>46149</v>
      </c>
    </row>
    <row r="1193" spans="1:12" hidden="1" x14ac:dyDescent="0.25">
      <c r="A1193" s="70" t="s">
        <v>877</v>
      </c>
      <c r="B1193" s="70" t="s">
        <v>2618</v>
      </c>
      <c r="C1193" s="70" t="s">
        <v>2619</v>
      </c>
      <c r="D1193" s="70">
        <v>1724</v>
      </c>
      <c r="E1193" s="70">
        <v>-1</v>
      </c>
      <c r="F1193" s="71">
        <v>112.2</v>
      </c>
      <c r="G1193" s="71">
        <v>167.59209999999999</v>
      </c>
      <c r="H1193" s="71">
        <v>-112.2</v>
      </c>
      <c r="I1193" s="71">
        <v>-167.59209999999999</v>
      </c>
      <c r="J1193" s="70" t="s">
        <v>556</v>
      </c>
      <c r="K1193" s="70" t="s">
        <v>48</v>
      </c>
      <c r="L1193" s="74">
        <v>46149</v>
      </c>
    </row>
    <row r="1194" spans="1:12" hidden="1" x14ac:dyDescent="0.25">
      <c r="A1194" s="70" t="s">
        <v>877</v>
      </c>
      <c r="B1194" s="70" t="s">
        <v>2620</v>
      </c>
      <c r="C1194" s="70" t="s">
        <v>2621</v>
      </c>
      <c r="D1194" s="70">
        <v>1724</v>
      </c>
      <c r="E1194" s="70">
        <v>-1</v>
      </c>
      <c r="F1194" s="71">
        <v>63.28</v>
      </c>
      <c r="G1194" s="71">
        <v>94.510099999999994</v>
      </c>
      <c r="H1194" s="71">
        <v>-63.28</v>
      </c>
      <c r="I1194" s="71">
        <v>-94.510099999999994</v>
      </c>
      <c r="J1194" s="70" t="s">
        <v>556</v>
      </c>
      <c r="K1194" s="70" t="s">
        <v>48</v>
      </c>
      <c r="L1194" s="74">
        <v>46149</v>
      </c>
    </row>
    <row r="1195" spans="1:12" hidden="1" x14ac:dyDescent="0.25">
      <c r="A1195" s="70" t="s">
        <v>877</v>
      </c>
      <c r="B1195" s="70" t="s">
        <v>2622</v>
      </c>
      <c r="C1195" s="70" t="s">
        <v>2623</v>
      </c>
      <c r="D1195" s="70">
        <v>1724</v>
      </c>
      <c r="E1195" s="70">
        <v>-1</v>
      </c>
      <c r="F1195" s="71">
        <v>20.576599999999999</v>
      </c>
      <c r="G1195" s="71">
        <v>30.7319</v>
      </c>
      <c r="H1195" s="71">
        <v>-20.576599999999999</v>
      </c>
      <c r="I1195" s="71">
        <v>-30.7319</v>
      </c>
      <c r="J1195" s="70" t="s">
        <v>556</v>
      </c>
      <c r="K1195" s="70" t="s">
        <v>48</v>
      </c>
      <c r="L1195" s="74">
        <v>46149</v>
      </c>
    </row>
    <row r="1196" spans="1:12" hidden="1" x14ac:dyDescent="0.25">
      <c r="A1196" s="70" t="s">
        <v>877</v>
      </c>
      <c r="B1196" s="70" t="s">
        <v>2624</v>
      </c>
      <c r="C1196" s="70" t="s">
        <v>2625</v>
      </c>
      <c r="D1196" s="70">
        <v>1724</v>
      </c>
      <c r="E1196" s="70">
        <v>-1</v>
      </c>
      <c r="F1196" s="71">
        <v>70.48</v>
      </c>
      <c r="G1196" s="71">
        <v>105.2664</v>
      </c>
      <c r="H1196" s="71">
        <v>-70.48</v>
      </c>
      <c r="I1196" s="71">
        <v>-105.2664</v>
      </c>
      <c r="J1196" s="70" t="s">
        <v>556</v>
      </c>
      <c r="K1196" s="70" t="s">
        <v>48</v>
      </c>
      <c r="L1196" s="74">
        <v>46149</v>
      </c>
    </row>
    <row r="1197" spans="1:12" hidden="1" x14ac:dyDescent="0.25">
      <c r="A1197" s="70" t="s">
        <v>877</v>
      </c>
      <c r="B1197" s="70" t="s">
        <v>2626</v>
      </c>
      <c r="C1197" s="70" t="s">
        <v>2627</v>
      </c>
      <c r="D1197" s="70">
        <v>1724</v>
      </c>
      <c r="E1197" s="70">
        <v>-1</v>
      </c>
      <c r="F1197" s="71">
        <v>30.045000000000002</v>
      </c>
      <c r="G1197" s="71">
        <v>45.512099999999997</v>
      </c>
      <c r="H1197" s="71">
        <v>-30.045000000000002</v>
      </c>
      <c r="I1197" s="71">
        <v>-45.512099999999997</v>
      </c>
      <c r="J1197" s="70" t="s">
        <v>556</v>
      </c>
      <c r="K1197" s="70" t="s">
        <v>48</v>
      </c>
      <c r="L1197" s="74">
        <v>46149</v>
      </c>
    </row>
    <row r="1198" spans="1:12" hidden="1" x14ac:dyDescent="0.25">
      <c r="A1198" s="70" t="s">
        <v>877</v>
      </c>
      <c r="B1198" s="70" t="s">
        <v>2628</v>
      </c>
      <c r="C1198" s="70" t="s">
        <v>2629</v>
      </c>
      <c r="D1198" s="70">
        <v>1724</v>
      </c>
      <c r="E1198" s="70">
        <v>-1</v>
      </c>
      <c r="F1198" s="71">
        <v>124.23</v>
      </c>
      <c r="G1198" s="71">
        <v>185.5694</v>
      </c>
      <c r="H1198" s="71">
        <v>-124.23</v>
      </c>
      <c r="I1198" s="71">
        <v>-185.5694</v>
      </c>
      <c r="J1198" s="70" t="s">
        <v>556</v>
      </c>
      <c r="K1198" s="70" t="s">
        <v>48</v>
      </c>
      <c r="L1198" s="74">
        <v>46149</v>
      </c>
    </row>
    <row r="1199" spans="1:12" hidden="1" x14ac:dyDescent="0.25">
      <c r="A1199" s="70" t="s">
        <v>898</v>
      </c>
      <c r="B1199" s="70" t="s">
        <v>2630</v>
      </c>
      <c r="C1199" s="70" t="s">
        <v>2631</v>
      </c>
      <c r="D1199" s="70">
        <v>1724</v>
      </c>
      <c r="E1199" s="70">
        <v>2</v>
      </c>
      <c r="F1199" s="71">
        <v>17.187544444444441</v>
      </c>
      <c r="G1199" s="71">
        <v>45.011000000000003</v>
      </c>
      <c r="H1199" s="71">
        <v>34.375088888888889</v>
      </c>
      <c r="I1199" s="71">
        <v>90.022000000000006</v>
      </c>
      <c r="J1199" s="70" t="s">
        <v>556</v>
      </c>
      <c r="K1199" s="70" t="s">
        <v>48</v>
      </c>
      <c r="L1199" s="74">
        <v>46149</v>
      </c>
    </row>
    <row r="1200" spans="1:12" hidden="1" x14ac:dyDescent="0.25">
      <c r="A1200" s="70" t="s">
        <v>898</v>
      </c>
      <c r="B1200" s="70" t="s">
        <v>2632</v>
      </c>
      <c r="C1200" s="70" t="s">
        <v>2633</v>
      </c>
      <c r="D1200" s="70">
        <v>1724</v>
      </c>
      <c r="E1200" s="70">
        <v>1</v>
      </c>
      <c r="F1200" s="71">
        <v>93.05</v>
      </c>
      <c r="G1200" s="71">
        <v>138.9846</v>
      </c>
      <c r="H1200" s="71">
        <v>93.05</v>
      </c>
      <c r="I1200" s="71">
        <v>138.9846</v>
      </c>
      <c r="J1200" s="70" t="s">
        <v>556</v>
      </c>
      <c r="K1200" s="70" t="s">
        <v>48</v>
      </c>
      <c r="L1200" s="74">
        <v>46149</v>
      </c>
    </row>
    <row r="1201" spans="1:12" hidden="1" x14ac:dyDescent="0.25">
      <c r="A1201" s="70" t="s">
        <v>877</v>
      </c>
      <c r="B1201" s="70" t="s">
        <v>2634</v>
      </c>
      <c r="C1201" s="70" t="s">
        <v>2635</v>
      </c>
      <c r="D1201" s="70">
        <v>1516</v>
      </c>
      <c r="E1201" s="70">
        <v>-1</v>
      </c>
      <c r="F1201" s="71">
        <v>6.9992000000000001</v>
      </c>
      <c r="G1201" s="71">
        <v>14.273</v>
      </c>
      <c r="H1201" s="71">
        <v>-6.9992000000000001</v>
      </c>
      <c r="I1201" s="71">
        <v>-14.273</v>
      </c>
      <c r="J1201" s="70" t="s">
        <v>558</v>
      </c>
      <c r="K1201" s="70" t="s">
        <v>48</v>
      </c>
      <c r="L1201" s="74">
        <v>46149</v>
      </c>
    </row>
    <row r="1202" spans="1:12" hidden="1" x14ac:dyDescent="0.25">
      <c r="A1202" s="70" t="s">
        <v>877</v>
      </c>
      <c r="B1202" s="70" t="s">
        <v>2636</v>
      </c>
      <c r="C1202" s="70" t="s">
        <v>2637</v>
      </c>
      <c r="D1202" s="70">
        <v>1516</v>
      </c>
      <c r="E1202" s="70">
        <v>-1</v>
      </c>
      <c r="F1202" s="71">
        <v>12.0564</v>
      </c>
      <c r="G1202" s="71">
        <v>27.416</v>
      </c>
      <c r="H1202" s="71">
        <v>-12.0564</v>
      </c>
      <c r="I1202" s="71">
        <v>-27.416</v>
      </c>
      <c r="J1202" s="70" t="s">
        <v>558</v>
      </c>
      <c r="K1202" s="70" t="s">
        <v>48</v>
      </c>
      <c r="L1202" s="74">
        <v>46149</v>
      </c>
    </row>
    <row r="1203" spans="1:12" hidden="1" x14ac:dyDescent="0.25">
      <c r="A1203" s="70" t="s">
        <v>898</v>
      </c>
      <c r="B1203" s="70" t="s">
        <v>980</v>
      </c>
      <c r="C1203" s="70" t="s">
        <v>981</v>
      </c>
      <c r="D1203" s="70">
        <v>1516</v>
      </c>
      <c r="E1203" s="70">
        <v>1</v>
      </c>
      <c r="F1203" s="71">
        <v>2.0007999999999999</v>
      </c>
      <c r="G1203" s="71">
        <v>5.8044000000000002</v>
      </c>
      <c r="H1203" s="71">
        <v>2.0007999999999999</v>
      </c>
      <c r="I1203" s="71">
        <v>5.8044000000000002</v>
      </c>
      <c r="J1203" s="70" t="s">
        <v>558</v>
      </c>
      <c r="K1203" s="70" t="s">
        <v>48</v>
      </c>
      <c r="L1203" s="74">
        <v>46149</v>
      </c>
    </row>
    <row r="1204" spans="1:12" hidden="1" x14ac:dyDescent="0.25">
      <c r="A1204" s="70" t="s">
        <v>898</v>
      </c>
      <c r="B1204" s="70" t="s">
        <v>2638</v>
      </c>
      <c r="C1204" s="70" t="s">
        <v>2639</v>
      </c>
      <c r="D1204" s="70">
        <v>1516</v>
      </c>
      <c r="E1204" s="70">
        <v>1</v>
      </c>
      <c r="F1204" s="71">
        <v>16.616299999999999</v>
      </c>
      <c r="G1204" s="71">
        <v>36.118099999999998</v>
      </c>
      <c r="H1204" s="71">
        <v>16.616299999999999</v>
      </c>
      <c r="I1204" s="71">
        <v>36.118099999999998</v>
      </c>
      <c r="J1204" s="70" t="s">
        <v>558</v>
      </c>
      <c r="K1204" s="70" t="s">
        <v>48</v>
      </c>
      <c r="L1204" s="74">
        <v>46149</v>
      </c>
    </row>
    <row r="1205" spans="1:12" hidden="1" x14ac:dyDescent="0.25">
      <c r="A1205" s="70" t="s">
        <v>877</v>
      </c>
      <c r="B1205" s="70" t="s">
        <v>2640</v>
      </c>
      <c r="C1205" s="70" t="s">
        <v>2641</v>
      </c>
      <c r="D1205" s="70">
        <v>1516</v>
      </c>
      <c r="E1205" s="70">
        <v>-1</v>
      </c>
      <c r="F1205" s="71">
        <v>20.450800000000001</v>
      </c>
      <c r="G1205" s="71">
        <v>29.944500000000001</v>
      </c>
      <c r="H1205" s="71">
        <v>-20.450800000000001</v>
      </c>
      <c r="I1205" s="71">
        <v>-29.944500000000001</v>
      </c>
      <c r="J1205" s="70" t="s">
        <v>558</v>
      </c>
      <c r="K1205" s="70" t="s">
        <v>48</v>
      </c>
      <c r="L1205" s="74">
        <v>46149</v>
      </c>
    </row>
    <row r="1206" spans="1:12" hidden="1" x14ac:dyDescent="0.25">
      <c r="A1206" s="70" t="s">
        <v>877</v>
      </c>
      <c r="B1206" s="70" t="s">
        <v>2642</v>
      </c>
      <c r="C1206" s="70" t="s">
        <v>2643</v>
      </c>
      <c r="D1206" s="70">
        <v>1516</v>
      </c>
      <c r="E1206" s="70">
        <v>-1</v>
      </c>
      <c r="F1206" s="71">
        <v>19.645199999999999</v>
      </c>
      <c r="G1206" s="71">
        <v>28.766100000000002</v>
      </c>
      <c r="H1206" s="71">
        <v>-19.645199999999999</v>
      </c>
      <c r="I1206" s="71">
        <v>-28.766100000000002</v>
      </c>
      <c r="J1206" s="70" t="s">
        <v>558</v>
      </c>
      <c r="K1206" s="70" t="s">
        <v>48</v>
      </c>
      <c r="L1206" s="74">
        <v>46149</v>
      </c>
    </row>
    <row r="1207" spans="1:12" hidden="1" x14ac:dyDescent="0.25">
      <c r="A1207" s="70" t="s">
        <v>877</v>
      </c>
      <c r="B1207" s="70" t="s">
        <v>2644</v>
      </c>
      <c r="C1207" s="70" t="s">
        <v>2645</v>
      </c>
      <c r="D1207" s="70">
        <v>1516</v>
      </c>
      <c r="E1207" s="70">
        <v>-1</v>
      </c>
      <c r="F1207" s="71">
        <v>28.9437</v>
      </c>
      <c r="G1207" s="71">
        <v>73.332499999999996</v>
      </c>
      <c r="H1207" s="71">
        <v>-28.9437</v>
      </c>
      <c r="I1207" s="71">
        <v>-73.332499999999996</v>
      </c>
      <c r="J1207" s="70" t="s">
        <v>558</v>
      </c>
      <c r="K1207" s="70" t="s">
        <v>48</v>
      </c>
      <c r="L1207" s="74">
        <v>46149</v>
      </c>
    </row>
    <row r="1208" spans="1:12" hidden="1" x14ac:dyDescent="0.25">
      <c r="A1208" s="70" t="s">
        <v>898</v>
      </c>
      <c r="B1208" s="70" t="s">
        <v>2646</v>
      </c>
      <c r="C1208" s="70" t="s">
        <v>2647</v>
      </c>
      <c r="D1208" s="70">
        <v>1516</v>
      </c>
      <c r="E1208" s="70">
        <v>1</v>
      </c>
      <c r="F1208" s="71">
        <v>11.240399999999999</v>
      </c>
      <c r="G1208" s="71">
        <v>31.497399999999999</v>
      </c>
      <c r="H1208" s="71">
        <v>11.240399999999999</v>
      </c>
      <c r="I1208" s="71">
        <v>31.497399999999999</v>
      </c>
      <c r="J1208" s="70" t="s">
        <v>558</v>
      </c>
      <c r="K1208" s="70" t="s">
        <v>48</v>
      </c>
      <c r="L1208" s="74">
        <v>46149</v>
      </c>
    </row>
    <row r="1209" spans="1:12" hidden="1" x14ac:dyDescent="0.25">
      <c r="A1209" s="70" t="s">
        <v>877</v>
      </c>
      <c r="B1209" s="70" t="s">
        <v>2648</v>
      </c>
      <c r="C1209" s="70" t="s">
        <v>2649</v>
      </c>
      <c r="D1209" s="70">
        <v>1516</v>
      </c>
      <c r="E1209" s="70">
        <v>-1</v>
      </c>
      <c r="F1209" s="71">
        <v>60.601599999999998</v>
      </c>
      <c r="G1209" s="71">
        <v>94.392899999999997</v>
      </c>
      <c r="H1209" s="71">
        <v>-60.601599999999998</v>
      </c>
      <c r="I1209" s="71">
        <v>-94.392899999999997</v>
      </c>
      <c r="J1209" s="70" t="s">
        <v>558</v>
      </c>
      <c r="K1209" s="70" t="s">
        <v>48</v>
      </c>
      <c r="L1209" s="74">
        <v>46149</v>
      </c>
    </row>
    <row r="1210" spans="1:12" hidden="1" x14ac:dyDescent="0.25">
      <c r="A1210" s="70" t="s">
        <v>898</v>
      </c>
      <c r="B1210" s="70" t="s">
        <v>2650</v>
      </c>
      <c r="C1210" s="70" t="s">
        <v>2651</v>
      </c>
      <c r="D1210" s="70">
        <v>1516</v>
      </c>
      <c r="E1210" s="70">
        <v>1</v>
      </c>
      <c r="F1210" s="71">
        <v>43.7376</v>
      </c>
      <c r="G1210" s="71">
        <v>78.573599999999999</v>
      </c>
      <c r="H1210" s="71">
        <v>43.7376</v>
      </c>
      <c r="I1210" s="71">
        <v>78.573599999999999</v>
      </c>
      <c r="J1210" s="70" t="s">
        <v>558</v>
      </c>
      <c r="K1210" s="70" t="s">
        <v>48</v>
      </c>
      <c r="L1210" s="74">
        <v>46149</v>
      </c>
    </row>
    <row r="1211" spans="1:12" hidden="1" x14ac:dyDescent="0.25">
      <c r="A1211" s="70" t="s">
        <v>877</v>
      </c>
      <c r="B1211" s="70" t="s">
        <v>2652</v>
      </c>
      <c r="C1211" s="70" t="s">
        <v>2653</v>
      </c>
      <c r="D1211" s="70">
        <v>1516</v>
      </c>
      <c r="E1211" s="70">
        <v>-1</v>
      </c>
      <c r="F1211" s="71">
        <v>11.056699999999999</v>
      </c>
      <c r="G1211" s="71">
        <v>21.348099999999999</v>
      </c>
      <c r="H1211" s="71">
        <v>-11.056699999999999</v>
      </c>
      <c r="I1211" s="71">
        <v>-21.348099999999999</v>
      </c>
      <c r="J1211" s="70" t="s">
        <v>558</v>
      </c>
      <c r="K1211" s="70" t="s">
        <v>48</v>
      </c>
      <c r="L1211" s="74">
        <v>46149</v>
      </c>
    </row>
    <row r="1212" spans="1:12" hidden="1" x14ac:dyDescent="0.25">
      <c r="A1212" s="70" t="s">
        <v>898</v>
      </c>
      <c r="B1212" s="70" t="s">
        <v>1678</v>
      </c>
      <c r="C1212" s="70" t="s">
        <v>1679</v>
      </c>
      <c r="D1212" s="70">
        <v>1516</v>
      </c>
      <c r="E1212" s="70">
        <v>2</v>
      </c>
      <c r="F1212" s="71">
        <v>16.759799999999998</v>
      </c>
      <c r="G1212" s="71">
        <v>33.124099999999999</v>
      </c>
      <c r="H1212" s="71">
        <v>33.519599999999997</v>
      </c>
      <c r="I1212" s="71">
        <v>66.248199999999997</v>
      </c>
      <c r="J1212" s="70" t="s">
        <v>558</v>
      </c>
      <c r="K1212" s="70" t="s">
        <v>48</v>
      </c>
      <c r="L1212" s="74">
        <v>46149</v>
      </c>
    </row>
    <row r="1213" spans="1:12" hidden="1" x14ac:dyDescent="0.25">
      <c r="A1213" s="70" t="s">
        <v>877</v>
      </c>
      <c r="B1213" s="70" t="s">
        <v>2654</v>
      </c>
      <c r="C1213" s="70" t="s">
        <v>2655</v>
      </c>
      <c r="D1213" s="70">
        <v>1516</v>
      </c>
      <c r="E1213" s="70">
        <v>-1</v>
      </c>
      <c r="F1213" s="71">
        <v>9.7675000000000001</v>
      </c>
      <c r="G1213" s="71">
        <v>26.307600000000001</v>
      </c>
      <c r="H1213" s="71">
        <v>-9.7675000000000001</v>
      </c>
      <c r="I1213" s="71">
        <v>-26.307600000000001</v>
      </c>
      <c r="J1213" s="70" t="s">
        <v>558</v>
      </c>
      <c r="K1213" s="70" t="s">
        <v>48</v>
      </c>
      <c r="L1213" s="74">
        <v>46149</v>
      </c>
    </row>
    <row r="1214" spans="1:12" hidden="1" x14ac:dyDescent="0.25">
      <c r="A1214" s="70" t="s">
        <v>877</v>
      </c>
      <c r="B1214" s="70" t="s">
        <v>2656</v>
      </c>
      <c r="C1214" s="70" t="s">
        <v>2657</v>
      </c>
      <c r="D1214" s="70">
        <v>1516</v>
      </c>
      <c r="E1214" s="70">
        <v>-1</v>
      </c>
      <c r="F1214" s="71">
        <v>24.6587</v>
      </c>
      <c r="G1214" s="71">
        <v>59.773600000000002</v>
      </c>
      <c r="H1214" s="71">
        <v>-24.6587</v>
      </c>
      <c r="I1214" s="71">
        <v>-59.773600000000002</v>
      </c>
      <c r="J1214" s="70" t="s">
        <v>558</v>
      </c>
      <c r="K1214" s="70" t="s">
        <v>48</v>
      </c>
      <c r="L1214" s="74">
        <v>46149</v>
      </c>
    </row>
    <row r="1215" spans="1:12" hidden="1" x14ac:dyDescent="0.25">
      <c r="A1215" s="70" t="s">
        <v>877</v>
      </c>
      <c r="B1215" s="70" t="s">
        <v>2658</v>
      </c>
      <c r="C1215" s="70" t="s">
        <v>2659</v>
      </c>
      <c r="D1215" s="70">
        <v>1516</v>
      </c>
      <c r="E1215" s="70">
        <v>-1</v>
      </c>
      <c r="F1215" s="71">
        <v>42.7774</v>
      </c>
      <c r="G1215" s="71">
        <v>85.6935</v>
      </c>
      <c r="H1215" s="71">
        <v>-42.7774</v>
      </c>
      <c r="I1215" s="71">
        <v>-85.6935</v>
      </c>
      <c r="J1215" s="70" t="s">
        <v>558</v>
      </c>
      <c r="K1215" s="70" t="s">
        <v>48</v>
      </c>
      <c r="L1215" s="74">
        <v>46149</v>
      </c>
    </row>
    <row r="1216" spans="1:12" hidden="1" x14ac:dyDescent="0.25">
      <c r="A1216" s="70" t="s">
        <v>898</v>
      </c>
      <c r="B1216" s="70" t="s">
        <v>1162</v>
      </c>
      <c r="C1216" s="70" t="s">
        <v>1163</v>
      </c>
      <c r="D1216" s="70">
        <v>1516</v>
      </c>
      <c r="E1216" s="70">
        <v>1</v>
      </c>
      <c r="F1216" s="71">
        <v>10.864699999999999</v>
      </c>
      <c r="G1216" s="71">
        <v>25.4924</v>
      </c>
      <c r="H1216" s="71">
        <v>10.864699999999999</v>
      </c>
      <c r="I1216" s="71">
        <v>25.4924</v>
      </c>
      <c r="J1216" s="70" t="s">
        <v>558</v>
      </c>
      <c r="K1216" s="70" t="s">
        <v>48</v>
      </c>
      <c r="L1216" s="74">
        <v>46149</v>
      </c>
    </row>
    <row r="1217" spans="1:12" hidden="1" x14ac:dyDescent="0.25">
      <c r="A1217" s="70" t="s">
        <v>877</v>
      </c>
      <c r="B1217" s="70" t="s">
        <v>2660</v>
      </c>
      <c r="C1217" s="70" t="s">
        <v>2661</v>
      </c>
      <c r="D1217" s="70">
        <v>1516</v>
      </c>
      <c r="E1217" s="70">
        <v>-1</v>
      </c>
      <c r="F1217" s="71">
        <v>5.8376000000000001</v>
      </c>
      <c r="G1217" s="71">
        <v>12.0289</v>
      </c>
      <c r="H1217" s="71">
        <v>-5.8376000000000001</v>
      </c>
      <c r="I1217" s="71">
        <v>-12.0289</v>
      </c>
      <c r="J1217" s="70" t="s">
        <v>558</v>
      </c>
      <c r="K1217" s="70" t="s">
        <v>48</v>
      </c>
      <c r="L1217" s="74">
        <v>46149</v>
      </c>
    </row>
    <row r="1218" spans="1:12" hidden="1" x14ac:dyDescent="0.25">
      <c r="A1218" s="70" t="s">
        <v>898</v>
      </c>
      <c r="B1218" s="70" t="s">
        <v>1002</v>
      </c>
      <c r="C1218" s="70" t="s">
        <v>1003</v>
      </c>
      <c r="D1218" s="70">
        <v>1516</v>
      </c>
      <c r="E1218" s="70">
        <v>1</v>
      </c>
      <c r="F1218" s="71">
        <v>76.155799999999999</v>
      </c>
      <c r="G1218" s="71">
        <v>128.93469999999999</v>
      </c>
      <c r="H1218" s="71">
        <v>76.155799999999999</v>
      </c>
      <c r="I1218" s="71">
        <v>128.93469999999999</v>
      </c>
      <c r="J1218" s="70" t="s">
        <v>558</v>
      </c>
      <c r="K1218" s="70" t="s">
        <v>48</v>
      </c>
      <c r="L1218" s="74">
        <v>46149</v>
      </c>
    </row>
    <row r="1219" spans="1:12" hidden="1" x14ac:dyDescent="0.25">
      <c r="A1219" s="70" t="s">
        <v>898</v>
      </c>
      <c r="B1219" s="70" t="s">
        <v>1991</v>
      </c>
      <c r="C1219" s="70" t="s">
        <v>1992</v>
      </c>
      <c r="D1219" s="70">
        <v>1516</v>
      </c>
      <c r="E1219" s="70">
        <v>1</v>
      </c>
      <c r="F1219" s="71">
        <v>42.019500000000001</v>
      </c>
      <c r="G1219" s="71">
        <v>93.418300000000002</v>
      </c>
      <c r="H1219" s="71">
        <v>42.019500000000001</v>
      </c>
      <c r="I1219" s="71">
        <v>93.418300000000002</v>
      </c>
      <c r="J1219" s="70" t="s">
        <v>558</v>
      </c>
      <c r="K1219" s="70" t="s">
        <v>48</v>
      </c>
      <c r="L1219" s="74">
        <v>46149</v>
      </c>
    </row>
    <row r="1220" spans="1:12" hidden="1" x14ac:dyDescent="0.25">
      <c r="A1220" s="70" t="s">
        <v>877</v>
      </c>
      <c r="B1220" s="70" t="s">
        <v>2662</v>
      </c>
      <c r="C1220" s="70" t="s">
        <v>2663</v>
      </c>
      <c r="D1220" s="70">
        <v>1516</v>
      </c>
      <c r="E1220" s="70">
        <v>-1</v>
      </c>
      <c r="F1220" s="71">
        <v>72.432299999999998</v>
      </c>
      <c r="G1220" s="71">
        <v>97.935000000000002</v>
      </c>
      <c r="H1220" s="71">
        <v>-72.432299999999998</v>
      </c>
      <c r="I1220" s="71">
        <v>-97.935000000000002</v>
      </c>
      <c r="J1220" s="70" t="s">
        <v>558</v>
      </c>
      <c r="K1220" s="70" t="s">
        <v>48</v>
      </c>
      <c r="L1220" s="74">
        <v>46149</v>
      </c>
    </row>
    <row r="1221" spans="1:12" hidden="1" x14ac:dyDescent="0.25">
      <c r="A1221" s="70" t="s">
        <v>877</v>
      </c>
      <c r="B1221" s="70" t="s">
        <v>2664</v>
      </c>
      <c r="C1221" s="70" t="s">
        <v>2665</v>
      </c>
      <c r="D1221" s="70">
        <v>1516</v>
      </c>
      <c r="E1221" s="70">
        <v>-1</v>
      </c>
      <c r="F1221" s="71">
        <v>9.6948000000000008</v>
      </c>
      <c r="G1221" s="71">
        <v>33.476500000000001</v>
      </c>
      <c r="H1221" s="71">
        <v>-9.6948000000000008</v>
      </c>
      <c r="I1221" s="71">
        <v>-33.476500000000001</v>
      </c>
      <c r="J1221" s="70" t="s">
        <v>558</v>
      </c>
      <c r="K1221" s="70" t="s">
        <v>48</v>
      </c>
      <c r="L1221" s="74">
        <v>46149</v>
      </c>
    </row>
    <row r="1222" spans="1:12" hidden="1" x14ac:dyDescent="0.25">
      <c r="A1222" s="70" t="s">
        <v>877</v>
      </c>
      <c r="B1222" s="70" t="s">
        <v>2666</v>
      </c>
      <c r="C1222" s="70" t="s">
        <v>2667</v>
      </c>
      <c r="D1222" s="70">
        <v>1516</v>
      </c>
      <c r="E1222" s="70">
        <v>-1</v>
      </c>
      <c r="F1222" s="71">
        <v>57.368299999999998</v>
      </c>
      <c r="G1222" s="71">
        <v>148.90270000000001</v>
      </c>
      <c r="H1222" s="71">
        <v>-57.368299999999998</v>
      </c>
      <c r="I1222" s="71">
        <v>-148.90270000000001</v>
      </c>
      <c r="J1222" s="70" t="s">
        <v>558</v>
      </c>
      <c r="K1222" s="70" t="s">
        <v>48</v>
      </c>
      <c r="L1222" s="74">
        <v>46149</v>
      </c>
    </row>
    <row r="1223" spans="1:12" hidden="1" x14ac:dyDescent="0.25">
      <c r="A1223" s="70" t="s">
        <v>877</v>
      </c>
      <c r="B1223" s="70" t="s">
        <v>2668</v>
      </c>
      <c r="C1223" s="70" t="s">
        <v>2669</v>
      </c>
      <c r="D1223" s="70">
        <v>1516</v>
      </c>
      <c r="E1223" s="70">
        <v>-1</v>
      </c>
      <c r="F1223" s="71">
        <v>8.3221333333333334</v>
      </c>
      <c r="G1223" s="71">
        <v>23.304400000000001</v>
      </c>
      <c r="H1223" s="71">
        <v>-8.3221333333333334</v>
      </c>
      <c r="I1223" s="71">
        <v>-23.304400000000001</v>
      </c>
      <c r="J1223" s="70" t="s">
        <v>558</v>
      </c>
      <c r="K1223" s="70" t="s">
        <v>48</v>
      </c>
      <c r="L1223" s="74">
        <v>46149</v>
      </c>
    </row>
    <row r="1224" spans="1:12" hidden="1" x14ac:dyDescent="0.25">
      <c r="A1224" s="70" t="s">
        <v>877</v>
      </c>
      <c r="B1224" s="70" t="s">
        <v>2670</v>
      </c>
      <c r="C1224" s="70" t="s">
        <v>2671</v>
      </c>
      <c r="D1224" s="70">
        <v>1516</v>
      </c>
      <c r="E1224" s="70">
        <v>-1</v>
      </c>
      <c r="F1224" s="71">
        <v>54.641399999999997</v>
      </c>
      <c r="G1224" s="71">
        <v>84.391099999999994</v>
      </c>
      <c r="H1224" s="71">
        <v>-54.641399999999997</v>
      </c>
      <c r="I1224" s="71">
        <v>-84.391099999999994</v>
      </c>
      <c r="J1224" s="70" t="s">
        <v>558</v>
      </c>
      <c r="K1224" s="70" t="s">
        <v>48</v>
      </c>
      <c r="L1224" s="74">
        <v>46149</v>
      </c>
    </row>
    <row r="1225" spans="1:12" hidden="1" x14ac:dyDescent="0.25">
      <c r="A1225" s="70" t="s">
        <v>877</v>
      </c>
      <c r="B1225" s="70" t="s">
        <v>810</v>
      </c>
      <c r="C1225" s="70" t="s">
        <v>2206</v>
      </c>
      <c r="D1225" s="70">
        <v>1516</v>
      </c>
      <c r="E1225" s="70">
        <v>-1</v>
      </c>
      <c r="F1225" s="71">
        <v>2.3041</v>
      </c>
      <c r="G1225" s="71">
        <v>3.7786</v>
      </c>
      <c r="H1225" s="71">
        <v>-2.3041</v>
      </c>
      <c r="I1225" s="71">
        <v>-3.7786</v>
      </c>
      <c r="J1225" s="70" t="s">
        <v>558</v>
      </c>
      <c r="K1225" s="70" t="s">
        <v>48</v>
      </c>
      <c r="L1225" s="74">
        <v>46149</v>
      </c>
    </row>
    <row r="1226" spans="1:12" hidden="1" x14ac:dyDescent="0.25">
      <c r="A1226" s="70" t="s">
        <v>877</v>
      </c>
      <c r="B1226" s="70" t="s">
        <v>2672</v>
      </c>
      <c r="C1226" s="70" t="s">
        <v>2673</v>
      </c>
      <c r="D1226" s="70">
        <v>1516</v>
      </c>
      <c r="E1226" s="70">
        <v>-1</v>
      </c>
      <c r="F1226" s="71">
        <v>32.64</v>
      </c>
      <c r="G1226" s="71">
        <v>42.714199999999998</v>
      </c>
      <c r="H1226" s="71">
        <v>-32.64</v>
      </c>
      <c r="I1226" s="71">
        <v>-42.714199999999998</v>
      </c>
      <c r="J1226" s="70" t="s">
        <v>558</v>
      </c>
      <c r="K1226" s="70" t="s">
        <v>48</v>
      </c>
      <c r="L1226" s="74">
        <v>46149</v>
      </c>
    </row>
    <row r="1227" spans="1:12" hidden="1" x14ac:dyDescent="0.25">
      <c r="A1227" s="70" t="s">
        <v>877</v>
      </c>
      <c r="B1227" s="70" t="s">
        <v>806</v>
      </c>
      <c r="C1227" s="70" t="s">
        <v>807</v>
      </c>
      <c r="D1227" s="70">
        <v>1516</v>
      </c>
      <c r="E1227" s="70">
        <v>-1</v>
      </c>
      <c r="F1227" s="71">
        <v>2.3031999999999999</v>
      </c>
      <c r="G1227" s="71">
        <v>3.7786</v>
      </c>
      <c r="H1227" s="71">
        <v>-2.3031999999999999</v>
      </c>
      <c r="I1227" s="71">
        <v>-3.7786</v>
      </c>
      <c r="J1227" s="70" t="s">
        <v>558</v>
      </c>
      <c r="K1227" s="70" t="s">
        <v>48</v>
      </c>
      <c r="L1227" s="74">
        <v>46149</v>
      </c>
    </row>
    <row r="1228" spans="1:12" hidden="1" x14ac:dyDescent="0.25">
      <c r="A1228" s="70" t="s">
        <v>877</v>
      </c>
      <c r="B1228" s="70" t="s">
        <v>711</v>
      </c>
      <c r="C1228" s="70" t="s">
        <v>712</v>
      </c>
      <c r="D1228" s="70">
        <v>1516</v>
      </c>
      <c r="E1228" s="70">
        <v>-2</v>
      </c>
      <c r="F1228" s="71">
        <v>3.6528244186046508</v>
      </c>
      <c r="G1228" s="71">
        <v>5.7655000000000003</v>
      </c>
      <c r="H1228" s="71">
        <v>-7.3056488372093016</v>
      </c>
      <c r="I1228" s="71">
        <v>-11.531000000000001</v>
      </c>
      <c r="J1228" s="70" t="s">
        <v>558</v>
      </c>
      <c r="K1228" s="70" t="s">
        <v>48</v>
      </c>
      <c r="L1228" s="74">
        <v>46149</v>
      </c>
    </row>
    <row r="1229" spans="1:12" hidden="1" x14ac:dyDescent="0.25">
      <c r="A1229" s="70" t="s">
        <v>922</v>
      </c>
      <c r="B1229" s="70" t="s">
        <v>2674</v>
      </c>
      <c r="C1229" s="70" t="s">
        <v>2675</v>
      </c>
      <c r="D1229" s="70">
        <v>1712</v>
      </c>
      <c r="E1229" s="70">
        <v>-1</v>
      </c>
      <c r="F1229" s="71">
        <v>131.64500000000001</v>
      </c>
      <c r="G1229" s="71">
        <v>0</v>
      </c>
      <c r="H1229" s="71">
        <v>-131.64500000000001</v>
      </c>
      <c r="I1229" s="71">
        <v>0</v>
      </c>
      <c r="J1229" s="70" t="s">
        <v>560</v>
      </c>
      <c r="K1229" s="70" t="s">
        <v>48</v>
      </c>
      <c r="L1229" s="74">
        <v>46152</v>
      </c>
    </row>
    <row r="1230" spans="1:12" hidden="1" x14ac:dyDescent="0.25">
      <c r="A1230" s="70" t="s">
        <v>877</v>
      </c>
      <c r="B1230" s="70" t="s">
        <v>2676</v>
      </c>
      <c r="C1230" s="70" t="s">
        <v>2677</v>
      </c>
      <c r="D1230" s="70">
        <v>1712</v>
      </c>
      <c r="E1230" s="70">
        <v>-1</v>
      </c>
      <c r="F1230" s="71">
        <v>18.788160759493671</v>
      </c>
      <c r="G1230" s="71">
        <v>0</v>
      </c>
      <c r="H1230" s="71">
        <v>-18.788160759493671</v>
      </c>
      <c r="I1230" s="71">
        <v>0</v>
      </c>
      <c r="J1230" s="70" t="s">
        <v>560</v>
      </c>
      <c r="K1230" s="70" t="s">
        <v>48</v>
      </c>
      <c r="L1230" s="74">
        <v>46152</v>
      </c>
    </row>
    <row r="1231" spans="1:12" hidden="1" x14ac:dyDescent="0.25">
      <c r="A1231" s="70" t="s">
        <v>877</v>
      </c>
      <c r="B1231" s="70" t="s">
        <v>2678</v>
      </c>
      <c r="C1231" s="70" t="s">
        <v>2679</v>
      </c>
      <c r="D1231" s="70">
        <v>1712</v>
      </c>
      <c r="E1231" s="70">
        <v>-1</v>
      </c>
      <c r="F1231" s="71">
        <v>7.9670500000000004</v>
      </c>
      <c r="G1231" s="71">
        <v>0</v>
      </c>
      <c r="H1231" s="71">
        <v>-7.9670500000000004</v>
      </c>
      <c r="I1231" s="71">
        <v>0</v>
      </c>
      <c r="J1231" s="70" t="s">
        <v>560</v>
      </c>
      <c r="K1231" s="70" t="s">
        <v>48</v>
      </c>
      <c r="L1231" s="74">
        <v>46152</v>
      </c>
    </row>
    <row r="1232" spans="1:12" hidden="1" x14ac:dyDescent="0.25">
      <c r="A1232" s="70" t="s">
        <v>922</v>
      </c>
      <c r="B1232" s="70" t="s">
        <v>1422</v>
      </c>
      <c r="C1232" s="70" t="s">
        <v>1423</v>
      </c>
      <c r="D1232" s="70">
        <v>1712</v>
      </c>
      <c r="E1232" s="70">
        <v>-1</v>
      </c>
      <c r="F1232" s="71">
        <v>6.67225</v>
      </c>
      <c r="G1232" s="71">
        <v>0</v>
      </c>
      <c r="H1232" s="71">
        <v>-6.67225</v>
      </c>
      <c r="I1232" s="71">
        <v>0</v>
      </c>
      <c r="J1232" s="70" t="s">
        <v>560</v>
      </c>
      <c r="K1232" s="70" t="s">
        <v>48</v>
      </c>
      <c r="L1232" s="74">
        <v>46152</v>
      </c>
    </row>
    <row r="1233" spans="1:12" hidden="1" x14ac:dyDescent="0.25">
      <c r="A1233" s="70" t="s">
        <v>877</v>
      </c>
      <c r="B1233" s="70" t="s">
        <v>2680</v>
      </c>
      <c r="C1233" s="70" t="s">
        <v>2681</v>
      </c>
      <c r="D1233" s="70">
        <v>1712</v>
      </c>
      <c r="E1233" s="70">
        <v>-3</v>
      </c>
      <c r="F1233" s="71">
        <v>2.174833333333333</v>
      </c>
      <c r="G1233" s="71">
        <v>0</v>
      </c>
      <c r="H1233" s="71">
        <v>-6.5244999999999997</v>
      </c>
      <c r="I1233" s="71">
        <v>0</v>
      </c>
      <c r="J1233" s="70" t="s">
        <v>560</v>
      </c>
      <c r="K1233" s="70" t="s">
        <v>48</v>
      </c>
      <c r="L1233" s="74">
        <v>46152</v>
      </c>
    </row>
    <row r="1234" spans="1:12" hidden="1" x14ac:dyDescent="0.25">
      <c r="A1234" s="70" t="s">
        <v>877</v>
      </c>
      <c r="B1234" s="70" t="s">
        <v>2682</v>
      </c>
      <c r="C1234" s="70" t="s">
        <v>2683</v>
      </c>
      <c r="D1234" s="70">
        <v>1712</v>
      </c>
      <c r="E1234" s="70">
        <v>-1</v>
      </c>
      <c r="F1234" s="71">
        <v>4.1770062499999998</v>
      </c>
      <c r="G1234" s="71">
        <v>0</v>
      </c>
      <c r="H1234" s="71">
        <v>-4.1770062499999998</v>
      </c>
      <c r="I1234" s="71">
        <v>0</v>
      </c>
      <c r="J1234" s="70" t="s">
        <v>560</v>
      </c>
      <c r="K1234" s="70" t="s">
        <v>48</v>
      </c>
      <c r="L1234" s="74">
        <v>46152</v>
      </c>
    </row>
    <row r="1235" spans="1:12" hidden="1" x14ac:dyDescent="0.25">
      <c r="A1235" s="70" t="s">
        <v>877</v>
      </c>
      <c r="B1235" s="70" t="s">
        <v>2684</v>
      </c>
      <c r="C1235" s="70" t="s">
        <v>2685</v>
      </c>
      <c r="D1235" s="70">
        <v>1712</v>
      </c>
      <c r="E1235" s="70">
        <v>-1</v>
      </c>
      <c r="F1235" s="71">
        <v>4.0141239130434778</v>
      </c>
      <c r="G1235" s="71">
        <v>0</v>
      </c>
      <c r="H1235" s="71">
        <v>-4.0141239130434778</v>
      </c>
      <c r="I1235" s="71">
        <v>0</v>
      </c>
      <c r="J1235" s="70" t="s">
        <v>560</v>
      </c>
      <c r="K1235" s="70" t="s">
        <v>48</v>
      </c>
      <c r="L1235" s="74">
        <v>46152</v>
      </c>
    </row>
    <row r="1236" spans="1:12" hidden="1" x14ac:dyDescent="0.25">
      <c r="A1236" s="70" t="s">
        <v>922</v>
      </c>
      <c r="B1236" s="70" t="s">
        <v>2686</v>
      </c>
      <c r="C1236" s="70" t="s">
        <v>2687</v>
      </c>
      <c r="D1236" s="70">
        <v>1712</v>
      </c>
      <c r="E1236" s="70">
        <v>-2</v>
      </c>
      <c r="F1236" s="71">
        <v>1.36</v>
      </c>
      <c r="G1236" s="71">
        <v>0</v>
      </c>
      <c r="H1236" s="71">
        <v>-2.72</v>
      </c>
      <c r="I1236" s="71">
        <v>0</v>
      </c>
      <c r="J1236" s="70" t="s">
        <v>560</v>
      </c>
      <c r="K1236" s="70" t="s">
        <v>48</v>
      </c>
      <c r="L1236" s="74">
        <v>46152</v>
      </c>
    </row>
    <row r="1237" spans="1:12" hidden="1" x14ac:dyDescent="0.25">
      <c r="A1237" s="70" t="s">
        <v>898</v>
      </c>
      <c r="B1237" s="70" t="s">
        <v>2688</v>
      </c>
      <c r="C1237" s="70" t="s">
        <v>2689</v>
      </c>
      <c r="D1237" s="70">
        <v>1712</v>
      </c>
      <c r="E1237" s="70">
        <v>1</v>
      </c>
      <c r="F1237" s="71">
        <v>2.053603703703704</v>
      </c>
      <c r="G1237" s="71">
        <v>0</v>
      </c>
      <c r="H1237" s="71">
        <v>2.053603703703704</v>
      </c>
      <c r="I1237" s="71">
        <v>0</v>
      </c>
      <c r="J1237" s="70" t="s">
        <v>560</v>
      </c>
      <c r="K1237" s="70" t="s">
        <v>48</v>
      </c>
      <c r="L1237" s="74">
        <v>46152</v>
      </c>
    </row>
    <row r="1238" spans="1:12" hidden="1" x14ac:dyDescent="0.25">
      <c r="A1238" s="70" t="s">
        <v>898</v>
      </c>
      <c r="B1238" s="70" t="s">
        <v>2690</v>
      </c>
      <c r="C1238" s="70" t="s">
        <v>2691</v>
      </c>
      <c r="D1238" s="70">
        <v>1712</v>
      </c>
      <c r="E1238" s="70">
        <v>1</v>
      </c>
      <c r="F1238" s="71">
        <v>2.148833333333334</v>
      </c>
      <c r="G1238" s="71">
        <v>0</v>
      </c>
      <c r="H1238" s="71">
        <v>2.148833333333334</v>
      </c>
      <c r="I1238" s="71">
        <v>0</v>
      </c>
      <c r="J1238" s="70" t="s">
        <v>560</v>
      </c>
      <c r="K1238" s="70" t="s">
        <v>48</v>
      </c>
      <c r="L1238" s="74">
        <v>46152</v>
      </c>
    </row>
    <row r="1239" spans="1:12" hidden="1" x14ac:dyDescent="0.25">
      <c r="A1239" s="70" t="s">
        <v>898</v>
      </c>
      <c r="B1239" s="70" t="s">
        <v>2692</v>
      </c>
      <c r="C1239" s="70" t="s">
        <v>2693</v>
      </c>
      <c r="D1239" s="70">
        <v>1712</v>
      </c>
      <c r="E1239" s="70">
        <v>1</v>
      </c>
      <c r="F1239" s="71">
        <v>2.221633333333334</v>
      </c>
      <c r="G1239" s="71">
        <v>0</v>
      </c>
      <c r="H1239" s="71">
        <v>2.221633333333334</v>
      </c>
      <c r="I1239" s="71">
        <v>0</v>
      </c>
      <c r="J1239" s="70" t="s">
        <v>560</v>
      </c>
      <c r="K1239" s="70" t="s">
        <v>48</v>
      </c>
      <c r="L1239" s="74">
        <v>46152</v>
      </c>
    </row>
    <row r="1240" spans="1:12" hidden="1" x14ac:dyDescent="0.25">
      <c r="A1240" s="70" t="s">
        <v>898</v>
      </c>
      <c r="B1240" s="70" t="s">
        <v>2694</v>
      </c>
      <c r="C1240" s="70" t="s">
        <v>2695</v>
      </c>
      <c r="D1240" s="70">
        <v>1712</v>
      </c>
      <c r="E1240" s="70">
        <v>2</v>
      </c>
      <c r="F1240" s="71">
        <v>1.3149999999999999</v>
      </c>
      <c r="G1240" s="71">
        <v>0</v>
      </c>
      <c r="H1240" s="71">
        <v>2.63</v>
      </c>
      <c r="I1240" s="71">
        <v>0</v>
      </c>
      <c r="J1240" s="70" t="s">
        <v>560</v>
      </c>
      <c r="K1240" s="70" t="s">
        <v>48</v>
      </c>
      <c r="L1240" s="74">
        <v>46152</v>
      </c>
    </row>
    <row r="1241" spans="1:12" hidden="1" x14ac:dyDescent="0.25">
      <c r="A1241" s="70" t="s">
        <v>911</v>
      </c>
      <c r="B1241" s="70" t="s">
        <v>2696</v>
      </c>
      <c r="C1241" s="70" t="s">
        <v>2697</v>
      </c>
      <c r="D1241" s="70">
        <v>1712</v>
      </c>
      <c r="E1241" s="70">
        <v>2</v>
      </c>
      <c r="F1241" s="71">
        <v>1.54</v>
      </c>
      <c r="G1241" s="71">
        <v>0</v>
      </c>
      <c r="H1241" s="71">
        <v>3.08</v>
      </c>
      <c r="I1241" s="71">
        <v>0</v>
      </c>
      <c r="J1241" s="70" t="s">
        <v>560</v>
      </c>
      <c r="K1241" s="70" t="s">
        <v>48</v>
      </c>
      <c r="L1241" s="74">
        <v>46152</v>
      </c>
    </row>
    <row r="1242" spans="1:12" hidden="1" x14ac:dyDescent="0.25">
      <c r="A1242" s="70" t="s">
        <v>898</v>
      </c>
      <c r="B1242" s="70" t="s">
        <v>2698</v>
      </c>
      <c r="C1242" s="70" t="s">
        <v>2699</v>
      </c>
      <c r="D1242" s="70">
        <v>1712</v>
      </c>
      <c r="E1242" s="70">
        <v>1</v>
      </c>
      <c r="F1242" s="71">
        <v>3.76</v>
      </c>
      <c r="G1242" s="71">
        <v>0</v>
      </c>
      <c r="H1242" s="71">
        <v>3.76</v>
      </c>
      <c r="I1242" s="71">
        <v>0</v>
      </c>
      <c r="J1242" s="70" t="s">
        <v>560</v>
      </c>
      <c r="K1242" s="70" t="s">
        <v>48</v>
      </c>
      <c r="L1242" s="74">
        <v>46152</v>
      </c>
    </row>
    <row r="1243" spans="1:12" hidden="1" x14ac:dyDescent="0.25">
      <c r="A1243" s="70" t="s">
        <v>911</v>
      </c>
      <c r="B1243" s="70" t="s">
        <v>1420</v>
      </c>
      <c r="C1243" s="70" t="s">
        <v>1421</v>
      </c>
      <c r="D1243" s="70">
        <v>1712</v>
      </c>
      <c r="E1243" s="70">
        <v>1</v>
      </c>
      <c r="F1243" s="71">
        <v>7.6977000000000002</v>
      </c>
      <c r="G1243" s="71">
        <v>0</v>
      </c>
      <c r="H1243" s="71">
        <v>7.6977000000000002</v>
      </c>
      <c r="I1243" s="71">
        <v>0</v>
      </c>
      <c r="J1243" s="70" t="s">
        <v>560</v>
      </c>
      <c r="K1243" s="70" t="s">
        <v>48</v>
      </c>
      <c r="L1243" s="74">
        <v>46152</v>
      </c>
    </row>
    <row r="1244" spans="1:12" hidden="1" x14ac:dyDescent="0.25">
      <c r="A1244" s="70" t="s">
        <v>898</v>
      </c>
      <c r="B1244" s="70" t="s">
        <v>2700</v>
      </c>
      <c r="C1244" s="70" t="s">
        <v>2701</v>
      </c>
      <c r="D1244" s="70">
        <v>1712</v>
      </c>
      <c r="E1244" s="70">
        <v>1</v>
      </c>
      <c r="F1244" s="71">
        <v>11.5</v>
      </c>
      <c r="G1244" s="71">
        <v>0</v>
      </c>
      <c r="H1244" s="71">
        <v>11.5</v>
      </c>
      <c r="I1244" s="71">
        <v>0</v>
      </c>
      <c r="J1244" s="70" t="s">
        <v>560</v>
      </c>
      <c r="K1244" s="70" t="s">
        <v>48</v>
      </c>
      <c r="L1244" s="74">
        <v>46152</v>
      </c>
    </row>
    <row r="1245" spans="1:12" hidden="1" x14ac:dyDescent="0.25">
      <c r="A1245" s="70" t="s">
        <v>911</v>
      </c>
      <c r="B1245" s="70" t="s">
        <v>2702</v>
      </c>
      <c r="C1245" s="70" t="s">
        <v>2703</v>
      </c>
      <c r="D1245" s="70">
        <v>1712</v>
      </c>
      <c r="E1245" s="70">
        <v>1</v>
      </c>
      <c r="F1245" s="71">
        <v>138.96</v>
      </c>
      <c r="G1245" s="71">
        <v>0</v>
      </c>
      <c r="H1245" s="71">
        <v>138.96</v>
      </c>
      <c r="I1245" s="71">
        <v>0</v>
      </c>
      <c r="J1245" s="70" t="s">
        <v>560</v>
      </c>
      <c r="K1245" s="70" t="s">
        <v>48</v>
      </c>
      <c r="L1245" s="74">
        <v>46152</v>
      </c>
    </row>
    <row r="1246" spans="1:12" hidden="1" x14ac:dyDescent="0.25">
      <c r="A1246" s="70" t="s">
        <v>1468</v>
      </c>
      <c r="B1246" s="70" t="s">
        <v>1473</v>
      </c>
      <c r="C1246" s="70" t="s">
        <v>2704</v>
      </c>
      <c r="D1246" s="70">
        <v>1700</v>
      </c>
      <c r="E1246" s="70">
        <v>-1</v>
      </c>
      <c r="F1246" s="71">
        <v>52.686999999999998</v>
      </c>
      <c r="G1246" s="71">
        <v>74.802599999999998</v>
      </c>
      <c r="H1246" s="71">
        <v>-52.686999999999998</v>
      </c>
      <c r="I1246" s="71">
        <v>-74.802599999999998</v>
      </c>
      <c r="J1246" s="70" t="s">
        <v>561</v>
      </c>
      <c r="K1246" s="70" t="s">
        <v>48</v>
      </c>
      <c r="L1246" s="74">
        <v>46152</v>
      </c>
    </row>
    <row r="1247" spans="1:12" hidden="1" x14ac:dyDescent="0.25">
      <c r="A1247" s="70" t="s">
        <v>1468</v>
      </c>
      <c r="B1247" s="70" t="s">
        <v>1475</v>
      </c>
      <c r="C1247" s="70" t="s">
        <v>2615</v>
      </c>
      <c r="D1247" s="70">
        <v>1700</v>
      </c>
      <c r="E1247" s="70">
        <v>-1</v>
      </c>
      <c r="F1247" s="71">
        <v>805.59910000000002</v>
      </c>
      <c r="G1247" s="71">
        <v>722.77</v>
      </c>
      <c r="H1247" s="71">
        <v>-805.59910000000002</v>
      </c>
      <c r="I1247" s="71">
        <v>-722.77</v>
      </c>
      <c r="J1247" s="70" t="s">
        <v>561</v>
      </c>
      <c r="K1247" s="70" t="s">
        <v>48</v>
      </c>
      <c r="L1247" s="74">
        <v>46152</v>
      </c>
    </row>
    <row r="1248" spans="1:12" hidden="1" x14ac:dyDescent="0.25">
      <c r="A1248" s="70" t="s">
        <v>2705</v>
      </c>
      <c r="B1248" s="70" t="s">
        <v>1477</v>
      </c>
      <c r="C1248" s="70" t="s">
        <v>2706</v>
      </c>
      <c r="D1248" s="70">
        <v>1700</v>
      </c>
      <c r="E1248" s="70">
        <v>-1</v>
      </c>
      <c r="F1248" s="71">
        <v>194.13079999999999</v>
      </c>
      <c r="G1248" s="71">
        <v>251.8604</v>
      </c>
      <c r="H1248" s="71">
        <v>-194.13079999999999</v>
      </c>
      <c r="I1248" s="71">
        <v>-251.8604</v>
      </c>
      <c r="J1248" s="70" t="s">
        <v>561</v>
      </c>
      <c r="K1248" s="70" t="s">
        <v>48</v>
      </c>
      <c r="L1248" s="74">
        <v>46152</v>
      </c>
    </row>
    <row r="1249" spans="1:12" hidden="1" x14ac:dyDescent="0.25">
      <c r="A1249" s="70" t="s">
        <v>877</v>
      </c>
      <c r="B1249" s="70" t="s">
        <v>2680</v>
      </c>
      <c r="C1249" s="70" t="s">
        <v>2681</v>
      </c>
      <c r="D1249" s="70">
        <v>1707</v>
      </c>
      <c r="E1249" s="70">
        <v>-1</v>
      </c>
      <c r="F1249" s="71">
        <v>2.1748500000000002</v>
      </c>
      <c r="G1249" s="71">
        <v>10.6</v>
      </c>
      <c r="H1249" s="71">
        <v>-2.1748500000000002</v>
      </c>
      <c r="I1249" s="71">
        <v>-10.6</v>
      </c>
      <c r="J1249" s="70" t="s">
        <v>563</v>
      </c>
      <c r="K1249" s="70" t="s">
        <v>48</v>
      </c>
      <c r="L1249" s="74">
        <v>46154</v>
      </c>
    </row>
    <row r="1250" spans="1:12" hidden="1" x14ac:dyDescent="0.25">
      <c r="A1250" s="70" t="s">
        <v>877</v>
      </c>
      <c r="B1250" s="70" t="s">
        <v>2707</v>
      </c>
      <c r="C1250" s="70" t="s">
        <v>2708</v>
      </c>
      <c r="D1250" s="70">
        <v>1707</v>
      </c>
      <c r="E1250" s="70">
        <v>-1</v>
      </c>
      <c r="F1250" s="71">
        <v>1.9382999999999999</v>
      </c>
      <c r="G1250" s="71">
        <v>2.75</v>
      </c>
      <c r="H1250" s="71">
        <v>-1.9382999999999999</v>
      </c>
      <c r="I1250" s="71">
        <v>-2.75</v>
      </c>
      <c r="J1250" s="70" t="s">
        <v>563</v>
      </c>
      <c r="K1250" s="70" t="s">
        <v>48</v>
      </c>
      <c r="L1250" s="74">
        <v>46154</v>
      </c>
    </row>
    <row r="1251" spans="1:12" hidden="1" x14ac:dyDescent="0.25">
      <c r="A1251" s="70" t="s">
        <v>911</v>
      </c>
      <c r="B1251" s="70" t="s">
        <v>2698</v>
      </c>
      <c r="C1251" s="70" t="s">
        <v>2699</v>
      </c>
      <c r="D1251" s="70">
        <v>1707</v>
      </c>
      <c r="E1251" s="70">
        <v>1</v>
      </c>
      <c r="F1251" s="71">
        <v>3.7639999999999998</v>
      </c>
      <c r="G1251" s="71">
        <v>5.42</v>
      </c>
      <c r="H1251" s="71">
        <v>3.7639999999999998</v>
      </c>
      <c r="I1251" s="71">
        <v>5.42</v>
      </c>
      <c r="J1251" s="70" t="s">
        <v>563</v>
      </c>
      <c r="K1251" s="70" t="s">
        <v>48</v>
      </c>
      <c r="L1251" s="74">
        <v>46154</v>
      </c>
    </row>
    <row r="1252" spans="1:12" hidden="1" x14ac:dyDescent="0.25">
      <c r="A1252" s="70" t="s">
        <v>922</v>
      </c>
      <c r="B1252" s="70" t="s">
        <v>2709</v>
      </c>
      <c r="C1252" s="70" t="s">
        <v>2710</v>
      </c>
      <c r="D1252" s="70">
        <v>1707</v>
      </c>
      <c r="E1252" s="70">
        <v>-1</v>
      </c>
      <c r="F1252" s="71">
        <v>5.2733444444444402</v>
      </c>
      <c r="G1252" s="71">
        <v>7.87</v>
      </c>
      <c r="H1252" s="71">
        <v>-5.2733444444444402</v>
      </c>
      <c r="I1252" s="71">
        <v>-7.87</v>
      </c>
      <c r="J1252" s="70" t="s">
        <v>563</v>
      </c>
      <c r="K1252" s="70" t="s">
        <v>48</v>
      </c>
      <c r="L1252" s="74">
        <v>46154</v>
      </c>
    </row>
    <row r="1253" spans="1:12" hidden="1" x14ac:dyDescent="0.25">
      <c r="A1253" s="70" t="s">
        <v>898</v>
      </c>
      <c r="B1253" s="70" t="s">
        <v>2711</v>
      </c>
      <c r="C1253" s="70" t="s">
        <v>2712</v>
      </c>
      <c r="D1253" s="70">
        <v>1707</v>
      </c>
      <c r="E1253" s="70">
        <v>1</v>
      </c>
      <c r="F1253" s="71">
        <v>3.9845000000000002</v>
      </c>
      <c r="G1253" s="71">
        <v>9.34</v>
      </c>
      <c r="H1253" s="71">
        <v>3.9845000000000002</v>
      </c>
      <c r="I1253" s="71">
        <v>9.34</v>
      </c>
      <c r="J1253" s="70" t="s">
        <v>563</v>
      </c>
      <c r="K1253" s="70" t="s">
        <v>48</v>
      </c>
      <c r="L1253" s="74">
        <v>46154</v>
      </c>
    </row>
    <row r="1254" spans="1:12" hidden="1" x14ac:dyDescent="0.25">
      <c r="A1254" s="70" t="s">
        <v>898</v>
      </c>
      <c r="B1254" s="70" t="s">
        <v>2713</v>
      </c>
      <c r="C1254" s="70" t="s">
        <v>2714</v>
      </c>
      <c r="D1254" s="70">
        <v>1707</v>
      </c>
      <c r="E1254" s="70">
        <v>1</v>
      </c>
      <c r="F1254" s="71">
        <v>4.4400000000000004</v>
      </c>
      <c r="G1254" s="71">
        <v>8.18</v>
      </c>
      <c r="H1254" s="71">
        <v>4.4400000000000004</v>
      </c>
      <c r="I1254" s="71">
        <v>8.18</v>
      </c>
      <c r="J1254" s="70" t="s">
        <v>563</v>
      </c>
      <c r="K1254" s="70" t="s">
        <v>48</v>
      </c>
      <c r="L1254" s="74">
        <v>46154</v>
      </c>
    </row>
    <row r="1255" spans="1:12" hidden="1" x14ac:dyDescent="0.25">
      <c r="A1255" s="70" t="s">
        <v>1468</v>
      </c>
      <c r="B1255" s="70" t="s">
        <v>1469</v>
      </c>
      <c r="C1255" s="70" t="s">
        <v>1470</v>
      </c>
      <c r="D1255" s="70">
        <v>1707</v>
      </c>
      <c r="E1255" s="70">
        <v>-2</v>
      </c>
      <c r="F1255" s="71">
        <v>225.65</v>
      </c>
      <c r="G1255" s="71">
        <v>320.37</v>
      </c>
      <c r="H1255" s="71">
        <v>-451.3</v>
      </c>
      <c r="I1255" s="71">
        <v>-640.74</v>
      </c>
      <c r="J1255" s="70" t="s">
        <v>563</v>
      </c>
      <c r="K1255" s="70" t="s">
        <v>48</v>
      </c>
      <c r="L1255" s="74">
        <v>46154</v>
      </c>
    </row>
    <row r="1256" spans="1:12" hidden="1" x14ac:dyDescent="0.25">
      <c r="A1256" s="70" t="s">
        <v>877</v>
      </c>
      <c r="B1256" s="70" t="s">
        <v>1271</v>
      </c>
      <c r="C1256" s="70" t="s">
        <v>1272</v>
      </c>
      <c r="D1256" s="70">
        <v>1736</v>
      </c>
      <c r="E1256" s="70">
        <v>-12.1772839506173</v>
      </c>
      <c r="F1256" s="71">
        <v>3.52622408816584</v>
      </c>
      <c r="G1256" s="71">
        <v>0</v>
      </c>
      <c r="H1256" s="71">
        <v>-42.939831995101997</v>
      </c>
      <c r="I1256" s="71">
        <v>0</v>
      </c>
      <c r="J1256" s="70" t="s">
        <v>565</v>
      </c>
      <c r="K1256" s="70" t="s">
        <v>48</v>
      </c>
      <c r="L1256" s="74">
        <v>46156</v>
      </c>
    </row>
    <row r="1257" spans="1:12" hidden="1" x14ac:dyDescent="0.25">
      <c r="A1257" s="70" t="s">
        <v>877</v>
      </c>
      <c r="B1257" s="70" t="s">
        <v>2715</v>
      </c>
      <c r="C1257" s="70" t="s">
        <v>2716</v>
      </c>
      <c r="D1257" s="70">
        <v>1736</v>
      </c>
      <c r="E1257" s="70">
        <v>-1</v>
      </c>
      <c r="F1257" s="71">
        <v>10.485300000000001</v>
      </c>
      <c r="G1257" s="71">
        <v>0</v>
      </c>
      <c r="H1257" s="71">
        <v>-10.485300000000001</v>
      </c>
      <c r="I1257" s="71">
        <v>0</v>
      </c>
      <c r="J1257" s="70" t="s">
        <v>565</v>
      </c>
      <c r="K1257" s="70" t="s">
        <v>48</v>
      </c>
      <c r="L1257" s="74">
        <v>46156</v>
      </c>
    </row>
    <row r="1258" spans="1:12" hidden="1" x14ac:dyDescent="0.25">
      <c r="A1258" s="70" t="s">
        <v>877</v>
      </c>
      <c r="B1258" s="70" t="s">
        <v>1277</v>
      </c>
      <c r="C1258" s="70" t="s">
        <v>1278</v>
      </c>
      <c r="D1258" s="70">
        <v>1736</v>
      </c>
      <c r="E1258" s="70">
        <v>-3.45776280000001</v>
      </c>
      <c r="F1258" s="71">
        <v>1.722</v>
      </c>
      <c r="G1258" s="71">
        <v>0</v>
      </c>
      <c r="H1258" s="71">
        <v>-5.954267541600017</v>
      </c>
      <c r="I1258" s="71">
        <v>0</v>
      </c>
      <c r="J1258" s="70" t="s">
        <v>565</v>
      </c>
      <c r="K1258" s="70" t="s">
        <v>48</v>
      </c>
      <c r="L1258" s="74">
        <v>46156</v>
      </c>
    </row>
    <row r="1259" spans="1:12" hidden="1" x14ac:dyDescent="0.25">
      <c r="A1259" s="70" t="s">
        <v>877</v>
      </c>
      <c r="B1259" s="70" t="s">
        <v>2717</v>
      </c>
      <c r="C1259" s="70" t="s">
        <v>2718</v>
      </c>
      <c r="D1259" s="70">
        <v>1736</v>
      </c>
      <c r="E1259" s="70">
        <v>-1</v>
      </c>
      <c r="F1259" s="71">
        <v>5.7305999999999999</v>
      </c>
      <c r="G1259" s="71">
        <v>0</v>
      </c>
      <c r="H1259" s="71">
        <v>-5.7305999999999999</v>
      </c>
      <c r="I1259" s="71">
        <v>0</v>
      </c>
      <c r="J1259" s="70" t="s">
        <v>565</v>
      </c>
      <c r="K1259" s="70" t="s">
        <v>48</v>
      </c>
      <c r="L1259" s="74">
        <v>46156</v>
      </c>
    </row>
    <row r="1260" spans="1:12" hidden="1" x14ac:dyDescent="0.25">
      <c r="A1260" s="70" t="s">
        <v>877</v>
      </c>
      <c r="B1260" s="70" t="s">
        <v>2719</v>
      </c>
      <c r="C1260" s="70" t="s">
        <v>2720</v>
      </c>
      <c r="D1260" s="70">
        <v>1736</v>
      </c>
      <c r="E1260" s="70">
        <v>-4</v>
      </c>
      <c r="F1260" s="71">
        <v>0.87102500000000005</v>
      </c>
      <c r="G1260" s="71">
        <v>0</v>
      </c>
      <c r="H1260" s="71">
        <v>-3.4841000000000002</v>
      </c>
      <c r="I1260" s="71">
        <v>0</v>
      </c>
      <c r="J1260" s="70" t="s">
        <v>565</v>
      </c>
      <c r="K1260" s="70" t="s">
        <v>48</v>
      </c>
      <c r="L1260" s="74">
        <v>46156</v>
      </c>
    </row>
    <row r="1261" spans="1:12" hidden="1" x14ac:dyDescent="0.25">
      <c r="A1261" s="70" t="s">
        <v>877</v>
      </c>
      <c r="B1261" s="70" t="s">
        <v>2721</v>
      </c>
      <c r="C1261" s="70" t="s">
        <v>2722</v>
      </c>
      <c r="D1261" s="70">
        <v>1736</v>
      </c>
      <c r="E1261" s="70">
        <v>-1</v>
      </c>
      <c r="F1261" s="71">
        <v>3.29</v>
      </c>
      <c r="G1261" s="71">
        <v>0</v>
      </c>
      <c r="H1261" s="71">
        <v>-3.29</v>
      </c>
      <c r="I1261" s="71">
        <v>0</v>
      </c>
      <c r="J1261" s="70" t="s">
        <v>565</v>
      </c>
      <c r="K1261" s="70" t="s">
        <v>48</v>
      </c>
      <c r="L1261" s="74">
        <v>46156</v>
      </c>
    </row>
    <row r="1262" spans="1:12" hidden="1" x14ac:dyDescent="0.25">
      <c r="A1262" s="70" t="s">
        <v>877</v>
      </c>
      <c r="B1262" s="70" t="s">
        <v>1348</v>
      </c>
      <c r="C1262" s="70" t="s">
        <v>1349</v>
      </c>
      <c r="D1262" s="70">
        <v>1736</v>
      </c>
      <c r="E1262" s="70">
        <v>-0.80432098765433602</v>
      </c>
      <c r="F1262" s="71">
        <v>3.7183474035833601</v>
      </c>
      <c r="G1262" s="71">
        <v>0</v>
      </c>
      <c r="H1262" s="71">
        <v>-2.9907448560921042</v>
      </c>
      <c r="I1262" s="71">
        <v>0</v>
      </c>
      <c r="J1262" s="70" t="s">
        <v>565</v>
      </c>
      <c r="K1262" s="70" t="s">
        <v>48</v>
      </c>
      <c r="L1262" s="74">
        <v>46156</v>
      </c>
    </row>
    <row r="1263" spans="1:12" hidden="1" x14ac:dyDescent="0.25">
      <c r="A1263" s="70" t="s">
        <v>877</v>
      </c>
      <c r="B1263" s="70" t="s">
        <v>2723</v>
      </c>
      <c r="C1263" s="70" t="s">
        <v>2724</v>
      </c>
      <c r="D1263" s="70">
        <v>1736</v>
      </c>
      <c r="E1263" s="70">
        <v>-30</v>
      </c>
      <c r="F1263" s="71">
        <v>8.9200000000000002E-2</v>
      </c>
      <c r="G1263" s="71">
        <v>0</v>
      </c>
      <c r="H1263" s="71">
        <v>-2.6760000000000002</v>
      </c>
      <c r="I1263" s="71">
        <v>0</v>
      </c>
      <c r="J1263" s="70" t="s">
        <v>565</v>
      </c>
      <c r="K1263" s="70" t="s">
        <v>48</v>
      </c>
      <c r="L1263" s="74">
        <v>46156</v>
      </c>
    </row>
    <row r="1264" spans="1:12" hidden="1" x14ac:dyDescent="0.25">
      <c r="A1264" s="70" t="s">
        <v>877</v>
      </c>
      <c r="B1264" s="70" t="s">
        <v>1340</v>
      </c>
      <c r="C1264" s="70" t="s">
        <v>1341</v>
      </c>
      <c r="D1264" s="70">
        <v>1736</v>
      </c>
      <c r="E1264" s="70">
        <v>-0.454545454545496</v>
      </c>
      <c r="F1264" s="71">
        <v>4.0040823529411798</v>
      </c>
      <c r="G1264" s="71">
        <v>0</v>
      </c>
      <c r="H1264" s="71">
        <v>-1.820037433155248</v>
      </c>
      <c r="I1264" s="71">
        <v>0</v>
      </c>
      <c r="J1264" s="70" t="s">
        <v>565</v>
      </c>
      <c r="K1264" s="70" t="s">
        <v>48</v>
      </c>
      <c r="L1264" s="74">
        <v>46156</v>
      </c>
    </row>
    <row r="1265" spans="1:12" hidden="1" x14ac:dyDescent="0.25">
      <c r="A1265" s="70" t="s">
        <v>877</v>
      </c>
      <c r="B1265" s="70" t="s">
        <v>2725</v>
      </c>
      <c r="C1265" s="70" t="s">
        <v>2726</v>
      </c>
      <c r="D1265" s="70">
        <v>1736</v>
      </c>
      <c r="E1265" s="70">
        <v>-14</v>
      </c>
      <c r="F1265" s="71">
        <v>0.1105</v>
      </c>
      <c r="G1265" s="71">
        <v>0</v>
      </c>
      <c r="H1265" s="71">
        <v>-1.5469999999999999</v>
      </c>
      <c r="I1265" s="71">
        <v>0</v>
      </c>
      <c r="J1265" s="70" t="s">
        <v>565</v>
      </c>
      <c r="K1265" s="70" t="s">
        <v>48</v>
      </c>
      <c r="L1265" s="74">
        <v>46156</v>
      </c>
    </row>
    <row r="1266" spans="1:12" hidden="1" x14ac:dyDescent="0.25">
      <c r="A1266" s="70" t="s">
        <v>877</v>
      </c>
      <c r="B1266" s="70" t="s">
        <v>1361</v>
      </c>
      <c r="C1266" s="70" t="s">
        <v>1362</v>
      </c>
      <c r="D1266" s="70">
        <v>1736</v>
      </c>
      <c r="E1266" s="70">
        <v>-0.19037037037037399</v>
      </c>
      <c r="F1266" s="71">
        <v>3.6277349654945801</v>
      </c>
      <c r="G1266" s="71">
        <v>0</v>
      </c>
      <c r="H1266" s="71">
        <v>-0.69061324898675913</v>
      </c>
      <c r="I1266" s="71">
        <v>0</v>
      </c>
      <c r="J1266" s="70" t="s">
        <v>565</v>
      </c>
      <c r="K1266" s="70" t="s">
        <v>48</v>
      </c>
      <c r="L1266" s="74">
        <v>46156</v>
      </c>
    </row>
    <row r="1267" spans="1:12" hidden="1" x14ac:dyDescent="0.25">
      <c r="A1267" s="70" t="s">
        <v>877</v>
      </c>
      <c r="B1267" s="70" t="s">
        <v>2727</v>
      </c>
      <c r="C1267" s="70" t="s">
        <v>2728</v>
      </c>
      <c r="D1267" s="70">
        <v>1736</v>
      </c>
      <c r="E1267" s="70">
        <v>-1</v>
      </c>
      <c r="F1267" s="71">
        <v>0.1487</v>
      </c>
      <c r="G1267" s="71">
        <v>0</v>
      </c>
      <c r="H1267" s="71">
        <v>-0.1487</v>
      </c>
      <c r="I1267" s="71">
        <v>0</v>
      </c>
      <c r="J1267" s="70" t="s">
        <v>565</v>
      </c>
      <c r="K1267" s="70" t="s">
        <v>48</v>
      </c>
      <c r="L1267" s="74">
        <v>46156</v>
      </c>
    </row>
    <row r="1268" spans="1:12" hidden="1" x14ac:dyDescent="0.25">
      <c r="A1268" s="70" t="s">
        <v>898</v>
      </c>
      <c r="B1268" s="70" t="s">
        <v>1740</v>
      </c>
      <c r="C1268" s="70" t="s">
        <v>1741</v>
      </c>
      <c r="D1268" s="70">
        <v>1736</v>
      </c>
      <c r="E1268" s="70">
        <v>2</v>
      </c>
      <c r="F1268" s="71">
        <v>22.4317285714286</v>
      </c>
      <c r="G1268" s="71">
        <v>0</v>
      </c>
      <c r="H1268" s="71">
        <v>44.8634571428572</v>
      </c>
      <c r="I1268" s="71">
        <v>0</v>
      </c>
      <c r="J1268" s="70" t="s">
        <v>565</v>
      </c>
      <c r="K1268" s="70" t="s">
        <v>48</v>
      </c>
      <c r="L1268" s="74">
        <v>46156</v>
      </c>
    </row>
    <row r="1269" spans="1:12" hidden="1" x14ac:dyDescent="0.25">
      <c r="A1269" s="70" t="s">
        <v>898</v>
      </c>
      <c r="B1269" s="70" t="s">
        <v>1261</v>
      </c>
      <c r="C1269" s="70" t="s">
        <v>1262</v>
      </c>
      <c r="D1269" s="70">
        <v>1736</v>
      </c>
      <c r="E1269" s="70">
        <v>1</v>
      </c>
      <c r="F1269" s="71">
        <v>20.392299999999999</v>
      </c>
      <c r="G1269" s="71">
        <v>0</v>
      </c>
      <c r="H1269" s="71">
        <v>20.392299999999999</v>
      </c>
      <c r="I1269" s="71">
        <v>0</v>
      </c>
      <c r="J1269" s="70" t="s">
        <v>565</v>
      </c>
      <c r="K1269" s="70" t="s">
        <v>48</v>
      </c>
      <c r="L1269" s="74">
        <v>46156</v>
      </c>
    </row>
    <row r="1270" spans="1:12" hidden="1" x14ac:dyDescent="0.25">
      <c r="A1270" s="70" t="s">
        <v>898</v>
      </c>
      <c r="B1270" s="70" t="s">
        <v>1355</v>
      </c>
      <c r="C1270" s="70" t="s">
        <v>1356</v>
      </c>
      <c r="D1270" s="70">
        <v>1736</v>
      </c>
      <c r="E1270" s="70">
        <v>3.3624691358024701</v>
      </c>
      <c r="F1270" s="71">
        <v>3.6277985739750398</v>
      </c>
      <c r="G1270" s="71">
        <v>0</v>
      </c>
      <c r="H1270" s="71">
        <v>12.198360735899289</v>
      </c>
      <c r="I1270" s="71">
        <v>0</v>
      </c>
      <c r="J1270" s="70" t="s">
        <v>565</v>
      </c>
      <c r="K1270" s="70" t="s">
        <v>48</v>
      </c>
      <c r="L1270" s="74">
        <v>46156</v>
      </c>
    </row>
    <row r="1271" spans="1:12" hidden="1" x14ac:dyDescent="0.25">
      <c r="A1271" s="70" t="s">
        <v>898</v>
      </c>
      <c r="B1271" s="70" t="s">
        <v>1357</v>
      </c>
      <c r="C1271" s="70" t="s">
        <v>1358</v>
      </c>
      <c r="D1271" s="70">
        <v>1736</v>
      </c>
      <c r="E1271" s="70">
        <v>1</v>
      </c>
      <c r="F1271" s="71">
        <v>4.84</v>
      </c>
      <c r="G1271" s="71">
        <v>0</v>
      </c>
      <c r="H1271" s="71">
        <v>4.84</v>
      </c>
      <c r="I1271" s="71">
        <v>0</v>
      </c>
      <c r="J1271" s="70" t="s">
        <v>565</v>
      </c>
      <c r="K1271" s="70" t="s">
        <v>48</v>
      </c>
      <c r="L1271" s="74">
        <v>46156</v>
      </c>
    </row>
    <row r="1272" spans="1:12" hidden="1" x14ac:dyDescent="0.25">
      <c r="A1272" s="70" t="s">
        <v>898</v>
      </c>
      <c r="B1272" s="70" t="s">
        <v>1766</v>
      </c>
      <c r="C1272" s="70" t="s">
        <v>1767</v>
      </c>
      <c r="D1272" s="70">
        <v>1736</v>
      </c>
      <c r="E1272" s="70">
        <v>1</v>
      </c>
      <c r="F1272" s="71">
        <v>4.3901333333333303</v>
      </c>
      <c r="G1272" s="71">
        <v>0</v>
      </c>
      <c r="H1272" s="71">
        <v>4.3901333333333303</v>
      </c>
      <c r="I1272" s="71">
        <v>0</v>
      </c>
      <c r="J1272" s="70" t="s">
        <v>565</v>
      </c>
      <c r="K1272" s="70" t="s">
        <v>48</v>
      </c>
      <c r="L1272" s="74">
        <v>46156</v>
      </c>
    </row>
    <row r="1273" spans="1:12" hidden="1" x14ac:dyDescent="0.25">
      <c r="A1273" s="70" t="s">
        <v>898</v>
      </c>
      <c r="B1273" s="70" t="s">
        <v>1269</v>
      </c>
      <c r="C1273" s="70" t="s">
        <v>1270</v>
      </c>
      <c r="D1273" s="70">
        <v>1736</v>
      </c>
      <c r="E1273" s="70">
        <v>1.70012345679012</v>
      </c>
      <c r="F1273" s="71">
        <v>1.7519497600199501</v>
      </c>
      <c r="G1273" s="71">
        <v>0</v>
      </c>
      <c r="H1273" s="71">
        <v>2.978530882127739</v>
      </c>
      <c r="I1273" s="71">
        <v>0</v>
      </c>
      <c r="J1273" s="70" t="s">
        <v>565</v>
      </c>
      <c r="K1273" s="70" t="s">
        <v>48</v>
      </c>
      <c r="L1273" s="74">
        <v>46156</v>
      </c>
    </row>
    <row r="1274" spans="1:12" hidden="1" x14ac:dyDescent="0.25">
      <c r="A1274" s="70" t="s">
        <v>877</v>
      </c>
      <c r="B1274" s="70" t="s">
        <v>2729</v>
      </c>
      <c r="C1274" s="70" t="s">
        <v>2730</v>
      </c>
      <c r="D1274" s="70">
        <v>1518</v>
      </c>
      <c r="E1274" s="70">
        <v>-1</v>
      </c>
      <c r="F1274" s="71">
        <v>22.878599999999999</v>
      </c>
      <c r="G1274" s="71">
        <v>33.502000000000002</v>
      </c>
      <c r="H1274" s="71">
        <v>-22.878599999999999</v>
      </c>
      <c r="I1274" s="71">
        <v>-33.502000000000002</v>
      </c>
      <c r="J1274" s="70" t="s">
        <v>567</v>
      </c>
      <c r="K1274" s="70" t="s">
        <v>48</v>
      </c>
      <c r="L1274" s="74">
        <v>46158</v>
      </c>
    </row>
    <row r="1275" spans="1:12" hidden="1" x14ac:dyDescent="0.25">
      <c r="A1275" s="70" t="s">
        <v>877</v>
      </c>
      <c r="B1275" s="70" t="s">
        <v>2731</v>
      </c>
      <c r="C1275" s="70" t="s">
        <v>2732</v>
      </c>
      <c r="D1275" s="70">
        <v>1518</v>
      </c>
      <c r="E1275" s="70">
        <v>-1</v>
      </c>
      <c r="F1275" s="71">
        <v>64.861800000000002</v>
      </c>
      <c r="G1275" s="71">
        <v>94.972399999999993</v>
      </c>
      <c r="H1275" s="71">
        <v>-64.861800000000002</v>
      </c>
      <c r="I1275" s="71">
        <v>-94.972399999999993</v>
      </c>
      <c r="J1275" s="70" t="s">
        <v>567</v>
      </c>
      <c r="K1275" s="70" t="s">
        <v>48</v>
      </c>
      <c r="L1275" s="74">
        <v>46158</v>
      </c>
    </row>
    <row r="1276" spans="1:12" hidden="1" x14ac:dyDescent="0.25">
      <c r="A1276" s="70" t="s">
        <v>877</v>
      </c>
      <c r="B1276" s="70" t="s">
        <v>2733</v>
      </c>
      <c r="C1276" s="70" t="s">
        <v>2734</v>
      </c>
      <c r="D1276" s="70">
        <v>1518</v>
      </c>
      <c r="E1276" s="70">
        <v>-1</v>
      </c>
      <c r="F1276" s="71">
        <v>32.662100000000002</v>
      </c>
      <c r="G1276" s="71">
        <v>81.297899999999998</v>
      </c>
      <c r="H1276" s="71">
        <v>-32.662100000000002</v>
      </c>
      <c r="I1276" s="71">
        <v>-81.297899999999998</v>
      </c>
      <c r="J1276" s="70" t="s">
        <v>567</v>
      </c>
      <c r="K1276" s="70" t="s">
        <v>48</v>
      </c>
      <c r="L1276" s="74">
        <v>46158</v>
      </c>
    </row>
    <row r="1277" spans="1:12" hidden="1" x14ac:dyDescent="0.25">
      <c r="A1277" s="70" t="s">
        <v>877</v>
      </c>
      <c r="B1277" s="70" t="s">
        <v>2735</v>
      </c>
      <c r="C1277" s="70" t="s">
        <v>2736</v>
      </c>
      <c r="D1277" s="70">
        <v>1518</v>
      </c>
      <c r="E1277" s="70">
        <v>-1</v>
      </c>
      <c r="F1277" s="71">
        <v>40.863999999999997</v>
      </c>
      <c r="G1277" s="71">
        <v>102.1739</v>
      </c>
      <c r="H1277" s="71">
        <v>-40.863999999999997</v>
      </c>
      <c r="I1277" s="71">
        <v>-102.1739</v>
      </c>
      <c r="J1277" s="70" t="s">
        <v>567</v>
      </c>
      <c r="K1277" s="70" t="s">
        <v>48</v>
      </c>
      <c r="L1277" s="74">
        <v>46158</v>
      </c>
    </row>
    <row r="1278" spans="1:12" hidden="1" x14ac:dyDescent="0.25">
      <c r="A1278" s="70" t="s">
        <v>898</v>
      </c>
      <c r="B1278" s="70" t="s">
        <v>2737</v>
      </c>
      <c r="C1278" s="70" t="s">
        <v>2738</v>
      </c>
      <c r="D1278" s="70">
        <v>1518</v>
      </c>
      <c r="E1278" s="70">
        <v>1</v>
      </c>
      <c r="F1278" s="71">
        <v>8.9123333333333328</v>
      </c>
      <c r="G1278" s="71">
        <v>13.010400000000001</v>
      </c>
      <c r="H1278" s="71">
        <v>8.9123333333333328</v>
      </c>
      <c r="I1278" s="71">
        <v>13.010400000000001</v>
      </c>
      <c r="J1278" s="70" t="s">
        <v>567</v>
      </c>
      <c r="K1278" s="70" t="s">
        <v>48</v>
      </c>
      <c r="L1278" s="74">
        <v>46158</v>
      </c>
    </row>
    <row r="1279" spans="1:12" hidden="1" x14ac:dyDescent="0.25">
      <c r="A1279" s="70" t="s">
        <v>898</v>
      </c>
      <c r="B1279" s="70" t="s">
        <v>2739</v>
      </c>
      <c r="C1279" s="70" t="s">
        <v>2740</v>
      </c>
      <c r="D1279" s="70">
        <v>1518</v>
      </c>
      <c r="E1279" s="70">
        <v>1</v>
      </c>
      <c r="F1279" s="71">
        <v>38.613333333333337</v>
      </c>
      <c r="G1279" s="71">
        <v>61.232300000000002</v>
      </c>
      <c r="H1279" s="71">
        <v>38.613333333333337</v>
      </c>
      <c r="I1279" s="71">
        <v>61.232300000000002</v>
      </c>
      <c r="J1279" s="70" t="s">
        <v>567</v>
      </c>
      <c r="K1279" s="70" t="s">
        <v>48</v>
      </c>
      <c r="L1279" s="74">
        <v>46158</v>
      </c>
    </row>
    <row r="1280" spans="1:12" hidden="1" x14ac:dyDescent="0.25">
      <c r="A1280" s="70" t="s">
        <v>898</v>
      </c>
      <c r="B1280" s="70" t="s">
        <v>2741</v>
      </c>
      <c r="C1280" s="70" t="s">
        <v>2742</v>
      </c>
      <c r="D1280" s="70">
        <v>1518</v>
      </c>
      <c r="E1280" s="70">
        <v>1</v>
      </c>
      <c r="F1280" s="71">
        <v>60.526800000000001</v>
      </c>
      <c r="G1280" s="71">
        <v>88.624899999999997</v>
      </c>
      <c r="H1280" s="71">
        <v>60.526800000000001</v>
      </c>
      <c r="I1280" s="71">
        <v>88.624899999999997</v>
      </c>
      <c r="J1280" s="70" t="s">
        <v>567</v>
      </c>
      <c r="K1280" s="70" t="s">
        <v>48</v>
      </c>
      <c r="L1280" s="74">
        <v>46158</v>
      </c>
    </row>
    <row r="1281" spans="1:12" hidden="1" x14ac:dyDescent="0.25">
      <c r="A1281" s="70" t="s">
        <v>898</v>
      </c>
      <c r="B1281" s="70" t="s">
        <v>2743</v>
      </c>
      <c r="C1281" s="70" t="s">
        <v>2744</v>
      </c>
      <c r="D1281" s="70">
        <v>1518</v>
      </c>
      <c r="E1281" s="70">
        <v>1</v>
      </c>
      <c r="F1281" s="71">
        <v>5.7088636363636356</v>
      </c>
      <c r="G1281" s="71">
        <v>13.2745</v>
      </c>
      <c r="H1281" s="71">
        <v>5.7088636363636356</v>
      </c>
      <c r="I1281" s="71">
        <v>13.2745</v>
      </c>
      <c r="J1281" s="70" t="s">
        <v>567</v>
      </c>
      <c r="K1281" s="70" t="s">
        <v>48</v>
      </c>
      <c r="L1281" s="74">
        <v>46158</v>
      </c>
    </row>
    <row r="1282" spans="1:12" hidden="1" x14ac:dyDescent="0.25">
      <c r="A1282" s="70" t="s">
        <v>898</v>
      </c>
      <c r="B1282" s="70" t="s">
        <v>2745</v>
      </c>
      <c r="C1282" s="70" t="s">
        <v>2746</v>
      </c>
      <c r="D1282" s="70">
        <v>1518</v>
      </c>
      <c r="E1282" s="70">
        <v>1</v>
      </c>
      <c r="F1282" s="71">
        <v>40.863999999999997</v>
      </c>
      <c r="G1282" s="71">
        <v>102.1739</v>
      </c>
      <c r="H1282" s="71">
        <v>40.863999999999997</v>
      </c>
      <c r="I1282" s="71">
        <v>102.1739</v>
      </c>
      <c r="J1282" s="70" t="s">
        <v>567</v>
      </c>
      <c r="K1282" s="70" t="s">
        <v>48</v>
      </c>
      <c r="L1282" s="74">
        <v>46158</v>
      </c>
    </row>
    <row r="1283" spans="1:12" hidden="1" x14ac:dyDescent="0.25">
      <c r="A1283" s="70" t="s">
        <v>911</v>
      </c>
      <c r="B1283" s="70" t="s">
        <v>2747</v>
      </c>
      <c r="C1283" s="70" t="s">
        <v>2748</v>
      </c>
      <c r="D1283" s="70">
        <v>1742</v>
      </c>
      <c r="E1283" s="70">
        <v>1</v>
      </c>
      <c r="F1283" s="71">
        <v>7.5744999999999996</v>
      </c>
      <c r="G1283" s="71">
        <v>18.399999999999999</v>
      </c>
      <c r="H1283" s="71">
        <v>7.5744999999999996</v>
      </c>
      <c r="I1283" s="71">
        <v>18.399999999999999</v>
      </c>
      <c r="J1283" s="70" t="s">
        <v>575</v>
      </c>
      <c r="K1283" s="70" t="s">
        <v>48</v>
      </c>
      <c r="L1283" s="74">
        <v>46163</v>
      </c>
    </row>
    <row r="1284" spans="1:12" hidden="1" x14ac:dyDescent="0.25">
      <c r="A1284" s="70" t="s">
        <v>922</v>
      </c>
      <c r="B1284" s="70" t="s">
        <v>2749</v>
      </c>
      <c r="C1284" s="70" t="s">
        <v>2750</v>
      </c>
      <c r="D1284" s="70">
        <v>1742</v>
      </c>
      <c r="E1284" s="70">
        <v>-1</v>
      </c>
      <c r="F1284" s="71">
        <v>7.5744999999999996</v>
      </c>
      <c r="G1284" s="71">
        <v>19.36</v>
      </c>
      <c r="H1284" s="71">
        <v>-7.5744999999999996</v>
      </c>
      <c r="I1284" s="71">
        <v>-19.36</v>
      </c>
      <c r="J1284" s="70" t="s">
        <v>575</v>
      </c>
      <c r="K1284" s="70" t="s">
        <v>48</v>
      </c>
      <c r="L1284" s="74">
        <v>46163</v>
      </c>
    </row>
    <row r="1285" spans="1:12" hidden="1" x14ac:dyDescent="0.25">
      <c r="A1285" s="70" t="s">
        <v>877</v>
      </c>
      <c r="B1285" s="70" t="s">
        <v>2751</v>
      </c>
      <c r="C1285" s="70" t="s">
        <v>2752</v>
      </c>
      <c r="D1285" s="70">
        <v>1742</v>
      </c>
      <c r="E1285" s="70">
        <v>-1</v>
      </c>
      <c r="F1285" s="71">
        <v>7.4979666666666702</v>
      </c>
      <c r="G1285" s="71">
        <v>19.73</v>
      </c>
      <c r="H1285" s="71">
        <v>-7.4979666666666702</v>
      </c>
      <c r="I1285" s="71">
        <v>-19.73</v>
      </c>
      <c r="J1285" s="70" t="s">
        <v>575</v>
      </c>
      <c r="K1285" s="70" t="s">
        <v>48</v>
      </c>
      <c r="L1285" s="74">
        <v>46163</v>
      </c>
    </row>
    <row r="1286" spans="1:12" hidden="1" x14ac:dyDescent="0.25">
      <c r="A1286" s="70" t="s">
        <v>898</v>
      </c>
      <c r="B1286" s="70" t="s">
        <v>1416</v>
      </c>
      <c r="C1286" s="70" t="s">
        <v>1417</v>
      </c>
      <c r="D1286" s="70">
        <v>1742</v>
      </c>
      <c r="E1286" s="70">
        <v>1</v>
      </c>
      <c r="F1286" s="71">
        <v>13.663</v>
      </c>
      <c r="G1286" s="71">
        <v>19.399999999999999</v>
      </c>
      <c r="H1286" s="71">
        <v>13.663</v>
      </c>
      <c r="I1286" s="71">
        <v>19.399999999999999</v>
      </c>
      <c r="J1286" s="70" t="s">
        <v>575</v>
      </c>
      <c r="K1286" s="70" t="s">
        <v>48</v>
      </c>
      <c r="L1286" s="74">
        <v>46163</v>
      </c>
    </row>
    <row r="1287" spans="1:12" hidden="1" x14ac:dyDescent="0.25">
      <c r="A1287" s="70" t="s">
        <v>922</v>
      </c>
      <c r="B1287" s="70" t="s">
        <v>2753</v>
      </c>
      <c r="C1287" s="70" t="s">
        <v>2754</v>
      </c>
      <c r="D1287" s="70">
        <v>1742</v>
      </c>
      <c r="E1287" s="70">
        <v>-1</v>
      </c>
      <c r="F1287" s="71">
        <v>29.521000000000001</v>
      </c>
      <c r="G1287" s="71">
        <v>41.14</v>
      </c>
      <c r="H1287" s="71">
        <v>-29.521000000000001</v>
      </c>
      <c r="I1287" s="71">
        <v>-41.14</v>
      </c>
      <c r="J1287" s="70" t="s">
        <v>575</v>
      </c>
      <c r="K1287" s="70" t="s">
        <v>48</v>
      </c>
      <c r="L1287" s="74">
        <v>46163</v>
      </c>
    </row>
    <row r="1288" spans="1:12" hidden="1" x14ac:dyDescent="0.25">
      <c r="A1288" s="70" t="s">
        <v>911</v>
      </c>
      <c r="B1288" s="70" t="s">
        <v>2755</v>
      </c>
      <c r="C1288" s="70" t="s">
        <v>2756</v>
      </c>
      <c r="D1288" s="70">
        <v>1742</v>
      </c>
      <c r="E1288" s="70">
        <v>1</v>
      </c>
      <c r="F1288" s="71">
        <v>34.78</v>
      </c>
      <c r="G1288" s="71">
        <v>51.98</v>
      </c>
      <c r="H1288" s="71">
        <v>34.78</v>
      </c>
      <c r="I1288" s="71">
        <v>51.98</v>
      </c>
      <c r="J1288" s="70" t="s">
        <v>575</v>
      </c>
      <c r="K1288" s="70" t="s">
        <v>48</v>
      </c>
      <c r="L1288" s="74">
        <v>46163</v>
      </c>
    </row>
    <row r="1289" spans="1:12" hidden="1" x14ac:dyDescent="0.25">
      <c r="A1289" s="70" t="s">
        <v>922</v>
      </c>
      <c r="B1289" s="70" t="s">
        <v>1501</v>
      </c>
      <c r="C1289" s="70" t="s">
        <v>1502</v>
      </c>
      <c r="D1289" s="70">
        <v>3042</v>
      </c>
      <c r="E1289" s="70">
        <v>-1</v>
      </c>
      <c r="F1289" s="71">
        <v>30.213999999999999</v>
      </c>
      <c r="G1289" s="71">
        <v>47.15</v>
      </c>
      <c r="H1289" s="71">
        <v>-30.213999999999999</v>
      </c>
      <c r="I1289" s="71">
        <v>-47.15</v>
      </c>
      <c r="J1289" s="70" t="s">
        <v>577</v>
      </c>
      <c r="K1289" s="70" t="s">
        <v>48</v>
      </c>
      <c r="L1289" s="74">
        <v>46164</v>
      </c>
    </row>
    <row r="1290" spans="1:12" hidden="1" x14ac:dyDescent="0.25">
      <c r="A1290" s="70" t="s">
        <v>911</v>
      </c>
      <c r="B1290" s="70" t="s">
        <v>1571</v>
      </c>
      <c r="C1290" s="70" t="s">
        <v>1572</v>
      </c>
      <c r="D1290" s="70">
        <v>3042</v>
      </c>
      <c r="E1290" s="70">
        <v>2</v>
      </c>
      <c r="F1290" s="71">
        <v>32.423999999999999</v>
      </c>
      <c r="G1290" s="71">
        <v>50.6</v>
      </c>
      <c r="H1290" s="71">
        <v>64.847999999999999</v>
      </c>
      <c r="I1290" s="71">
        <v>101.2</v>
      </c>
      <c r="J1290" s="70" t="s">
        <v>577</v>
      </c>
      <c r="K1290" s="70" t="s">
        <v>48</v>
      </c>
      <c r="L1290" s="74">
        <v>46164</v>
      </c>
    </row>
    <row r="1291" spans="1:12" hidden="1" x14ac:dyDescent="0.25">
      <c r="A1291" s="70" t="s">
        <v>898</v>
      </c>
      <c r="B1291" s="70" t="s">
        <v>2757</v>
      </c>
      <c r="C1291" s="70" t="s">
        <v>2758</v>
      </c>
      <c r="D1291" s="70">
        <v>3042</v>
      </c>
      <c r="E1291" s="70">
        <v>1</v>
      </c>
      <c r="F1291" s="71">
        <v>26.6</v>
      </c>
      <c r="G1291" s="71">
        <v>43.7</v>
      </c>
      <c r="H1291" s="71">
        <v>26.6</v>
      </c>
      <c r="I1291" s="71">
        <v>43.7</v>
      </c>
      <c r="J1291" s="70" t="s">
        <v>577</v>
      </c>
      <c r="K1291" s="70" t="s">
        <v>48</v>
      </c>
      <c r="L1291" s="74">
        <v>46164</v>
      </c>
    </row>
    <row r="1292" spans="1:12" hidden="1" x14ac:dyDescent="0.25">
      <c r="A1292" s="70" t="s">
        <v>922</v>
      </c>
      <c r="B1292" s="70" t="s">
        <v>2759</v>
      </c>
      <c r="C1292" s="70" t="s">
        <v>2760</v>
      </c>
      <c r="D1292" s="70">
        <v>3042</v>
      </c>
      <c r="E1292" s="70">
        <v>-1</v>
      </c>
      <c r="F1292" s="71">
        <v>30.8</v>
      </c>
      <c r="G1292" s="71">
        <v>50.61</v>
      </c>
      <c r="H1292" s="71">
        <v>-30.8</v>
      </c>
      <c r="I1292" s="71">
        <v>-50.61</v>
      </c>
      <c r="J1292" s="70" t="s">
        <v>577</v>
      </c>
      <c r="K1292" s="70" t="s">
        <v>48</v>
      </c>
      <c r="L1292" s="74">
        <v>46164</v>
      </c>
    </row>
    <row r="1293" spans="1:12" hidden="1" x14ac:dyDescent="0.25">
      <c r="A1293" s="70" t="s">
        <v>911</v>
      </c>
      <c r="B1293" s="70" t="s">
        <v>1575</v>
      </c>
      <c r="C1293" s="70" t="s">
        <v>1576</v>
      </c>
      <c r="D1293" s="70">
        <v>3042</v>
      </c>
      <c r="E1293" s="70">
        <v>8</v>
      </c>
      <c r="F1293" s="71">
        <v>8.4173399999999994</v>
      </c>
      <c r="G1293" s="71">
        <v>13.83</v>
      </c>
      <c r="H1293" s="71">
        <v>67.338719999999995</v>
      </c>
      <c r="I1293" s="71">
        <v>110.64</v>
      </c>
      <c r="J1293" s="70" t="s">
        <v>577</v>
      </c>
      <c r="K1293" s="70" t="s">
        <v>48</v>
      </c>
      <c r="L1293" s="74">
        <v>46164</v>
      </c>
    </row>
    <row r="1294" spans="1:12" hidden="1" x14ac:dyDescent="0.25">
      <c r="A1294" s="70" t="s">
        <v>922</v>
      </c>
      <c r="B1294" s="70" t="s">
        <v>1851</v>
      </c>
      <c r="C1294" s="70" t="s">
        <v>1852</v>
      </c>
      <c r="D1294" s="70">
        <v>3042</v>
      </c>
      <c r="E1294" s="70">
        <v>-8</v>
      </c>
      <c r="F1294" s="71">
        <v>8.4173578947368402</v>
      </c>
      <c r="G1294" s="71">
        <v>13.83</v>
      </c>
      <c r="H1294" s="71">
        <v>-67.338863157894721</v>
      </c>
      <c r="I1294" s="71">
        <v>-110.64</v>
      </c>
      <c r="J1294" s="70" t="s">
        <v>577</v>
      </c>
      <c r="K1294" s="70" t="s">
        <v>48</v>
      </c>
      <c r="L1294" s="74">
        <v>46164</v>
      </c>
    </row>
    <row r="1295" spans="1:12" hidden="1" x14ac:dyDescent="0.25">
      <c r="A1295" s="70" t="s">
        <v>911</v>
      </c>
      <c r="B1295" s="70" t="s">
        <v>2761</v>
      </c>
      <c r="C1295" s="70" t="s">
        <v>2762</v>
      </c>
      <c r="D1295" s="70">
        <v>3042</v>
      </c>
      <c r="E1295" s="70">
        <v>7</v>
      </c>
      <c r="F1295" s="71">
        <v>4.9190884615384602</v>
      </c>
      <c r="G1295" s="71">
        <v>8.08</v>
      </c>
      <c r="H1295" s="71">
        <v>34.433619230769217</v>
      </c>
      <c r="I1295" s="71">
        <v>56.56</v>
      </c>
      <c r="J1295" s="70" t="s">
        <v>577</v>
      </c>
      <c r="K1295" s="70" t="s">
        <v>48</v>
      </c>
      <c r="L1295" s="74">
        <v>46164</v>
      </c>
    </row>
    <row r="1296" spans="1:12" hidden="1" x14ac:dyDescent="0.25">
      <c r="A1296" s="70" t="s">
        <v>922</v>
      </c>
      <c r="B1296" s="70" t="s">
        <v>1855</v>
      </c>
      <c r="C1296" s="70" t="s">
        <v>1856</v>
      </c>
      <c r="D1296" s="70">
        <v>3042</v>
      </c>
      <c r="E1296" s="70">
        <v>-7</v>
      </c>
      <c r="F1296" s="71">
        <v>4.9190901408450696</v>
      </c>
      <c r="G1296" s="71">
        <v>8.08</v>
      </c>
      <c r="H1296" s="71">
        <v>-34.433630985915492</v>
      </c>
      <c r="I1296" s="71">
        <v>-56.56</v>
      </c>
      <c r="J1296" s="70" t="s">
        <v>577</v>
      </c>
      <c r="K1296" s="70" t="s">
        <v>48</v>
      </c>
      <c r="L1296" s="74">
        <v>46164</v>
      </c>
    </row>
    <row r="1297" spans="1:12" hidden="1" x14ac:dyDescent="0.25">
      <c r="A1297" s="70" t="s">
        <v>911</v>
      </c>
      <c r="B1297" s="70" t="s">
        <v>1857</v>
      </c>
      <c r="C1297" s="70" t="s">
        <v>1858</v>
      </c>
      <c r="D1297" s="70">
        <v>3042</v>
      </c>
      <c r="E1297" s="70">
        <v>1</v>
      </c>
      <c r="F1297" s="71">
        <v>3.1602000000000001</v>
      </c>
      <c r="G1297" s="71">
        <v>5.19</v>
      </c>
      <c r="H1297" s="71">
        <v>3.1602000000000001</v>
      </c>
      <c r="I1297" s="71">
        <v>5.19</v>
      </c>
      <c r="J1297" s="70" t="s">
        <v>577</v>
      </c>
      <c r="K1297" s="70" t="s">
        <v>48</v>
      </c>
      <c r="L1297" s="74">
        <v>46164</v>
      </c>
    </row>
    <row r="1298" spans="1:12" hidden="1" x14ac:dyDescent="0.25">
      <c r="A1298" s="70" t="s">
        <v>922</v>
      </c>
      <c r="B1298" s="70" t="s">
        <v>1859</v>
      </c>
      <c r="C1298" s="70" t="s">
        <v>1860</v>
      </c>
      <c r="D1298" s="70">
        <v>3042</v>
      </c>
      <c r="E1298" s="70">
        <v>-1</v>
      </c>
      <c r="F1298" s="71">
        <v>3.1603247706422</v>
      </c>
      <c r="G1298" s="71">
        <v>5.19</v>
      </c>
      <c r="H1298" s="71">
        <v>-3.1603247706422</v>
      </c>
      <c r="I1298" s="71">
        <v>-5.19</v>
      </c>
      <c r="J1298" s="70" t="s">
        <v>577</v>
      </c>
      <c r="K1298" s="70" t="s">
        <v>48</v>
      </c>
      <c r="L1298" s="74">
        <v>46164</v>
      </c>
    </row>
    <row r="1299" spans="1:12" hidden="1" x14ac:dyDescent="0.25">
      <c r="A1299" s="70" t="s">
        <v>922</v>
      </c>
      <c r="B1299" s="70" t="s">
        <v>2763</v>
      </c>
      <c r="C1299" s="70" t="s">
        <v>2764</v>
      </c>
      <c r="D1299" s="70">
        <v>3042</v>
      </c>
      <c r="E1299" s="70">
        <v>-1</v>
      </c>
      <c r="F1299" s="71">
        <v>4.3662999999999998</v>
      </c>
      <c r="G1299" s="71">
        <v>12.19</v>
      </c>
      <c r="H1299" s="71">
        <v>-4.3662999999999998</v>
      </c>
      <c r="I1299" s="71">
        <v>-12.19</v>
      </c>
      <c r="J1299" s="70" t="s">
        <v>577</v>
      </c>
      <c r="K1299" s="70" t="s">
        <v>48</v>
      </c>
      <c r="L1299" s="74">
        <v>46164</v>
      </c>
    </row>
    <row r="1300" spans="1:12" hidden="1" x14ac:dyDescent="0.25">
      <c r="A1300" s="70" t="s">
        <v>911</v>
      </c>
      <c r="B1300" s="70" t="s">
        <v>2765</v>
      </c>
      <c r="C1300" s="70" t="s">
        <v>2766</v>
      </c>
      <c r="D1300" s="70">
        <v>3042</v>
      </c>
      <c r="E1300" s="70">
        <v>1</v>
      </c>
      <c r="F1300" s="71">
        <v>3.9037999999999999</v>
      </c>
      <c r="G1300" s="71">
        <v>10.9</v>
      </c>
      <c r="H1300" s="71">
        <v>3.9037999999999999</v>
      </c>
      <c r="I1300" s="71">
        <v>10.9</v>
      </c>
      <c r="J1300" s="70" t="s">
        <v>577</v>
      </c>
      <c r="K1300" s="70" t="s">
        <v>48</v>
      </c>
      <c r="L1300" s="74">
        <v>46164</v>
      </c>
    </row>
    <row r="1301" spans="1:12" hidden="1" x14ac:dyDescent="0.25">
      <c r="A1301" s="70" t="s">
        <v>898</v>
      </c>
      <c r="B1301" s="70" t="s">
        <v>2767</v>
      </c>
      <c r="C1301" s="70" t="s">
        <v>2768</v>
      </c>
      <c r="D1301" s="70">
        <v>1507</v>
      </c>
      <c r="E1301" s="70">
        <v>1</v>
      </c>
      <c r="F1301" s="71">
        <v>1.6616666666666671</v>
      </c>
      <c r="G1301" s="71">
        <v>2.48</v>
      </c>
      <c r="H1301" s="71">
        <v>1.6616666666666671</v>
      </c>
      <c r="I1301" s="71">
        <v>2.48</v>
      </c>
      <c r="J1301" s="70" t="s">
        <v>579</v>
      </c>
      <c r="K1301" s="70" t="s">
        <v>48</v>
      </c>
      <c r="L1301" s="74">
        <v>46164</v>
      </c>
    </row>
    <row r="1302" spans="1:12" hidden="1" x14ac:dyDescent="0.25">
      <c r="A1302" s="70" t="s">
        <v>898</v>
      </c>
      <c r="B1302" s="70" t="s">
        <v>1031</v>
      </c>
      <c r="C1302" s="70" t="s">
        <v>1032</v>
      </c>
      <c r="D1302" s="70">
        <v>1507</v>
      </c>
      <c r="E1302" s="70">
        <v>1</v>
      </c>
      <c r="F1302" s="71">
        <v>67.863924999999995</v>
      </c>
      <c r="G1302" s="71">
        <v>169.43</v>
      </c>
      <c r="H1302" s="71">
        <v>67.863924999999995</v>
      </c>
      <c r="I1302" s="71">
        <v>169.43</v>
      </c>
      <c r="J1302" s="70" t="s">
        <v>579</v>
      </c>
      <c r="K1302" s="70" t="s">
        <v>48</v>
      </c>
      <c r="L1302" s="74">
        <v>46164</v>
      </c>
    </row>
    <row r="1303" spans="1:12" hidden="1" x14ac:dyDescent="0.25">
      <c r="A1303" s="70" t="s">
        <v>898</v>
      </c>
      <c r="B1303" s="70" t="s">
        <v>2769</v>
      </c>
      <c r="C1303" s="70" t="s">
        <v>2770</v>
      </c>
      <c r="D1303" s="70">
        <v>1507</v>
      </c>
      <c r="E1303" s="70">
        <v>1</v>
      </c>
      <c r="F1303" s="71">
        <v>30.071650000000002</v>
      </c>
      <c r="G1303" s="71">
        <v>84.81</v>
      </c>
      <c r="H1303" s="71">
        <v>30.071650000000002</v>
      </c>
      <c r="I1303" s="71">
        <v>84.81</v>
      </c>
      <c r="J1303" s="70" t="s">
        <v>579</v>
      </c>
      <c r="K1303" s="70" t="s">
        <v>48</v>
      </c>
      <c r="L1303" s="74">
        <v>46164</v>
      </c>
    </row>
    <row r="1304" spans="1:12" hidden="1" x14ac:dyDescent="0.25">
      <c r="A1304" s="70" t="s">
        <v>898</v>
      </c>
      <c r="B1304" s="70" t="s">
        <v>890</v>
      </c>
      <c r="C1304" s="70" t="s">
        <v>891</v>
      </c>
      <c r="D1304" s="70">
        <v>1507</v>
      </c>
      <c r="E1304" s="70">
        <v>1</v>
      </c>
      <c r="F1304" s="71">
        <v>26.788900000000002</v>
      </c>
      <c r="G1304" s="71">
        <v>74.37</v>
      </c>
      <c r="H1304" s="71">
        <v>26.788900000000002</v>
      </c>
      <c r="I1304" s="71">
        <v>74.37</v>
      </c>
      <c r="J1304" s="70" t="s">
        <v>579</v>
      </c>
      <c r="K1304" s="70" t="s">
        <v>48</v>
      </c>
      <c r="L1304" s="74">
        <v>46164</v>
      </c>
    </row>
    <row r="1305" spans="1:12" hidden="1" x14ac:dyDescent="0.25">
      <c r="A1305" s="70" t="s">
        <v>898</v>
      </c>
      <c r="B1305" s="70" t="s">
        <v>896</v>
      </c>
      <c r="C1305" s="70" t="s">
        <v>897</v>
      </c>
      <c r="D1305" s="70">
        <v>1507</v>
      </c>
      <c r="E1305" s="70">
        <v>1</v>
      </c>
      <c r="F1305" s="71">
        <v>7.3959000000000001</v>
      </c>
      <c r="G1305" s="71">
        <v>11.26</v>
      </c>
      <c r="H1305" s="71">
        <v>7.3959000000000001</v>
      </c>
      <c r="I1305" s="71">
        <v>11.26</v>
      </c>
      <c r="J1305" s="70" t="s">
        <v>579</v>
      </c>
      <c r="K1305" s="70" t="s">
        <v>48</v>
      </c>
      <c r="L1305" s="74">
        <v>46164</v>
      </c>
    </row>
    <row r="1306" spans="1:12" hidden="1" x14ac:dyDescent="0.25">
      <c r="A1306" s="70" t="s">
        <v>877</v>
      </c>
      <c r="B1306" s="70" t="s">
        <v>2654</v>
      </c>
      <c r="C1306" s="70" t="s">
        <v>2655</v>
      </c>
      <c r="D1306" s="70">
        <v>1507</v>
      </c>
      <c r="E1306" s="70">
        <v>-1</v>
      </c>
      <c r="F1306" s="71">
        <v>9.7675333333333345</v>
      </c>
      <c r="G1306" s="71">
        <v>26.31</v>
      </c>
      <c r="H1306" s="71">
        <v>-9.7675333333333345</v>
      </c>
      <c r="I1306" s="71">
        <v>-26.31</v>
      </c>
      <c r="J1306" s="70" t="s">
        <v>579</v>
      </c>
      <c r="K1306" s="70" t="s">
        <v>48</v>
      </c>
      <c r="L1306" s="74">
        <v>46164</v>
      </c>
    </row>
    <row r="1307" spans="1:12" hidden="1" x14ac:dyDescent="0.25">
      <c r="A1307" s="70" t="s">
        <v>877</v>
      </c>
      <c r="B1307" s="70" t="s">
        <v>2771</v>
      </c>
      <c r="C1307" s="70" t="s">
        <v>2772</v>
      </c>
      <c r="D1307" s="70">
        <v>1507</v>
      </c>
      <c r="E1307" s="70">
        <v>-1</v>
      </c>
      <c r="F1307" s="71">
        <v>59.343133333333327</v>
      </c>
      <c r="G1307" s="71">
        <v>148.72999999999999</v>
      </c>
      <c r="H1307" s="71">
        <v>-59.343133333333327</v>
      </c>
      <c r="I1307" s="71">
        <v>-148.72999999999999</v>
      </c>
      <c r="J1307" s="70" t="s">
        <v>579</v>
      </c>
      <c r="K1307" s="70" t="s">
        <v>48</v>
      </c>
      <c r="L1307" s="74">
        <v>46164</v>
      </c>
    </row>
    <row r="1308" spans="1:12" hidden="1" x14ac:dyDescent="0.25">
      <c r="A1308" s="70" t="s">
        <v>877</v>
      </c>
      <c r="B1308" s="70" t="s">
        <v>2773</v>
      </c>
      <c r="C1308" s="70" t="s">
        <v>2774</v>
      </c>
      <c r="D1308" s="70">
        <v>1507</v>
      </c>
      <c r="E1308" s="70">
        <v>-1</v>
      </c>
      <c r="F1308" s="71">
        <v>66.131399999999999</v>
      </c>
      <c r="G1308" s="71">
        <v>164.88</v>
      </c>
      <c r="H1308" s="71">
        <v>-66.131399999999999</v>
      </c>
      <c r="I1308" s="71">
        <v>-164.88</v>
      </c>
      <c r="J1308" s="70" t="s">
        <v>579</v>
      </c>
      <c r="K1308" s="70" t="s">
        <v>48</v>
      </c>
      <c r="L1308" s="74">
        <v>46164</v>
      </c>
    </row>
    <row r="1309" spans="1:12" hidden="1" x14ac:dyDescent="0.25">
      <c r="A1309" s="70" t="s">
        <v>911</v>
      </c>
      <c r="B1309" s="70" t="s">
        <v>2775</v>
      </c>
      <c r="C1309" s="70" t="s">
        <v>2776</v>
      </c>
      <c r="D1309" s="70">
        <v>1507</v>
      </c>
      <c r="E1309" s="70">
        <v>1</v>
      </c>
      <c r="F1309" s="71">
        <v>17.564399999999999</v>
      </c>
      <c r="G1309" s="71">
        <v>26.6</v>
      </c>
      <c r="H1309" s="71">
        <v>17.564399999999999</v>
      </c>
      <c r="I1309" s="71">
        <v>26.6</v>
      </c>
      <c r="J1309" s="70" t="s">
        <v>579</v>
      </c>
      <c r="K1309" s="70" t="s">
        <v>48</v>
      </c>
      <c r="L1309" s="74">
        <v>46164</v>
      </c>
    </row>
    <row r="1310" spans="1:12" hidden="1" x14ac:dyDescent="0.25">
      <c r="A1310" s="70" t="s">
        <v>911</v>
      </c>
      <c r="B1310" s="70" t="s">
        <v>2777</v>
      </c>
      <c r="C1310" s="70" t="s">
        <v>2778</v>
      </c>
      <c r="D1310" s="70">
        <v>1507</v>
      </c>
      <c r="E1310" s="70">
        <v>1</v>
      </c>
      <c r="F1310" s="71">
        <v>1.6016699999999999</v>
      </c>
      <c r="G1310" s="71">
        <v>2.39</v>
      </c>
      <c r="H1310" s="71">
        <v>1.6016699999999999</v>
      </c>
      <c r="I1310" s="71">
        <v>2.39</v>
      </c>
      <c r="J1310" s="70" t="s">
        <v>579</v>
      </c>
      <c r="K1310" s="70" t="s">
        <v>48</v>
      </c>
      <c r="L1310" s="74">
        <v>46164</v>
      </c>
    </row>
    <row r="1311" spans="1:12" hidden="1" x14ac:dyDescent="0.25">
      <c r="A1311" s="70" t="s">
        <v>911</v>
      </c>
      <c r="B1311" s="70" t="s">
        <v>2779</v>
      </c>
      <c r="C1311" s="70" t="s">
        <v>2780</v>
      </c>
      <c r="D1311" s="70">
        <v>1507</v>
      </c>
      <c r="E1311" s="70">
        <v>1</v>
      </c>
      <c r="F1311" s="71">
        <v>17.564399999999999</v>
      </c>
      <c r="G1311" s="71">
        <v>25.73</v>
      </c>
      <c r="H1311" s="71">
        <v>17.564399999999999</v>
      </c>
      <c r="I1311" s="71">
        <v>25.73</v>
      </c>
      <c r="J1311" s="70" t="s">
        <v>579</v>
      </c>
      <c r="K1311" s="70" t="s">
        <v>48</v>
      </c>
      <c r="L1311" s="74">
        <v>46164</v>
      </c>
    </row>
    <row r="1312" spans="1:12" hidden="1" x14ac:dyDescent="0.25">
      <c r="A1312" s="70" t="s">
        <v>922</v>
      </c>
      <c r="B1312" s="70" t="s">
        <v>2781</v>
      </c>
      <c r="C1312" s="70" t="s">
        <v>2782</v>
      </c>
      <c r="D1312" s="70">
        <v>1507</v>
      </c>
      <c r="E1312" s="70">
        <v>-1</v>
      </c>
      <c r="F1312" s="71">
        <v>17.564399999999999</v>
      </c>
      <c r="G1312" s="71">
        <v>26.6</v>
      </c>
      <c r="H1312" s="71">
        <v>-17.564399999999999</v>
      </c>
      <c r="I1312" s="71">
        <v>-26.6</v>
      </c>
      <c r="J1312" s="70" t="s">
        <v>579</v>
      </c>
      <c r="K1312" s="70" t="s">
        <v>48</v>
      </c>
      <c r="L1312" s="74">
        <v>46164</v>
      </c>
    </row>
    <row r="1313" spans="1:12" hidden="1" x14ac:dyDescent="0.25">
      <c r="A1313" s="70" t="s">
        <v>922</v>
      </c>
      <c r="B1313" s="70" t="s">
        <v>2783</v>
      </c>
      <c r="C1313" s="70" t="s">
        <v>2784</v>
      </c>
      <c r="D1313" s="70">
        <v>1507</v>
      </c>
      <c r="E1313" s="70">
        <v>-1</v>
      </c>
      <c r="F1313" s="71">
        <v>2.8424</v>
      </c>
      <c r="G1313" s="71">
        <v>4.24</v>
      </c>
      <c r="H1313" s="71">
        <v>-2.8424</v>
      </c>
      <c r="I1313" s="71">
        <v>-4.24</v>
      </c>
      <c r="J1313" s="70" t="s">
        <v>579</v>
      </c>
      <c r="K1313" s="70" t="s">
        <v>48</v>
      </c>
      <c r="L1313" s="74">
        <v>46164</v>
      </c>
    </row>
    <row r="1314" spans="1:12" hidden="1" x14ac:dyDescent="0.25">
      <c r="A1314" s="70" t="s">
        <v>922</v>
      </c>
      <c r="B1314" s="70" t="s">
        <v>1104</v>
      </c>
      <c r="C1314" s="70" t="s">
        <v>1105</v>
      </c>
      <c r="D1314" s="70">
        <v>1507</v>
      </c>
      <c r="E1314" s="70">
        <v>-1</v>
      </c>
      <c r="F1314" s="71">
        <v>17.564399999999999</v>
      </c>
      <c r="G1314" s="71">
        <v>26.6</v>
      </c>
      <c r="H1314" s="71">
        <v>-17.564399999999999</v>
      </c>
      <c r="I1314" s="71">
        <v>-26.6</v>
      </c>
      <c r="J1314" s="70" t="s">
        <v>579</v>
      </c>
      <c r="K1314" s="70" t="s">
        <v>48</v>
      </c>
      <c r="L1314" s="74">
        <v>46164</v>
      </c>
    </row>
    <row r="1315" spans="1:12" hidden="1" x14ac:dyDescent="0.25">
      <c r="A1315" s="70" t="s">
        <v>877</v>
      </c>
      <c r="B1315" s="70" t="s">
        <v>2785</v>
      </c>
      <c r="C1315" s="70" t="s">
        <v>2786</v>
      </c>
      <c r="D1315" s="70">
        <v>1715</v>
      </c>
      <c r="E1315" s="70">
        <v>-1</v>
      </c>
      <c r="F1315" s="71">
        <v>174.88939999999999</v>
      </c>
      <c r="G1315" s="71">
        <v>0</v>
      </c>
      <c r="H1315" s="71">
        <v>-174.88939999999999</v>
      </c>
      <c r="I1315" s="71">
        <v>0</v>
      </c>
      <c r="J1315" s="70" t="s">
        <v>571</v>
      </c>
      <c r="K1315" s="70" t="s">
        <v>48</v>
      </c>
      <c r="L1315" s="74">
        <v>46160</v>
      </c>
    </row>
    <row r="1316" spans="1:12" hidden="1" x14ac:dyDescent="0.25">
      <c r="A1316" s="70" t="s">
        <v>877</v>
      </c>
      <c r="B1316" s="70" t="s">
        <v>2787</v>
      </c>
      <c r="C1316" s="70" t="s">
        <v>2788</v>
      </c>
      <c r="D1316" s="70">
        <v>1715</v>
      </c>
      <c r="E1316" s="70">
        <v>-1</v>
      </c>
      <c r="F1316" s="71">
        <v>152.82669999999999</v>
      </c>
      <c r="G1316" s="71">
        <v>0</v>
      </c>
      <c r="H1316" s="71">
        <v>-152.82669999999999</v>
      </c>
      <c r="I1316" s="71">
        <v>0</v>
      </c>
      <c r="J1316" s="70" t="s">
        <v>571</v>
      </c>
      <c r="K1316" s="70" t="s">
        <v>48</v>
      </c>
      <c r="L1316" s="74">
        <v>46160</v>
      </c>
    </row>
    <row r="1317" spans="1:12" hidden="1" x14ac:dyDescent="0.25">
      <c r="A1317" s="70" t="s">
        <v>877</v>
      </c>
      <c r="B1317" s="70" t="s">
        <v>1271</v>
      </c>
      <c r="C1317" s="70" t="s">
        <v>1272</v>
      </c>
      <c r="D1317" s="70">
        <v>1715</v>
      </c>
      <c r="E1317" s="70">
        <v>-15.3320987654321</v>
      </c>
      <c r="F1317" s="71">
        <v>3.52625263157895</v>
      </c>
      <c r="G1317" s="71">
        <v>0</v>
      </c>
      <c r="H1317" s="71">
        <v>-54.064853619233311</v>
      </c>
      <c r="I1317" s="71">
        <v>0</v>
      </c>
      <c r="J1317" s="70" t="s">
        <v>571</v>
      </c>
      <c r="K1317" s="70" t="s">
        <v>48</v>
      </c>
      <c r="L1317" s="74">
        <v>46160</v>
      </c>
    </row>
    <row r="1318" spans="1:12" hidden="1" x14ac:dyDescent="0.25">
      <c r="A1318" s="70" t="s">
        <v>877</v>
      </c>
      <c r="B1318" s="70" t="s">
        <v>1269</v>
      </c>
      <c r="C1318" s="70" t="s">
        <v>1270</v>
      </c>
      <c r="D1318" s="70">
        <v>1715</v>
      </c>
      <c r="E1318" s="70">
        <v>-15.8723456790123</v>
      </c>
      <c r="F1318" s="71">
        <v>1.7250000000000001</v>
      </c>
      <c r="G1318" s="71">
        <v>0</v>
      </c>
      <c r="H1318" s="71">
        <v>-27.37979629629622</v>
      </c>
      <c r="I1318" s="71">
        <v>0</v>
      </c>
      <c r="J1318" s="70" t="s">
        <v>571</v>
      </c>
      <c r="K1318" s="70" t="s">
        <v>48</v>
      </c>
      <c r="L1318" s="74">
        <v>46160</v>
      </c>
    </row>
    <row r="1319" spans="1:12" hidden="1" x14ac:dyDescent="0.25">
      <c r="A1319" s="70" t="s">
        <v>877</v>
      </c>
      <c r="B1319" s="70" t="s">
        <v>2789</v>
      </c>
      <c r="C1319" s="70" t="s">
        <v>2790</v>
      </c>
      <c r="D1319" s="70">
        <v>1715</v>
      </c>
      <c r="E1319" s="70">
        <v>-1</v>
      </c>
      <c r="F1319" s="71">
        <v>21.563580000000002</v>
      </c>
      <c r="G1319" s="71">
        <v>0</v>
      </c>
      <c r="H1319" s="71">
        <v>-21.563580000000002</v>
      </c>
      <c r="I1319" s="71">
        <v>0</v>
      </c>
      <c r="J1319" s="70" t="s">
        <v>571</v>
      </c>
      <c r="K1319" s="70" t="s">
        <v>48</v>
      </c>
      <c r="L1319" s="74">
        <v>46160</v>
      </c>
    </row>
    <row r="1320" spans="1:12" hidden="1" x14ac:dyDescent="0.25">
      <c r="A1320" s="70" t="s">
        <v>877</v>
      </c>
      <c r="B1320" s="70" t="s">
        <v>2791</v>
      </c>
      <c r="C1320" s="70" t="s">
        <v>2792</v>
      </c>
      <c r="D1320" s="70">
        <v>1715</v>
      </c>
      <c r="E1320" s="70">
        <v>-1</v>
      </c>
      <c r="F1320" s="71">
        <v>18.950163636363602</v>
      </c>
      <c r="G1320" s="71">
        <v>0</v>
      </c>
      <c r="H1320" s="71">
        <v>-18.950163636363602</v>
      </c>
      <c r="I1320" s="71">
        <v>0</v>
      </c>
      <c r="J1320" s="70" t="s">
        <v>571</v>
      </c>
      <c r="K1320" s="70" t="s">
        <v>48</v>
      </c>
      <c r="L1320" s="74">
        <v>46160</v>
      </c>
    </row>
    <row r="1321" spans="1:12" hidden="1" x14ac:dyDescent="0.25">
      <c r="A1321" s="70" t="s">
        <v>877</v>
      </c>
      <c r="B1321" s="70" t="s">
        <v>2793</v>
      </c>
      <c r="C1321" s="70" t="s">
        <v>2794</v>
      </c>
      <c r="D1321" s="70">
        <v>1715</v>
      </c>
      <c r="E1321" s="70">
        <v>-1</v>
      </c>
      <c r="F1321" s="71">
        <v>14.414899999999999</v>
      </c>
      <c r="G1321" s="71">
        <v>0</v>
      </c>
      <c r="H1321" s="71">
        <v>-14.414899999999999</v>
      </c>
      <c r="I1321" s="71">
        <v>0</v>
      </c>
      <c r="J1321" s="70" t="s">
        <v>571</v>
      </c>
      <c r="K1321" s="70" t="s">
        <v>48</v>
      </c>
      <c r="L1321" s="74">
        <v>46160</v>
      </c>
    </row>
    <row r="1322" spans="1:12" hidden="1" x14ac:dyDescent="0.25">
      <c r="A1322" s="70" t="s">
        <v>877</v>
      </c>
      <c r="B1322" s="70" t="s">
        <v>2795</v>
      </c>
      <c r="C1322" s="70" t="s">
        <v>2796</v>
      </c>
      <c r="D1322" s="70">
        <v>1715</v>
      </c>
      <c r="E1322" s="70">
        <v>-1</v>
      </c>
      <c r="F1322" s="71">
        <v>11.5896051282051</v>
      </c>
      <c r="G1322" s="71">
        <v>0</v>
      </c>
      <c r="H1322" s="71">
        <v>-11.5896051282051</v>
      </c>
      <c r="I1322" s="71">
        <v>0</v>
      </c>
      <c r="J1322" s="70" t="s">
        <v>571</v>
      </c>
      <c r="K1322" s="70" t="s">
        <v>48</v>
      </c>
      <c r="L1322" s="74">
        <v>46160</v>
      </c>
    </row>
    <row r="1323" spans="1:12" hidden="1" x14ac:dyDescent="0.25">
      <c r="A1323" s="70" t="s">
        <v>877</v>
      </c>
      <c r="B1323" s="70" t="s">
        <v>2797</v>
      </c>
      <c r="C1323" s="70" t="s">
        <v>2798</v>
      </c>
      <c r="D1323" s="70">
        <v>1715</v>
      </c>
      <c r="E1323" s="70">
        <v>-1</v>
      </c>
      <c r="F1323" s="71">
        <v>10.65</v>
      </c>
      <c r="G1323" s="71">
        <v>0</v>
      </c>
      <c r="H1323" s="71">
        <v>-10.65</v>
      </c>
      <c r="I1323" s="71">
        <v>0</v>
      </c>
      <c r="J1323" s="70" t="s">
        <v>571</v>
      </c>
      <c r="K1323" s="70" t="s">
        <v>48</v>
      </c>
      <c r="L1323" s="74">
        <v>46160</v>
      </c>
    </row>
    <row r="1324" spans="1:12" hidden="1" x14ac:dyDescent="0.25">
      <c r="A1324" s="70" t="s">
        <v>877</v>
      </c>
      <c r="B1324" s="70" t="s">
        <v>1348</v>
      </c>
      <c r="C1324" s="70" t="s">
        <v>1349</v>
      </c>
      <c r="D1324" s="70">
        <v>1715</v>
      </c>
      <c r="E1324" s="70">
        <v>-1.3806172839506401</v>
      </c>
      <c r="F1324" s="71">
        <v>3.7183490267280299</v>
      </c>
      <c r="G1324" s="71">
        <v>0</v>
      </c>
      <c r="H1324" s="71">
        <v>-5.1336169340617586</v>
      </c>
      <c r="I1324" s="71">
        <v>0</v>
      </c>
      <c r="J1324" s="70" t="s">
        <v>571</v>
      </c>
      <c r="K1324" s="70" t="s">
        <v>48</v>
      </c>
      <c r="L1324" s="74">
        <v>46160</v>
      </c>
    </row>
    <row r="1325" spans="1:12" hidden="1" x14ac:dyDescent="0.25">
      <c r="A1325" s="70" t="s">
        <v>877</v>
      </c>
      <c r="B1325" s="70" t="s">
        <v>1307</v>
      </c>
      <c r="C1325" s="70" t="s">
        <v>1308</v>
      </c>
      <c r="D1325" s="70">
        <v>1715</v>
      </c>
      <c r="E1325" s="70">
        <v>-1</v>
      </c>
      <c r="F1325" s="71">
        <v>2.75</v>
      </c>
      <c r="G1325" s="71">
        <v>0</v>
      </c>
      <c r="H1325" s="71">
        <v>-2.75</v>
      </c>
      <c r="I1325" s="71">
        <v>0</v>
      </c>
      <c r="J1325" s="70" t="s">
        <v>571</v>
      </c>
      <c r="K1325" s="70" t="s">
        <v>48</v>
      </c>
      <c r="L1325" s="74">
        <v>46160</v>
      </c>
    </row>
    <row r="1326" spans="1:12" hidden="1" x14ac:dyDescent="0.25">
      <c r="A1326" s="70" t="s">
        <v>877</v>
      </c>
      <c r="B1326" s="70" t="s">
        <v>1756</v>
      </c>
      <c r="C1326" s="70" t="s">
        <v>1757</v>
      </c>
      <c r="D1326" s="70">
        <v>1715</v>
      </c>
      <c r="E1326" s="70">
        <v>-2</v>
      </c>
      <c r="F1326" s="71">
        <v>1.29</v>
      </c>
      <c r="G1326" s="71">
        <v>0</v>
      </c>
      <c r="H1326" s="71">
        <v>-2.58</v>
      </c>
      <c r="I1326" s="71">
        <v>0</v>
      </c>
      <c r="J1326" s="70" t="s">
        <v>571</v>
      </c>
      <c r="K1326" s="70" t="s">
        <v>48</v>
      </c>
      <c r="L1326" s="74">
        <v>46160</v>
      </c>
    </row>
    <row r="1327" spans="1:12" hidden="1" x14ac:dyDescent="0.25">
      <c r="A1327" s="70" t="s">
        <v>898</v>
      </c>
      <c r="B1327" s="70" t="s">
        <v>2799</v>
      </c>
      <c r="C1327" s="70" t="s">
        <v>2800</v>
      </c>
      <c r="D1327" s="70">
        <v>1715</v>
      </c>
      <c r="E1327" s="70">
        <v>1</v>
      </c>
      <c r="F1327" s="71">
        <v>146.90620000000001</v>
      </c>
      <c r="G1327" s="71">
        <v>0</v>
      </c>
      <c r="H1327" s="71">
        <v>146.90620000000001</v>
      </c>
      <c r="I1327" s="71">
        <v>0</v>
      </c>
      <c r="J1327" s="70" t="s">
        <v>571</v>
      </c>
      <c r="K1327" s="70" t="s">
        <v>48</v>
      </c>
      <c r="L1327" s="74">
        <v>46160</v>
      </c>
    </row>
    <row r="1328" spans="1:12" hidden="1" x14ac:dyDescent="0.25">
      <c r="A1328" s="70" t="s">
        <v>898</v>
      </c>
      <c r="B1328" s="70" t="s">
        <v>1762</v>
      </c>
      <c r="C1328" s="70" t="s">
        <v>1763</v>
      </c>
      <c r="D1328" s="70">
        <v>1715</v>
      </c>
      <c r="E1328" s="70">
        <v>1</v>
      </c>
      <c r="F1328" s="71">
        <v>53.897799999999997</v>
      </c>
      <c r="G1328" s="71">
        <v>0</v>
      </c>
      <c r="H1328" s="71">
        <v>53.897799999999997</v>
      </c>
      <c r="I1328" s="71">
        <v>0</v>
      </c>
      <c r="J1328" s="70" t="s">
        <v>571</v>
      </c>
      <c r="K1328" s="70" t="s">
        <v>48</v>
      </c>
      <c r="L1328" s="74">
        <v>46160</v>
      </c>
    </row>
    <row r="1329" spans="1:12" hidden="1" x14ac:dyDescent="0.25">
      <c r="A1329" s="70" t="s">
        <v>898</v>
      </c>
      <c r="B1329" s="70" t="s">
        <v>1355</v>
      </c>
      <c r="C1329" s="70" t="s">
        <v>1356</v>
      </c>
      <c r="D1329" s="70">
        <v>1715</v>
      </c>
      <c r="E1329" s="70">
        <v>13.016419753086399</v>
      </c>
      <c r="F1329" s="71">
        <v>3.6276994512452498</v>
      </c>
      <c r="G1329" s="71">
        <v>0</v>
      </c>
      <c r="H1329" s="71">
        <v>47.219658795449362</v>
      </c>
      <c r="I1329" s="71">
        <v>0</v>
      </c>
      <c r="J1329" s="70" t="s">
        <v>571</v>
      </c>
      <c r="K1329" s="70" t="s">
        <v>48</v>
      </c>
      <c r="L1329" s="74">
        <v>46160</v>
      </c>
    </row>
    <row r="1330" spans="1:12" hidden="1" x14ac:dyDescent="0.25">
      <c r="A1330" s="70" t="s">
        <v>898</v>
      </c>
      <c r="B1330" s="70" t="s">
        <v>2801</v>
      </c>
      <c r="C1330" s="70" t="s">
        <v>2802</v>
      </c>
      <c r="D1330" s="70">
        <v>1715</v>
      </c>
      <c r="E1330" s="70">
        <v>1</v>
      </c>
      <c r="F1330" s="71">
        <v>29.503579999999999</v>
      </c>
      <c r="G1330" s="71">
        <v>0</v>
      </c>
      <c r="H1330" s="71">
        <v>29.503579999999999</v>
      </c>
      <c r="I1330" s="71">
        <v>0</v>
      </c>
      <c r="J1330" s="70" t="s">
        <v>571</v>
      </c>
      <c r="K1330" s="70" t="s">
        <v>48</v>
      </c>
      <c r="L1330" s="74">
        <v>46160</v>
      </c>
    </row>
    <row r="1331" spans="1:12" hidden="1" x14ac:dyDescent="0.25">
      <c r="A1331" s="70" t="s">
        <v>898</v>
      </c>
      <c r="B1331" s="70" t="s">
        <v>2803</v>
      </c>
      <c r="C1331" s="70" t="s">
        <v>2792</v>
      </c>
      <c r="D1331" s="70">
        <v>1715</v>
      </c>
      <c r="E1331" s="70">
        <v>1</v>
      </c>
      <c r="F1331" s="71">
        <v>22.904900000000001</v>
      </c>
      <c r="G1331" s="71">
        <v>0</v>
      </c>
      <c r="H1331" s="71">
        <v>22.904900000000001</v>
      </c>
      <c r="I1331" s="71">
        <v>0</v>
      </c>
      <c r="J1331" s="70" t="s">
        <v>571</v>
      </c>
      <c r="K1331" s="70" t="s">
        <v>48</v>
      </c>
      <c r="L1331" s="74">
        <v>46160</v>
      </c>
    </row>
    <row r="1332" spans="1:12" hidden="1" x14ac:dyDescent="0.25">
      <c r="A1332" s="70" t="s">
        <v>898</v>
      </c>
      <c r="B1332" s="70" t="s">
        <v>1237</v>
      </c>
      <c r="C1332" s="70" t="s">
        <v>1238</v>
      </c>
      <c r="D1332" s="70">
        <v>1715</v>
      </c>
      <c r="E1332" s="70">
        <v>1.8733333333333599</v>
      </c>
      <c r="F1332" s="71">
        <v>10.7162250326207</v>
      </c>
      <c r="G1332" s="71">
        <v>0</v>
      </c>
      <c r="H1332" s="71">
        <v>20.075061561109731</v>
      </c>
      <c r="I1332" s="71">
        <v>0</v>
      </c>
      <c r="J1332" s="70" t="s">
        <v>571</v>
      </c>
      <c r="K1332" s="70" t="s">
        <v>48</v>
      </c>
      <c r="L1332" s="74">
        <v>46160</v>
      </c>
    </row>
    <row r="1333" spans="1:12" hidden="1" x14ac:dyDescent="0.25">
      <c r="A1333" s="70" t="s">
        <v>898</v>
      </c>
      <c r="B1333" s="70" t="s">
        <v>2804</v>
      </c>
      <c r="C1333" s="70" t="s">
        <v>2805</v>
      </c>
      <c r="D1333" s="70">
        <v>1715</v>
      </c>
      <c r="E1333" s="70">
        <v>1</v>
      </c>
      <c r="F1333" s="71">
        <v>19.2697</v>
      </c>
      <c r="G1333" s="71">
        <v>0</v>
      </c>
      <c r="H1333" s="71">
        <v>19.2697</v>
      </c>
      <c r="I1333" s="71">
        <v>0</v>
      </c>
      <c r="J1333" s="70" t="s">
        <v>571</v>
      </c>
      <c r="K1333" s="70" t="s">
        <v>48</v>
      </c>
      <c r="L1333" s="74">
        <v>46160</v>
      </c>
    </row>
    <row r="1334" spans="1:12" hidden="1" x14ac:dyDescent="0.25">
      <c r="A1334" s="70" t="s">
        <v>898</v>
      </c>
      <c r="B1334" s="70" t="s">
        <v>2806</v>
      </c>
      <c r="C1334" s="70" t="s">
        <v>2807</v>
      </c>
      <c r="D1334" s="70">
        <v>1715</v>
      </c>
      <c r="E1334" s="70">
        <v>1</v>
      </c>
      <c r="F1334" s="71">
        <v>16.167000000000002</v>
      </c>
      <c r="G1334" s="71">
        <v>0</v>
      </c>
      <c r="H1334" s="71">
        <v>16.167000000000002</v>
      </c>
      <c r="I1334" s="71">
        <v>0</v>
      </c>
      <c r="J1334" s="70" t="s">
        <v>571</v>
      </c>
      <c r="K1334" s="70" t="s">
        <v>48</v>
      </c>
      <c r="L1334" s="74">
        <v>46160</v>
      </c>
    </row>
    <row r="1335" spans="1:12" hidden="1" x14ac:dyDescent="0.25">
      <c r="A1335" s="70" t="s">
        <v>898</v>
      </c>
      <c r="B1335" s="70" t="s">
        <v>1277</v>
      </c>
      <c r="C1335" s="70" t="s">
        <v>1278</v>
      </c>
      <c r="D1335" s="70">
        <v>1715</v>
      </c>
      <c r="E1335" s="70">
        <v>6.9200000000000204</v>
      </c>
      <c r="F1335" s="71">
        <v>1.7219997159090901</v>
      </c>
      <c r="G1335" s="71">
        <v>0</v>
      </c>
      <c r="H1335" s="71">
        <v>11.91623803409094</v>
      </c>
      <c r="I1335" s="71">
        <v>0</v>
      </c>
      <c r="J1335" s="70" t="s">
        <v>571</v>
      </c>
      <c r="K1335" s="70" t="s">
        <v>48</v>
      </c>
      <c r="L1335" s="74">
        <v>46160</v>
      </c>
    </row>
    <row r="1336" spans="1:12" hidden="1" x14ac:dyDescent="0.25">
      <c r="A1336" s="70" t="s">
        <v>898</v>
      </c>
      <c r="B1336" s="70" t="s">
        <v>2808</v>
      </c>
      <c r="C1336" s="70" t="s">
        <v>2809</v>
      </c>
      <c r="D1336" s="70">
        <v>1715</v>
      </c>
      <c r="E1336" s="70">
        <v>1</v>
      </c>
      <c r="F1336" s="71">
        <v>1.34</v>
      </c>
      <c r="G1336" s="71">
        <v>0</v>
      </c>
      <c r="H1336" s="71">
        <v>1.34</v>
      </c>
      <c r="I1336" s="71">
        <v>0</v>
      </c>
      <c r="J1336" s="70" t="s">
        <v>571</v>
      </c>
      <c r="K1336" s="70" t="s">
        <v>48</v>
      </c>
      <c r="L1336" s="74">
        <v>46160</v>
      </c>
    </row>
    <row r="1337" spans="1:12" hidden="1" x14ac:dyDescent="0.25">
      <c r="A1337" s="70" t="s">
        <v>898</v>
      </c>
      <c r="B1337" s="70" t="s">
        <v>1361</v>
      </c>
      <c r="C1337" s="70" t="s">
        <v>1362</v>
      </c>
      <c r="D1337" s="70">
        <v>1715</v>
      </c>
      <c r="E1337" s="70">
        <v>9.6913580246905398E-2</v>
      </c>
      <c r="F1337" s="71">
        <v>3.6404218538806301</v>
      </c>
      <c r="G1337" s="71">
        <v>0</v>
      </c>
      <c r="H1337" s="71">
        <v>0.35280631546864849</v>
      </c>
      <c r="I1337" s="71">
        <v>0</v>
      </c>
      <c r="J1337" s="70" t="s">
        <v>571</v>
      </c>
      <c r="K1337" s="70" t="s">
        <v>48</v>
      </c>
      <c r="L1337" s="74">
        <v>46160</v>
      </c>
    </row>
    <row r="1338" spans="1:12" hidden="1" x14ac:dyDescent="0.25">
      <c r="A1338" s="70" t="s">
        <v>898</v>
      </c>
      <c r="B1338" s="70" t="s">
        <v>2810</v>
      </c>
      <c r="C1338" s="70" t="s">
        <v>2811</v>
      </c>
      <c r="D1338" s="70">
        <v>1715</v>
      </c>
      <c r="E1338" s="70">
        <v>2</v>
      </c>
      <c r="F1338" s="71">
        <v>5.7700000000000001E-2</v>
      </c>
      <c r="G1338" s="71">
        <v>0</v>
      </c>
      <c r="H1338" s="71">
        <v>0.1154</v>
      </c>
      <c r="I1338" s="71">
        <v>0</v>
      </c>
      <c r="J1338" s="70" t="s">
        <v>571</v>
      </c>
      <c r="K1338" s="70" t="s">
        <v>48</v>
      </c>
      <c r="L1338" s="74">
        <v>46160</v>
      </c>
    </row>
    <row r="1339" spans="1:12" hidden="1" x14ac:dyDescent="0.25">
      <c r="A1339" s="70" t="s">
        <v>898</v>
      </c>
      <c r="B1339" s="70" t="s">
        <v>1311</v>
      </c>
      <c r="C1339" s="70" t="s">
        <v>1312</v>
      </c>
      <c r="D1339" s="70">
        <v>1715</v>
      </c>
      <c r="E1339" s="70">
        <v>-1</v>
      </c>
      <c r="F1339" s="71">
        <v>0.12005</v>
      </c>
      <c r="G1339" s="71">
        <v>0</v>
      </c>
      <c r="H1339" s="71">
        <v>-0.12005</v>
      </c>
      <c r="I1339" s="71">
        <v>0</v>
      </c>
      <c r="J1339" s="70" t="s">
        <v>571</v>
      </c>
      <c r="K1339" s="70" t="s">
        <v>48</v>
      </c>
      <c r="L1339" s="74">
        <v>46160</v>
      </c>
    </row>
    <row r="1340" spans="1:12" hidden="1" x14ac:dyDescent="0.25">
      <c r="A1340" s="70" t="s">
        <v>898</v>
      </c>
      <c r="B1340" s="70" t="s">
        <v>1217</v>
      </c>
      <c r="C1340" s="70" t="s">
        <v>1218</v>
      </c>
      <c r="D1340" s="70">
        <v>1762</v>
      </c>
      <c r="E1340" s="70">
        <v>1</v>
      </c>
      <c r="F1340" s="71">
        <v>31.683399999999999</v>
      </c>
      <c r="G1340" s="71">
        <v>0</v>
      </c>
      <c r="H1340" s="71">
        <v>31.683399999999999</v>
      </c>
      <c r="I1340" s="71">
        <v>0</v>
      </c>
      <c r="J1340" s="70" t="s">
        <v>585</v>
      </c>
      <c r="K1340" s="70" t="s">
        <v>48</v>
      </c>
      <c r="L1340" s="74">
        <v>46168</v>
      </c>
    </row>
    <row r="1341" spans="1:12" hidden="1" x14ac:dyDescent="0.25">
      <c r="A1341" s="70" t="s">
        <v>877</v>
      </c>
      <c r="B1341" s="70" t="s">
        <v>2812</v>
      </c>
      <c r="C1341" s="70" t="s">
        <v>2813</v>
      </c>
      <c r="D1341" s="70">
        <v>1451</v>
      </c>
      <c r="E1341" s="70">
        <v>-34.753</v>
      </c>
      <c r="F1341" s="71">
        <v>4.3066750731092203</v>
      </c>
      <c r="G1341" s="71">
        <v>0</v>
      </c>
      <c r="H1341" s="71">
        <v>-149.66987881576469</v>
      </c>
      <c r="I1341" s="71">
        <v>0</v>
      </c>
      <c r="J1341" s="70" t="s">
        <v>581</v>
      </c>
      <c r="K1341" s="70" t="s">
        <v>48</v>
      </c>
      <c r="L1341" s="74">
        <v>46164</v>
      </c>
    </row>
    <row r="1342" spans="1:12" hidden="1" x14ac:dyDescent="0.25">
      <c r="A1342" s="70" t="s">
        <v>877</v>
      </c>
      <c r="B1342" s="70" t="s">
        <v>2814</v>
      </c>
      <c r="C1342" s="70" t="s">
        <v>2815</v>
      </c>
      <c r="D1342" s="70">
        <v>1451</v>
      </c>
      <c r="E1342" s="70">
        <v>-13.06</v>
      </c>
      <c r="F1342" s="71">
        <v>6.5675957120980089</v>
      </c>
      <c r="G1342" s="71">
        <v>0</v>
      </c>
      <c r="H1342" s="71">
        <v>-85.772800000000004</v>
      </c>
      <c r="I1342" s="71">
        <v>0</v>
      </c>
      <c r="J1342" s="70" t="s">
        <v>581</v>
      </c>
      <c r="K1342" s="70" t="s">
        <v>48</v>
      </c>
      <c r="L1342" s="74">
        <v>46164</v>
      </c>
    </row>
    <row r="1343" spans="1:12" hidden="1" x14ac:dyDescent="0.25">
      <c r="A1343" s="70" t="s">
        <v>877</v>
      </c>
      <c r="B1343" s="70" t="s">
        <v>2816</v>
      </c>
      <c r="C1343" s="70" t="s">
        <v>2817</v>
      </c>
      <c r="D1343" s="70">
        <v>1451</v>
      </c>
      <c r="E1343" s="70">
        <v>-9.01</v>
      </c>
      <c r="F1343" s="71">
        <v>5.8365815760266377</v>
      </c>
      <c r="G1343" s="71">
        <v>0</v>
      </c>
      <c r="H1343" s="71">
        <v>-52.587600000000002</v>
      </c>
      <c r="I1343" s="71">
        <v>0</v>
      </c>
      <c r="J1343" s="70" t="s">
        <v>581</v>
      </c>
      <c r="K1343" s="70" t="s">
        <v>48</v>
      </c>
      <c r="L1343" s="74">
        <v>46164</v>
      </c>
    </row>
    <row r="1344" spans="1:12" hidden="1" x14ac:dyDescent="0.25">
      <c r="A1344" s="70" t="s">
        <v>877</v>
      </c>
      <c r="B1344" s="70" t="s">
        <v>2818</v>
      </c>
      <c r="C1344" s="70" t="s">
        <v>2819</v>
      </c>
      <c r="D1344" s="70">
        <v>1451</v>
      </c>
      <c r="E1344" s="70">
        <v>-7.2</v>
      </c>
      <c r="F1344" s="71">
        <v>5.0677222222222218</v>
      </c>
      <c r="G1344" s="71">
        <v>0</v>
      </c>
      <c r="H1344" s="71">
        <v>-36.4876</v>
      </c>
      <c r="I1344" s="71">
        <v>0</v>
      </c>
      <c r="J1344" s="70" t="s">
        <v>581</v>
      </c>
      <c r="K1344" s="70" t="s">
        <v>48</v>
      </c>
      <c r="L1344" s="74">
        <v>46164</v>
      </c>
    </row>
    <row r="1345" spans="1:12" hidden="1" x14ac:dyDescent="0.25">
      <c r="A1345" s="70" t="s">
        <v>877</v>
      </c>
      <c r="B1345" s="70" t="s">
        <v>2820</v>
      </c>
      <c r="C1345" s="70" t="s">
        <v>2821</v>
      </c>
      <c r="D1345" s="70">
        <v>1451</v>
      </c>
      <c r="E1345" s="70">
        <v>-8.6999999999999993</v>
      </c>
      <c r="F1345" s="71">
        <v>3.8811264367816092</v>
      </c>
      <c r="G1345" s="71">
        <v>0</v>
      </c>
      <c r="H1345" s="71">
        <v>-33.765799999999999</v>
      </c>
      <c r="I1345" s="71">
        <v>0</v>
      </c>
      <c r="J1345" s="70" t="s">
        <v>581</v>
      </c>
      <c r="K1345" s="70" t="s">
        <v>48</v>
      </c>
      <c r="L1345" s="74">
        <v>46164</v>
      </c>
    </row>
    <row r="1346" spans="1:12" hidden="1" x14ac:dyDescent="0.25">
      <c r="A1346" s="70" t="s">
        <v>877</v>
      </c>
      <c r="B1346" s="70" t="s">
        <v>2822</v>
      </c>
      <c r="C1346" s="70" t="s">
        <v>2823</v>
      </c>
      <c r="D1346" s="70">
        <v>1451</v>
      </c>
      <c r="E1346" s="70">
        <v>-5.7</v>
      </c>
      <c r="F1346" s="71">
        <v>5.8492105263157894</v>
      </c>
      <c r="G1346" s="71">
        <v>0</v>
      </c>
      <c r="H1346" s="71">
        <v>-33.340499999999999</v>
      </c>
      <c r="I1346" s="71">
        <v>0</v>
      </c>
      <c r="J1346" s="70" t="s">
        <v>581</v>
      </c>
      <c r="K1346" s="70" t="s">
        <v>48</v>
      </c>
      <c r="L1346" s="74">
        <v>46164</v>
      </c>
    </row>
    <row r="1347" spans="1:12" hidden="1" x14ac:dyDescent="0.25">
      <c r="A1347" s="70" t="s">
        <v>877</v>
      </c>
      <c r="B1347" s="70" t="s">
        <v>2824</v>
      </c>
      <c r="C1347" s="70" t="s">
        <v>2825</v>
      </c>
      <c r="D1347" s="70">
        <v>1451</v>
      </c>
      <c r="E1347" s="70">
        <v>-1</v>
      </c>
      <c r="F1347" s="71">
        <v>32.06346111111111</v>
      </c>
      <c r="G1347" s="71">
        <v>0</v>
      </c>
      <c r="H1347" s="71">
        <v>-32.06346111111111</v>
      </c>
      <c r="I1347" s="71">
        <v>0</v>
      </c>
      <c r="J1347" s="70" t="s">
        <v>581</v>
      </c>
      <c r="K1347" s="70" t="s">
        <v>48</v>
      </c>
      <c r="L1347" s="74">
        <v>46164</v>
      </c>
    </row>
    <row r="1348" spans="1:12" hidden="1" x14ac:dyDescent="0.25">
      <c r="A1348" s="70" t="s">
        <v>877</v>
      </c>
      <c r="B1348" s="70" t="s">
        <v>2826</v>
      </c>
      <c r="C1348" s="70" t="s">
        <v>2827</v>
      </c>
      <c r="D1348" s="70">
        <v>1451</v>
      </c>
      <c r="E1348" s="70">
        <v>-7.5199999999999818</v>
      </c>
      <c r="F1348" s="71">
        <v>3.907337759691583</v>
      </c>
      <c r="G1348" s="71">
        <v>0</v>
      </c>
      <c r="H1348" s="71">
        <v>-29.383179952880631</v>
      </c>
      <c r="I1348" s="71">
        <v>0</v>
      </c>
      <c r="J1348" s="70" t="s">
        <v>581</v>
      </c>
      <c r="K1348" s="70" t="s">
        <v>48</v>
      </c>
      <c r="L1348" s="74">
        <v>46164</v>
      </c>
    </row>
    <row r="1349" spans="1:12" hidden="1" x14ac:dyDescent="0.25">
      <c r="A1349" s="70" t="s">
        <v>877</v>
      </c>
      <c r="B1349" s="70" t="s">
        <v>2828</v>
      </c>
      <c r="C1349" s="70" t="s">
        <v>2829</v>
      </c>
      <c r="D1349" s="70">
        <v>1451</v>
      </c>
      <c r="E1349" s="70">
        <v>-4</v>
      </c>
      <c r="F1349" s="71">
        <v>4.0364000000000004</v>
      </c>
      <c r="G1349" s="71">
        <v>0</v>
      </c>
      <c r="H1349" s="71">
        <v>-16.145600000000002</v>
      </c>
      <c r="I1349" s="71">
        <v>0</v>
      </c>
      <c r="J1349" s="70" t="s">
        <v>581</v>
      </c>
      <c r="K1349" s="70" t="s">
        <v>48</v>
      </c>
      <c r="L1349" s="74">
        <v>46164</v>
      </c>
    </row>
    <row r="1350" spans="1:12" hidden="1" x14ac:dyDescent="0.25">
      <c r="A1350" s="70" t="s">
        <v>877</v>
      </c>
      <c r="B1350" s="70" t="s">
        <v>2830</v>
      </c>
      <c r="C1350" s="70" t="s">
        <v>2831</v>
      </c>
      <c r="D1350" s="70">
        <v>1451</v>
      </c>
      <c r="E1350" s="70">
        <v>-1</v>
      </c>
      <c r="F1350" s="71">
        <v>11.825799999999999</v>
      </c>
      <c r="G1350" s="71">
        <v>0</v>
      </c>
      <c r="H1350" s="71">
        <v>-11.825799999999999</v>
      </c>
      <c r="I1350" s="71">
        <v>0</v>
      </c>
      <c r="J1350" s="70" t="s">
        <v>581</v>
      </c>
      <c r="K1350" s="70" t="s">
        <v>48</v>
      </c>
      <c r="L1350" s="74">
        <v>46164</v>
      </c>
    </row>
    <row r="1351" spans="1:12" hidden="1" x14ac:dyDescent="0.25">
      <c r="A1351" s="70" t="s">
        <v>877</v>
      </c>
      <c r="B1351" s="70" t="s">
        <v>2832</v>
      </c>
      <c r="C1351" s="70" t="s">
        <v>2833</v>
      </c>
      <c r="D1351" s="70">
        <v>1451</v>
      </c>
      <c r="E1351" s="70">
        <v>-1</v>
      </c>
      <c r="F1351" s="71">
        <v>11.4389</v>
      </c>
      <c r="G1351" s="71">
        <v>0</v>
      </c>
      <c r="H1351" s="71">
        <v>-11.4389</v>
      </c>
      <c r="I1351" s="71">
        <v>0</v>
      </c>
      <c r="J1351" s="70" t="s">
        <v>581</v>
      </c>
      <c r="K1351" s="70" t="s">
        <v>48</v>
      </c>
      <c r="L1351" s="74">
        <v>46164</v>
      </c>
    </row>
    <row r="1352" spans="1:12" hidden="1" x14ac:dyDescent="0.25">
      <c r="A1352" s="70" t="s">
        <v>877</v>
      </c>
      <c r="B1352" s="70" t="s">
        <v>2834</v>
      </c>
      <c r="C1352" s="70" t="s">
        <v>2835</v>
      </c>
      <c r="D1352" s="70">
        <v>1451</v>
      </c>
      <c r="E1352" s="70">
        <v>-0.5</v>
      </c>
      <c r="F1352" s="71">
        <v>11.438800000000001</v>
      </c>
      <c r="G1352" s="71">
        <v>0</v>
      </c>
      <c r="H1352" s="71">
        <v>-5.7194000000000003</v>
      </c>
      <c r="I1352" s="71">
        <v>0</v>
      </c>
      <c r="J1352" s="70" t="s">
        <v>581</v>
      </c>
      <c r="K1352" s="70" t="s">
        <v>48</v>
      </c>
      <c r="L1352" s="74">
        <v>46164</v>
      </c>
    </row>
    <row r="1353" spans="1:12" hidden="1" x14ac:dyDescent="0.25">
      <c r="A1353" s="70" t="s">
        <v>898</v>
      </c>
      <c r="B1353" s="70" t="s">
        <v>2836</v>
      </c>
      <c r="C1353" s="70" t="s">
        <v>2837</v>
      </c>
      <c r="D1353" s="70">
        <v>1451</v>
      </c>
      <c r="E1353" s="70">
        <v>2</v>
      </c>
      <c r="F1353" s="71">
        <v>84.38</v>
      </c>
      <c r="G1353" s="71">
        <v>0</v>
      </c>
      <c r="H1353" s="71">
        <v>168.76</v>
      </c>
      <c r="I1353" s="71">
        <v>0</v>
      </c>
      <c r="J1353" s="70" t="s">
        <v>581</v>
      </c>
      <c r="K1353" s="70" t="s">
        <v>48</v>
      </c>
      <c r="L1353" s="74">
        <v>46164</v>
      </c>
    </row>
    <row r="1354" spans="1:12" hidden="1" x14ac:dyDescent="0.25">
      <c r="A1354" s="70" t="s">
        <v>898</v>
      </c>
      <c r="B1354" s="70" t="s">
        <v>2838</v>
      </c>
      <c r="C1354" s="70" t="s">
        <v>2839</v>
      </c>
      <c r="D1354" s="70">
        <v>1451</v>
      </c>
      <c r="E1354" s="70">
        <v>1</v>
      </c>
      <c r="F1354" s="71">
        <v>33.479700000000001</v>
      </c>
      <c r="G1354" s="71">
        <v>0</v>
      </c>
      <c r="H1354" s="71">
        <v>33.479700000000001</v>
      </c>
      <c r="I1354" s="71">
        <v>0</v>
      </c>
      <c r="J1354" s="70" t="s">
        <v>581</v>
      </c>
      <c r="K1354" s="70" t="s">
        <v>48</v>
      </c>
      <c r="L1354" s="74">
        <v>46164</v>
      </c>
    </row>
    <row r="1355" spans="1:12" hidden="1" x14ac:dyDescent="0.25">
      <c r="A1355" s="70" t="s">
        <v>898</v>
      </c>
      <c r="B1355" s="70" t="s">
        <v>2840</v>
      </c>
      <c r="C1355" s="70" t="s">
        <v>2841</v>
      </c>
      <c r="D1355" s="70">
        <v>1451</v>
      </c>
      <c r="E1355" s="70">
        <v>1</v>
      </c>
      <c r="F1355" s="71">
        <v>22.1858</v>
      </c>
      <c r="G1355" s="71">
        <v>0</v>
      </c>
      <c r="H1355" s="71">
        <v>22.1858</v>
      </c>
      <c r="I1355" s="71">
        <v>0</v>
      </c>
      <c r="J1355" s="70" t="s">
        <v>581</v>
      </c>
      <c r="K1355" s="70" t="s">
        <v>48</v>
      </c>
      <c r="L1355" s="74">
        <v>46164</v>
      </c>
    </row>
    <row r="1356" spans="1:12" hidden="1" x14ac:dyDescent="0.25">
      <c r="A1356" s="70" t="s">
        <v>898</v>
      </c>
      <c r="B1356" s="70" t="s">
        <v>2842</v>
      </c>
      <c r="C1356" s="70" t="s">
        <v>2843</v>
      </c>
      <c r="D1356" s="70">
        <v>1451</v>
      </c>
      <c r="E1356" s="70">
        <v>4.12</v>
      </c>
      <c r="F1356" s="71">
        <v>4.9064077669902906</v>
      </c>
      <c r="G1356" s="71">
        <v>0</v>
      </c>
      <c r="H1356" s="71">
        <v>20.214400000000001</v>
      </c>
      <c r="I1356" s="71">
        <v>0</v>
      </c>
      <c r="J1356" s="70" t="s">
        <v>581</v>
      </c>
      <c r="K1356" s="70" t="s">
        <v>48</v>
      </c>
      <c r="L1356" s="74">
        <v>46164</v>
      </c>
    </row>
    <row r="1357" spans="1:12" hidden="1" x14ac:dyDescent="0.25">
      <c r="A1357" s="70" t="s">
        <v>898</v>
      </c>
      <c r="B1357" s="70" t="s">
        <v>2844</v>
      </c>
      <c r="C1357" s="70" t="s">
        <v>2845</v>
      </c>
      <c r="D1357" s="70">
        <v>1451</v>
      </c>
      <c r="E1357" s="70">
        <v>1</v>
      </c>
      <c r="F1357" s="71">
        <v>4.2458999999999998</v>
      </c>
      <c r="G1357" s="71">
        <v>0</v>
      </c>
      <c r="H1357" s="71">
        <v>4.2458999999999998</v>
      </c>
      <c r="I1357" s="71">
        <v>0</v>
      </c>
      <c r="J1357" s="70" t="s">
        <v>581</v>
      </c>
      <c r="K1357" s="70" t="s">
        <v>48</v>
      </c>
      <c r="L1357" s="74">
        <v>46164</v>
      </c>
    </row>
    <row r="1358" spans="1:12" hidden="1" x14ac:dyDescent="0.25">
      <c r="A1358" s="70" t="s">
        <v>898</v>
      </c>
      <c r="B1358" s="70" t="s">
        <v>2846</v>
      </c>
      <c r="C1358" s="70" t="s">
        <v>2847</v>
      </c>
      <c r="D1358" s="70">
        <v>1451</v>
      </c>
      <c r="E1358" s="70">
        <v>1</v>
      </c>
      <c r="F1358" s="71">
        <v>5.96</v>
      </c>
      <c r="G1358" s="71">
        <v>0</v>
      </c>
      <c r="H1358" s="71">
        <v>5.96</v>
      </c>
      <c r="I1358" s="71">
        <v>0</v>
      </c>
      <c r="J1358" s="70" t="s">
        <v>581</v>
      </c>
      <c r="K1358" s="70" t="s">
        <v>48</v>
      </c>
      <c r="L1358" s="74">
        <v>46164</v>
      </c>
    </row>
    <row r="1359" spans="1:12" hidden="1" x14ac:dyDescent="0.25">
      <c r="A1359" s="70" t="s">
        <v>898</v>
      </c>
      <c r="B1359" s="70" t="s">
        <v>2848</v>
      </c>
      <c r="C1359" s="70" t="s">
        <v>2849</v>
      </c>
      <c r="D1359" s="70">
        <v>1451</v>
      </c>
      <c r="E1359" s="70">
        <v>1</v>
      </c>
      <c r="F1359" s="71">
        <v>3.0505</v>
      </c>
      <c r="G1359" s="71">
        <v>0</v>
      </c>
      <c r="H1359" s="71">
        <v>3.0505</v>
      </c>
      <c r="I1359" s="71">
        <v>0</v>
      </c>
      <c r="J1359" s="70" t="s">
        <v>581</v>
      </c>
      <c r="K1359" s="70" t="s">
        <v>48</v>
      </c>
      <c r="L1359" s="74">
        <v>46164</v>
      </c>
    </row>
    <row r="1360" spans="1:12" hidden="1" x14ac:dyDescent="0.25">
      <c r="A1360" s="70" t="s">
        <v>898</v>
      </c>
      <c r="B1360" s="70" t="s">
        <v>2850</v>
      </c>
      <c r="C1360" s="70" t="s">
        <v>2851</v>
      </c>
      <c r="D1360" s="70">
        <v>1451</v>
      </c>
      <c r="E1360" s="70">
        <v>3</v>
      </c>
      <c r="F1360" s="71">
        <v>1.9767999999999999</v>
      </c>
      <c r="G1360" s="71">
        <v>0</v>
      </c>
      <c r="H1360" s="71">
        <v>5.9303999999999997</v>
      </c>
      <c r="I1360" s="71">
        <v>0</v>
      </c>
      <c r="J1360" s="70" t="s">
        <v>581</v>
      </c>
      <c r="K1360" s="70" t="s">
        <v>48</v>
      </c>
      <c r="L1360" s="74">
        <v>46164</v>
      </c>
    </row>
    <row r="1361" spans="1:12" hidden="1" x14ac:dyDescent="0.25">
      <c r="A1361" s="70" t="s">
        <v>898</v>
      </c>
      <c r="B1361" s="70" t="s">
        <v>2852</v>
      </c>
      <c r="C1361" s="70" t="s">
        <v>2853</v>
      </c>
      <c r="D1361" s="70">
        <v>1451</v>
      </c>
      <c r="E1361" s="70">
        <v>4</v>
      </c>
      <c r="F1361" s="71">
        <v>1.3796999999999999</v>
      </c>
      <c r="G1361" s="71">
        <v>0</v>
      </c>
      <c r="H1361" s="71">
        <v>5.5187999999999997</v>
      </c>
      <c r="I1361" s="71">
        <v>0</v>
      </c>
      <c r="J1361" s="70" t="s">
        <v>581</v>
      </c>
      <c r="K1361" s="70" t="s">
        <v>48</v>
      </c>
      <c r="L1361" s="74">
        <v>46164</v>
      </c>
    </row>
    <row r="1362" spans="1:12" hidden="1" x14ac:dyDescent="0.25">
      <c r="A1362" s="70" t="s">
        <v>898</v>
      </c>
      <c r="B1362" s="70" t="s">
        <v>2854</v>
      </c>
      <c r="C1362" s="70" t="s">
        <v>2855</v>
      </c>
      <c r="D1362" s="70">
        <v>1451</v>
      </c>
      <c r="E1362" s="70">
        <v>0</v>
      </c>
      <c r="F1362" s="71">
        <v>2.4662999999999999</v>
      </c>
      <c r="G1362" s="71">
        <v>0</v>
      </c>
      <c r="H1362" s="71">
        <v>0</v>
      </c>
      <c r="I1362" s="71">
        <v>0</v>
      </c>
      <c r="J1362" s="70" t="s">
        <v>581</v>
      </c>
      <c r="K1362" s="70" t="s">
        <v>48</v>
      </c>
      <c r="L1362" s="74">
        <v>46164</v>
      </c>
    </row>
    <row r="1363" spans="1:12" hidden="1" x14ac:dyDescent="0.25">
      <c r="A1363" s="70" t="s">
        <v>898</v>
      </c>
      <c r="B1363" s="70" t="s">
        <v>2856</v>
      </c>
      <c r="C1363" s="70" t="s">
        <v>2857</v>
      </c>
      <c r="D1363" s="70">
        <v>1451</v>
      </c>
      <c r="E1363" s="70">
        <v>1</v>
      </c>
      <c r="F1363" s="71">
        <v>3.5225</v>
      </c>
      <c r="G1363" s="71">
        <v>0</v>
      </c>
      <c r="H1363" s="71">
        <v>3.5225</v>
      </c>
      <c r="I1363" s="71">
        <v>0</v>
      </c>
      <c r="J1363" s="70" t="s">
        <v>581</v>
      </c>
      <c r="K1363" s="70" t="s">
        <v>48</v>
      </c>
      <c r="L1363" s="74">
        <v>46164</v>
      </c>
    </row>
    <row r="1364" spans="1:12" hidden="1" x14ac:dyDescent="0.25">
      <c r="A1364" s="70" t="s">
        <v>898</v>
      </c>
      <c r="B1364" s="70" t="s">
        <v>2858</v>
      </c>
      <c r="C1364" s="70" t="s">
        <v>2859</v>
      </c>
      <c r="D1364" s="70">
        <v>1451</v>
      </c>
      <c r="E1364" s="70">
        <v>1</v>
      </c>
      <c r="F1364" s="71">
        <v>1.5944</v>
      </c>
      <c r="G1364" s="71">
        <v>0</v>
      </c>
      <c r="H1364" s="71">
        <v>1.5944</v>
      </c>
      <c r="I1364" s="71">
        <v>0</v>
      </c>
      <c r="J1364" s="70" t="s">
        <v>581</v>
      </c>
      <c r="K1364" s="70" t="s">
        <v>48</v>
      </c>
      <c r="L1364" s="74">
        <v>46164</v>
      </c>
    </row>
    <row r="1365" spans="1:12" hidden="1" x14ac:dyDescent="0.25">
      <c r="A1365" s="70" t="s">
        <v>898</v>
      </c>
      <c r="B1365" s="70" t="s">
        <v>2860</v>
      </c>
      <c r="C1365" s="70" t="s">
        <v>2861</v>
      </c>
      <c r="D1365" s="70">
        <v>1451</v>
      </c>
      <c r="E1365" s="70">
        <v>1</v>
      </c>
      <c r="F1365" s="71">
        <v>1.3859999999999999</v>
      </c>
      <c r="G1365" s="71">
        <v>0</v>
      </c>
      <c r="H1365" s="71">
        <v>1.3859999999999999</v>
      </c>
      <c r="I1365" s="71">
        <v>0</v>
      </c>
      <c r="J1365" s="70" t="s">
        <v>581</v>
      </c>
      <c r="K1365" s="70" t="s">
        <v>48</v>
      </c>
      <c r="L1365" s="74">
        <v>46164</v>
      </c>
    </row>
    <row r="1366" spans="1:12" hidden="1" x14ac:dyDescent="0.25">
      <c r="A1366" s="70" t="s">
        <v>898</v>
      </c>
      <c r="B1366" s="70" t="s">
        <v>2862</v>
      </c>
      <c r="C1366" s="70" t="s">
        <v>2863</v>
      </c>
      <c r="D1366" s="70">
        <v>1451</v>
      </c>
      <c r="E1366" s="70">
        <v>1</v>
      </c>
      <c r="F1366" s="71">
        <v>1.2330000000000001</v>
      </c>
      <c r="G1366" s="71">
        <v>0</v>
      </c>
      <c r="H1366" s="71">
        <v>1.2330000000000001</v>
      </c>
      <c r="I1366" s="71">
        <v>0</v>
      </c>
      <c r="J1366" s="70" t="s">
        <v>581</v>
      </c>
      <c r="K1366" s="70" t="s">
        <v>48</v>
      </c>
      <c r="L1366" s="74">
        <v>46164</v>
      </c>
    </row>
    <row r="1367" spans="1:12" hidden="1" x14ac:dyDescent="0.25">
      <c r="A1367" s="70" t="s">
        <v>911</v>
      </c>
      <c r="B1367" s="70" t="s">
        <v>2864</v>
      </c>
      <c r="C1367" s="70" t="s">
        <v>2865</v>
      </c>
      <c r="D1367" s="70">
        <v>1451</v>
      </c>
      <c r="E1367" s="70">
        <v>1</v>
      </c>
      <c r="F1367" s="71">
        <v>147.61199999999999</v>
      </c>
      <c r="G1367" s="71">
        <v>0</v>
      </c>
      <c r="H1367" s="71">
        <v>147.61199999999999</v>
      </c>
      <c r="I1367" s="71">
        <v>0</v>
      </c>
      <c r="J1367" s="70" t="s">
        <v>581</v>
      </c>
      <c r="K1367" s="70" t="s">
        <v>48</v>
      </c>
      <c r="L1367" s="74">
        <v>46164</v>
      </c>
    </row>
    <row r="1368" spans="1:12" hidden="1" x14ac:dyDescent="0.25">
      <c r="A1368" s="70" t="s">
        <v>922</v>
      </c>
      <c r="B1368" s="70" t="s">
        <v>2866</v>
      </c>
      <c r="C1368" s="70" t="s">
        <v>2867</v>
      </c>
      <c r="D1368" s="70">
        <v>1451</v>
      </c>
      <c r="E1368" s="70">
        <v>-1</v>
      </c>
      <c r="F1368" s="71">
        <v>97.299599999999998</v>
      </c>
      <c r="G1368" s="71">
        <v>0</v>
      </c>
      <c r="H1368" s="71">
        <v>-97.299599999999998</v>
      </c>
      <c r="I1368" s="71">
        <v>0</v>
      </c>
      <c r="J1368" s="70" t="s">
        <v>581</v>
      </c>
      <c r="K1368" s="70" t="s">
        <v>48</v>
      </c>
      <c r="L1368" s="74">
        <v>46164</v>
      </c>
    </row>
    <row r="1369" spans="1:12" hidden="1" x14ac:dyDescent="0.25">
      <c r="A1369" s="70" t="s">
        <v>877</v>
      </c>
      <c r="B1369" s="70"/>
      <c r="C1369" s="70"/>
      <c r="D1369" s="70">
        <v>1512</v>
      </c>
      <c r="E1369" s="70">
        <v>-34.753</v>
      </c>
      <c r="F1369" s="71">
        <v>4.3066750731092203</v>
      </c>
      <c r="G1369" s="71"/>
      <c r="H1369" s="71">
        <v>-149.66987881576469</v>
      </c>
      <c r="I1369" s="71"/>
      <c r="J1369" s="70" t="s">
        <v>583</v>
      </c>
      <c r="K1369" s="70" t="s">
        <v>48</v>
      </c>
      <c r="L1369" s="74">
        <v>46167</v>
      </c>
    </row>
    <row r="1370" spans="1:12" hidden="1" x14ac:dyDescent="0.25">
      <c r="A1370" s="70" t="s">
        <v>877</v>
      </c>
      <c r="B1370" s="70"/>
      <c r="C1370" s="70"/>
      <c r="D1370" s="70">
        <v>1512</v>
      </c>
      <c r="E1370" s="70">
        <v>-13.06</v>
      </c>
      <c r="F1370" s="71">
        <v>6.5675957120980089</v>
      </c>
      <c r="G1370" s="71"/>
      <c r="H1370" s="71">
        <v>-85.772800000000004</v>
      </c>
      <c r="I1370" s="71"/>
      <c r="J1370" s="70" t="s">
        <v>583</v>
      </c>
      <c r="K1370" s="70" t="s">
        <v>48</v>
      </c>
      <c r="L1370" s="74">
        <v>46167</v>
      </c>
    </row>
    <row r="1371" spans="1:12" hidden="1" x14ac:dyDescent="0.25">
      <c r="A1371" s="70" t="s">
        <v>877</v>
      </c>
      <c r="B1371" s="70"/>
      <c r="C1371" s="70"/>
      <c r="D1371" s="70">
        <v>1512</v>
      </c>
      <c r="E1371" s="70">
        <v>-9.01</v>
      </c>
      <c r="F1371" s="71">
        <v>5.8365815760266377</v>
      </c>
      <c r="G1371" s="71"/>
      <c r="H1371" s="71">
        <v>-52.587600000000002</v>
      </c>
      <c r="I1371" s="71"/>
      <c r="J1371" s="70" t="s">
        <v>583</v>
      </c>
      <c r="K1371" s="70" t="s">
        <v>48</v>
      </c>
      <c r="L1371" s="74">
        <v>46167</v>
      </c>
    </row>
    <row r="1372" spans="1:12" hidden="1" x14ac:dyDescent="0.25">
      <c r="A1372" s="70" t="s">
        <v>877</v>
      </c>
      <c r="B1372" s="70" t="s">
        <v>2868</v>
      </c>
      <c r="C1372" s="70" t="s">
        <v>2869</v>
      </c>
      <c r="D1372" s="70">
        <v>1512</v>
      </c>
      <c r="E1372" s="70">
        <v>-1</v>
      </c>
      <c r="F1372" s="71">
        <v>116.54859999999999</v>
      </c>
      <c r="G1372" s="71">
        <v>160.25</v>
      </c>
      <c r="H1372" s="71">
        <v>-116.54859999999999</v>
      </c>
      <c r="I1372" s="71">
        <v>-160.25</v>
      </c>
      <c r="J1372" s="70" t="s">
        <v>583</v>
      </c>
      <c r="K1372" s="70" t="s">
        <v>48</v>
      </c>
      <c r="L1372" s="74">
        <v>46167</v>
      </c>
    </row>
    <row r="1373" spans="1:12" hidden="1" x14ac:dyDescent="0.25">
      <c r="A1373" s="70" t="s">
        <v>877</v>
      </c>
      <c r="B1373" s="70" t="s">
        <v>2870</v>
      </c>
      <c r="C1373" s="70" t="s">
        <v>2871</v>
      </c>
      <c r="D1373" s="70">
        <v>1512</v>
      </c>
      <c r="E1373" s="70">
        <v>-1</v>
      </c>
      <c r="F1373" s="71">
        <v>98.38</v>
      </c>
      <c r="G1373" s="71">
        <v>159.82</v>
      </c>
      <c r="H1373" s="71">
        <v>-98.38</v>
      </c>
      <c r="I1373" s="71">
        <v>-159.82</v>
      </c>
      <c r="J1373" s="70" t="s">
        <v>583</v>
      </c>
      <c r="K1373" s="70" t="s">
        <v>48</v>
      </c>
      <c r="L1373" s="74">
        <v>46167</v>
      </c>
    </row>
    <row r="1374" spans="1:12" hidden="1" x14ac:dyDescent="0.25">
      <c r="A1374" s="70" t="s">
        <v>877</v>
      </c>
      <c r="B1374" s="70" t="s">
        <v>2872</v>
      </c>
      <c r="C1374" s="70" t="s">
        <v>2873</v>
      </c>
      <c r="D1374" s="70">
        <v>1512</v>
      </c>
      <c r="E1374" s="70">
        <v>-1</v>
      </c>
      <c r="F1374" s="71">
        <v>80.98</v>
      </c>
      <c r="G1374" s="71">
        <v>75</v>
      </c>
      <c r="H1374" s="71">
        <v>-80.98</v>
      </c>
      <c r="I1374" s="71">
        <v>-75</v>
      </c>
      <c r="J1374" s="70" t="s">
        <v>583</v>
      </c>
      <c r="K1374" s="70" t="s">
        <v>48</v>
      </c>
      <c r="L1374" s="74">
        <v>46167</v>
      </c>
    </row>
    <row r="1375" spans="1:12" hidden="1" x14ac:dyDescent="0.25">
      <c r="A1375" s="70" t="s">
        <v>877</v>
      </c>
      <c r="B1375" s="70" t="s">
        <v>2874</v>
      </c>
      <c r="C1375" s="70" t="s">
        <v>2875</v>
      </c>
      <c r="D1375" s="70">
        <v>1512</v>
      </c>
      <c r="E1375" s="70">
        <v>-1</v>
      </c>
      <c r="F1375" s="71">
        <v>57.33</v>
      </c>
      <c r="G1375" s="71">
        <v>112.62</v>
      </c>
      <c r="H1375" s="71">
        <v>-57.33</v>
      </c>
      <c r="I1375" s="71">
        <v>-112.62</v>
      </c>
      <c r="J1375" s="70" t="s">
        <v>583</v>
      </c>
      <c r="K1375" s="70" t="s">
        <v>48</v>
      </c>
      <c r="L1375" s="74">
        <v>46167</v>
      </c>
    </row>
    <row r="1376" spans="1:12" hidden="1" x14ac:dyDescent="0.25">
      <c r="A1376" s="70" t="s">
        <v>877</v>
      </c>
      <c r="B1376" s="70" t="s">
        <v>2876</v>
      </c>
      <c r="C1376" s="70" t="s">
        <v>2877</v>
      </c>
      <c r="D1376" s="70">
        <v>1512</v>
      </c>
      <c r="E1376" s="70">
        <v>-1</v>
      </c>
      <c r="F1376" s="71">
        <v>29.940899999999999</v>
      </c>
      <c r="G1376" s="71">
        <v>57.72</v>
      </c>
      <c r="H1376" s="71">
        <v>-29.940899999999999</v>
      </c>
      <c r="I1376" s="71">
        <v>-57.72</v>
      </c>
      <c r="J1376" s="70" t="s">
        <v>583</v>
      </c>
      <c r="K1376" s="70" t="s">
        <v>48</v>
      </c>
      <c r="L1376" s="74">
        <v>46167</v>
      </c>
    </row>
    <row r="1377" spans="1:12" hidden="1" x14ac:dyDescent="0.25">
      <c r="A1377" s="70" t="s">
        <v>877</v>
      </c>
      <c r="B1377" s="70" t="s">
        <v>964</v>
      </c>
      <c r="C1377" s="70" t="s">
        <v>965</v>
      </c>
      <c r="D1377" s="70">
        <v>1512</v>
      </c>
      <c r="E1377" s="70">
        <v>-1</v>
      </c>
      <c r="F1377" s="71">
        <v>28.16274285714286</v>
      </c>
      <c r="G1377" s="71">
        <v>46.42</v>
      </c>
      <c r="H1377" s="71">
        <v>-28.16274285714286</v>
      </c>
      <c r="I1377" s="71">
        <v>-46.42</v>
      </c>
      <c r="J1377" s="70" t="s">
        <v>583</v>
      </c>
      <c r="K1377" s="70" t="s">
        <v>48</v>
      </c>
      <c r="L1377" s="74">
        <v>46167</v>
      </c>
    </row>
    <row r="1378" spans="1:12" hidden="1" x14ac:dyDescent="0.25">
      <c r="A1378" s="70" t="s">
        <v>877</v>
      </c>
      <c r="B1378" s="70" t="s">
        <v>2878</v>
      </c>
      <c r="C1378" s="70" t="s">
        <v>2879</v>
      </c>
      <c r="D1378" s="70">
        <v>1512</v>
      </c>
      <c r="E1378" s="70">
        <v>-1</v>
      </c>
      <c r="F1378" s="71">
        <v>27.908999999999999</v>
      </c>
      <c r="G1378" s="71">
        <v>72.62</v>
      </c>
      <c r="H1378" s="71">
        <v>-27.908999999999999</v>
      </c>
      <c r="I1378" s="71">
        <v>-72.62</v>
      </c>
      <c r="J1378" s="70" t="s">
        <v>583</v>
      </c>
      <c r="K1378" s="70" t="s">
        <v>48</v>
      </c>
      <c r="L1378" s="74">
        <v>46167</v>
      </c>
    </row>
    <row r="1379" spans="1:12" hidden="1" x14ac:dyDescent="0.25">
      <c r="A1379" s="70" t="s">
        <v>877</v>
      </c>
      <c r="B1379" s="70" t="s">
        <v>689</v>
      </c>
      <c r="C1379" s="70" t="s">
        <v>2880</v>
      </c>
      <c r="D1379" s="70">
        <v>1512</v>
      </c>
      <c r="E1379" s="70">
        <v>-1</v>
      </c>
      <c r="F1379" s="71">
        <v>26.475774999999999</v>
      </c>
      <c r="G1379" s="71">
        <v>46.42</v>
      </c>
      <c r="H1379" s="71">
        <v>-26.475774999999999</v>
      </c>
      <c r="I1379" s="71">
        <v>-46.42</v>
      </c>
      <c r="J1379" s="70" t="s">
        <v>583</v>
      </c>
      <c r="K1379" s="70" t="s">
        <v>48</v>
      </c>
      <c r="L1379" s="74">
        <v>46167</v>
      </c>
    </row>
    <row r="1380" spans="1:12" hidden="1" x14ac:dyDescent="0.25">
      <c r="A1380" s="70" t="s">
        <v>877</v>
      </c>
      <c r="B1380" s="70" t="s">
        <v>1631</v>
      </c>
      <c r="C1380" s="70" t="s">
        <v>1632</v>
      </c>
      <c r="D1380" s="70">
        <v>1512</v>
      </c>
      <c r="E1380" s="70">
        <v>-2</v>
      </c>
      <c r="F1380" s="71">
        <v>13.2041</v>
      </c>
      <c r="G1380" s="71">
        <v>20.39</v>
      </c>
      <c r="H1380" s="71">
        <v>-26.408200000000001</v>
      </c>
      <c r="I1380" s="71">
        <v>-40.78</v>
      </c>
      <c r="J1380" s="70" t="s">
        <v>583</v>
      </c>
      <c r="K1380" s="70" t="s">
        <v>48</v>
      </c>
      <c r="L1380" s="74">
        <v>46167</v>
      </c>
    </row>
    <row r="1381" spans="1:12" hidden="1" x14ac:dyDescent="0.25">
      <c r="A1381" s="70" t="s">
        <v>877</v>
      </c>
      <c r="B1381" s="70" t="s">
        <v>681</v>
      </c>
      <c r="C1381" s="70" t="s">
        <v>2127</v>
      </c>
      <c r="D1381" s="70">
        <v>1512</v>
      </c>
      <c r="E1381" s="70">
        <v>-2</v>
      </c>
      <c r="F1381" s="71">
        <v>10.325100000000001</v>
      </c>
      <c r="G1381" s="71">
        <v>21.06</v>
      </c>
      <c r="H1381" s="71">
        <v>-20.650200000000002</v>
      </c>
      <c r="I1381" s="71">
        <v>-42.12</v>
      </c>
      <c r="J1381" s="70" t="s">
        <v>583</v>
      </c>
      <c r="K1381" s="70" t="s">
        <v>48</v>
      </c>
      <c r="L1381" s="74">
        <v>46167</v>
      </c>
    </row>
    <row r="1382" spans="1:12" hidden="1" x14ac:dyDescent="0.25">
      <c r="A1382" s="70" t="s">
        <v>877</v>
      </c>
      <c r="B1382" s="70" t="s">
        <v>2881</v>
      </c>
      <c r="C1382" s="70" t="s">
        <v>2882</v>
      </c>
      <c r="D1382" s="70">
        <v>1512</v>
      </c>
      <c r="E1382" s="70">
        <v>-1</v>
      </c>
      <c r="F1382" s="71">
        <v>15.5448</v>
      </c>
      <c r="G1382" s="71">
        <v>24.67</v>
      </c>
      <c r="H1382" s="71">
        <v>-15.5448</v>
      </c>
      <c r="I1382" s="71">
        <v>-24.67</v>
      </c>
      <c r="J1382" s="70" t="s">
        <v>583</v>
      </c>
      <c r="K1382" s="70" t="s">
        <v>48</v>
      </c>
      <c r="L1382" s="74">
        <v>46167</v>
      </c>
    </row>
    <row r="1383" spans="1:12" hidden="1" x14ac:dyDescent="0.25">
      <c r="A1383" s="70" t="s">
        <v>877</v>
      </c>
      <c r="B1383" s="70" t="s">
        <v>711</v>
      </c>
      <c r="C1383" s="70" t="s">
        <v>712</v>
      </c>
      <c r="D1383" s="70">
        <v>1512</v>
      </c>
      <c r="E1383" s="70">
        <v>-4</v>
      </c>
      <c r="F1383" s="71">
        <v>3.1574399999999998</v>
      </c>
      <c r="G1383" s="71">
        <v>5.77</v>
      </c>
      <c r="H1383" s="71">
        <v>-12.629759999999999</v>
      </c>
      <c r="I1383" s="71">
        <v>-23.08</v>
      </c>
      <c r="J1383" s="70" t="s">
        <v>583</v>
      </c>
      <c r="K1383" s="70" t="s">
        <v>48</v>
      </c>
      <c r="L1383" s="74">
        <v>46167</v>
      </c>
    </row>
    <row r="1384" spans="1:12" hidden="1" x14ac:dyDescent="0.25">
      <c r="A1384" s="70" t="s">
        <v>877</v>
      </c>
      <c r="B1384" s="70" t="s">
        <v>735</v>
      </c>
      <c r="C1384" s="70" t="s">
        <v>736</v>
      </c>
      <c r="D1384" s="70">
        <v>1512</v>
      </c>
      <c r="E1384" s="70">
        <v>-7</v>
      </c>
      <c r="F1384" s="71">
        <v>1.669784615384615</v>
      </c>
      <c r="G1384" s="71">
        <v>2.96</v>
      </c>
      <c r="H1384" s="71">
        <v>-11.688492307692311</v>
      </c>
      <c r="I1384" s="71">
        <v>-20.72</v>
      </c>
      <c r="J1384" s="70" t="s">
        <v>583</v>
      </c>
      <c r="K1384" s="70" t="s">
        <v>48</v>
      </c>
      <c r="L1384" s="74">
        <v>46167</v>
      </c>
    </row>
    <row r="1385" spans="1:12" hidden="1" x14ac:dyDescent="0.25">
      <c r="A1385" s="70" t="s">
        <v>877</v>
      </c>
      <c r="B1385" s="70" t="s">
        <v>2883</v>
      </c>
      <c r="C1385" s="70" t="s">
        <v>2884</v>
      </c>
      <c r="D1385" s="70">
        <v>1512</v>
      </c>
      <c r="E1385" s="70">
        <v>-1</v>
      </c>
      <c r="F1385" s="71">
        <v>10.88323333333333</v>
      </c>
      <c r="G1385" s="71">
        <v>19.489999999999998</v>
      </c>
      <c r="H1385" s="71">
        <v>-10.88323333333333</v>
      </c>
      <c r="I1385" s="71">
        <v>-19.489999999999998</v>
      </c>
      <c r="J1385" s="70" t="s">
        <v>583</v>
      </c>
      <c r="K1385" s="70" t="s">
        <v>48</v>
      </c>
      <c r="L1385" s="74">
        <v>46167</v>
      </c>
    </row>
    <row r="1386" spans="1:12" hidden="1" x14ac:dyDescent="0.25">
      <c r="A1386" s="70" t="s">
        <v>877</v>
      </c>
      <c r="B1386" s="70" t="s">
        <v>2556</v>
      </c>
      <c r="C1386" s="70" t="s">
        <v>2557</v>
      </c>
      <c r="D1386" s="70">
        <v>1512</v>
      </c>
      <c r="E1386" s="70">
        <v>-1</v>
      </c>
      <c r="F1386" s="71">
        <v>10.6386</v>
      </c>
      <c r="G1386" s="71">
        <v>32.86</v>
      </c>
      <c r="H1386" s="71">
        <v>-10.6386</v>
      </c>
      <c r="I1386" s="71">
        <v>-32.86</v>
      </c>
      <c r="J1386" s="70" t="s">
        <v>583</v>
      </c>
      <c r="K1386" s="70" t="s">
        <v>48</v>
      </c>
      <c r="L1386" s="74">
        <v>46167</v>
      </c>
    </row>
    <row r="1387" spans="1:12" hidden="1" x14ac:dyDescent="0.25">
      <c r="A1387" s="70" t="s">
        <v>877</v>
      </c>
      <c r="B1387" s="70" t="s">
        <v>812</v>
      </c>
      <c r="C1387" s="70" t="s">
        <v>813</v>
      </c>
      <c r="D1387" s="70">
        <v>1512</v>
      </c>
      <c r="E1387" s="70">
        <v>-6</v>
      </c>
      <c r="F1387" s="71">
        <v>1.632425</v>
      </c>
      <c r="G1387" s="71">
        <v>2.96</v>
      </c>
      <c r="H1387" s="71">
        <v>-9.794550000000001</v>
      </c>
      <c r="I1387" s="71">
        <v>-17.760000000000002</v>
      </c>
      <c r="J1387" s="70" t="s">
        <v>583</v>
      </c>
      <c r="K1387" s="70" t="s">
        <v>48</v>
      </c>
      <c r="L1387" s="74">
        <v>46167</v>
      </c>
    </row>
    <row r="1388" spans="1:12" hidden="1" x14ac:dyDescent="0.25">
      <c r="A1388" s="70" t="s">
        <v>877</v>
      </c>
      <c r="B1388" s="70" t="s">
        <v>2488</v>
      </c>
      <c r="C1388" s="70" t="s">
        <v>2489</v>
      </c>
      <c r="D1388" s="70">
        <v>1512</v>
      </c>
      <c r="E1388" s="70">
        <v>-2</v>
      </c>
      <c r="F1388" s="71">
        <v>4.2402350000000002</v>
      </c>
      <c r="G1388" s="71">
        <v>6.59</v>
      </c>
      <c r="H1388" s="71">
        <v>-8.4804700000000004</v>
      </c>
      <c r="I1388" s="71">
        <v>-13.18</v>
      </c>
      <c r="J1388" s="70" t="s">
        <v>583</v>
      </c>
      <c r="K1388" s="70" t="s">
        <v>48</v>
      </c>
      <c r="L1388" s="74">
        <v>46167</v>
      </c>
    </row>
    <row r="1389" spans="1:12" hidden="1" x14ac:dyDescent="0.25">
      <c r="A1389" s="70" t="s">
        <v>877</v>
      </c>
      <c r="B1389" s="70" t="s">
        <v>2885</v>
      </c>
      <c r="C1389" s="70" t="s">
        <v>2886</v>
      </c>
      <c r="D1389" s="70">
        <v>1512</v>
      </c>
      <c r="E1389" s="70">
        <v>-1</v>
      </c>
      <c r="F1389" s="71">
        <v>8.1088000000000005</v>
      </c>
      <c r="G1389" s="71">
        <v>19.32</v>
      </c>
      <c r="H1389" s="71">
        <v>-8.1088000000000005</v>
      </c>
      <c r="I1389" s="71">
        <v>-19.32</v>
      </c>
      <c r="J1389" s="70" t="s">
        <v>583</v>
      </c>
      <c r="K1389" s="70" t="s">
        <v>48</v>
      </c>
      <c r="L1389" s="74">
        <v>46167</v>
      </c>
    </row>
    <row r="1390" spans="1:12" hidden="1" x14ac:dyDescent="0.25">
      <c r="A1390" s="70" t="s">
        <v>877</v>
      </c>
      <c r="B1390" s="70" t="s">
        <v>731</v>
      </c>
      <c r="C1390" s="70" t="s">
        <v>732</v>
      </c>
      <c r="D1390" s="70">
        <v>1512</v>
      </c>
      <c r="E1390" s="70">
        <v>-2</v>
      </c>
      <c r="F1390" s="71">
        <v>4.0500750000000014</v>
      </c>
      <c r="G1390" s="71">
        <v>6.29</v>
      </c>
      <c r="H1390" s="71">
        <v>-8.1001500000000011</v>
      </c>
      <c r="I1390" s="71">
        <v>-12.58</v>
      </c>
      <c r="J1390" s="70" t="s">
        <v>583</v>
      </c>
      <c r="K1390" s="70" t="s">
        <v>48</v>
      </c>
      <c r="L1390" s="74">
        <v>46167</v>
      </c>
    </row>
    <row r="1391" spans="1:12" hidden="1" x14ac:dyDescent="0.25">
      <c r="A1391" s="70" t="s">
        <v>877</v>
      </c>
      <c r="B1391" s="70" t="s">
        <v>2486</v>
      </c>
      <c r="C1391" s="70" t="s">
        <v>2487</v>
      </c>
      <c r="D1391" s="70">
        <v>1512</v>
      </c>
      <c r="E1391" s="70">
        <v>-2</v>
      </c>
      <c r="F1391" s="71">
        <v>3.9</v>
      </c>
      <c r="G1391" s="71">
        <v>6.41</v>
      </c>
      <c r="H1391" s="71">
        <v>-7.8000000000000007</v>
      </c>
      <c r="I1391" s="71">
        <v>-12.82</v>
      </c>
      <c r="J1391" s="70" t="s">
        <v>583</v>
      </c>
      <c r="K1391" s="70" t="s">
        <v>48</v>
      </c>
      <c r="L1391" s="74">
        <v>46167</v>
      </c>
    </row>
    <row r="1392" spans="1:12" hidden="1" x14ac:dyDescent="0.25">
      <c r="A1392" s="70" t="s">
        <v>877</v>
      </c>
      <c r="B1392" s="70" t="s">
        <v>733</v>
      </c>
      <c r="C1392" s="70" t="s">
        <v>734</v>
      </c>
      <c r="D1392" s="70">
        <v>1512</v>
      </c>
      <c r="E1392" s="70">
        <v>-4</v>
      </c>
      <c r="F1392" s="71">
        <v>1.8004500000000001</v>
      </c>
      <c r="G1392" s="71">
        <v>2.96</v>
      </c>
      <c r="H1392" s="71">
        <v>-7.2018000000000004</v>
      </c>
      <c r="I1392" s="71">
        <v>-11.84</v>
      </c>
      <c r="J1392" s="70" t="s">
        <v>583</v>
      </c>
      <c r="K1392" s="70" t="s">
        <v>48</v>
      </c>
      <c r="L1392" s="74">
        <v>46167</v>
      </c>
    </row>
    <row r="1393" spans="1:12" hidden="1" x14ac:dyDescent="0.25">
      <c r="A1393" s="70" t="s">
        <v>877</v>
      </c>
      <c r="B1393" s="70" t="s">
        <v>2887</v>
      </c>
      <c r="C1393" s="70" t="s">
        <v>2888</v>
      </c>
      <c r="D1393" s="70">
        <v>1512</v>
      </c>
      <c r="E1393" s="70">
        <v>-1</v>
      </c>
      <c r="F1393" s="71">
        <v>7.0949999999999998</v>
      </c>
      <c r="G1393" s="71">
        <v>11.18</v>
      </c>
      <c r="H1393" s="71">
        <v>-7.0949999999999998</v>
      </c>
      <c r="I1393" s="71">
        <v>-11.18</v>
      </c>
      <c r="J1393" s="70" t="s">
        <v>583</v>
      </c>
      <c r="K1393" s="70" t="s">
        <v>48</v>
      </c>
      <c r="L1393" s="74">
        <v>46167</v>
      </c>
    </row>
    <row r="1394" spans="1:12" hidden="1" x14ac:dyDescent="0.25">
      <c r="A1394" s="70" t="s">
        <v>877</v>
      </c>
      <c r="B1394" s="70" t="s">
        <v>794</v>
      </c>
      <c r="C1394" s="70" t="s">
        <v>795</v>
      </c>
      <c r="D1394" s="70">
        <v>1512</v>
      </c>
      <c r="E1394" s="70">
        <v>-3</v>
      </c>
      <c r="F1394" s="71">
        <v>2.0257323529411759</v>
      </c>
      <c r="G1394" s="71">
        <v>3.78</v>
      </c>
      <c r="H1394" s="71">
        <v>-6.0771970588235291</v>
      </c>
      <c r="I1394" s="71">
        <v>-11.34</v>
      </c>
      <c r="J1394" s="70" t="s">
        <v>583</v>
      </c>
      <c r="K1394" s="70" t="s">
        <v>48</v>
      </c>
      <c r="L1394" s="74">
        <v>46167</v>
      </c>
    </row>
    <row r="1395" spans="1:12" hidden="1" x14ac:dyDescent="0.25">
      <c r="A1395" s="70" t="s">
        <v>877</v>
      </c>
      <c r="B1395" s="70" t="s">
        <v>878</v>
      </c>
      <c r="C1395" s="70" t="s">
        <v>879</v>
      </c>
      <c r="D1395" s="70">
        <v>1512</v>
      </c>
      <c r="E1395" s="70">
        <v>-1</v>
      </c>
      <c r="F1395" s="71">
        <v>4.5731999999999999</v>
      </c>
      <c r="G1395" s="71">
        <v>6.7</v>
      </c>
      <c r="H1395" s="71">
        <v>-4.5731999999999999</v>
      </c>
      <c r="I1395" s="71">
        <v>-6.7</v>
      </c>
      <c r="J1395" s="70" t="s">
        <v>583</v>
      </c>
      <c r="K1395" s="70" t="s">
        <v>48</v>
      </c>
      <c r="L1395" s="74">
        <v>46167</v>
      </c>
    </row>
    <row r="1396" spans="1:12" hidden="1" x14ac:dyDescent="0.25">
      <c r="A1396" s="70" t="s">
        <v>877</v>
      </c>
      <c r="B1396" s="70" t="s">
        <v>2271</v>
      </c>
      <c r="C1396" s="70" t="s">
        <v>2272</v>
      </c>
      <c r="D1396" s="70">
        <v>1512</v>
      </c>
      <c r="E1396" s="70">
        <v>-2</v>
      </c>
      <c r="F1396" s="71">
        <v>2.1930000000000001</v>
      </c>
      <c r="G1396" s="71">
        <v>3.53</v>
      </c>
      <c r="H1396" s="71">
        <v>-4.3860000000000001</v>
      </c>
      <c r="I1396" s="71">
        <v>-7.06</v>
      </c>
      <c r="J1396" s="70" t="s">
        <v>583</v>
      </c>
      <c r="K1396" s="70" t="s">
        <v>48</v>
      </c>
      <c r="L1396" s="74">
        <v>46167</v>
      </c>
    </row>
    <row r="1397" spans="1:12" hidden="1" x14ac:dyDescent="0.25">
      <c r="A1397" s="70" t="s">
        <v>898</v>
      </c>
      <c r="B1397" s="70" t="s">
        <v>2889</v>
      </c>
      <c r="C1397" s="70" t="s">
        <v>2890</v>
      </c>
      <c r="D1397" s="70">
        <v>1512</v>
      </c>
      <c r="E1397" s="70">
        <v>1</v>
      </c>
      <c r="F1397" s="71">
        <v>138.791</v>
      </c>
      <c r="G1397" s="71">
        <v>188.72</v>
      </c>
      <c r="H1397" s="71">
        <v>138.791</v>
      </c>
      <c r="I1397" s="71">
        <v>188.72</v>
      </c>
      <c r="J1397" s="70" t="s">
        <v>583</v>
      </c>
      <c r="K1397" s="70" t="s">
        <v>48</v>
      </c>
      <c r="L1397" s="74">
        <v>46167</v>
      </c>
    </row>
    <row r="1398" spans="1:12" hidden="1" x14ac:dyDescent="0.25">
      <c r="A1398" s="70" t="s">
        <v>898</v>
      </c>
      <c r="B1398" s="70" t="s">
        <v>2891</v>
      </c>
      <c r="C1398" s="70" t="s">
        <v>2892</v>
      </c>
      <c r="D1398" s="70">
        <v>1512</v>
      </c>
      <c r="E1398" s="70">
        <v>1</v>
      </c>
      <c r="F1398" s="71">
        <v>76.493200000000002</v>
      </c>
      <c r="G1398" s="71">
        <v>112</v>
      </c>
      <c r="H1398" s="71">
        <v>76.493200000000002</v>
      </c>
      <c r="I1398" s="71">
        <v>112</v>
      </c>
      <c r="J1398" s="70" t="s">
        <v>583</v>
      </c>
      <c r="K1398" s="70" t="s">
        <v>48</v>
      </c>
      <c r="L1398" s="74">
        <v>46167</v>
      </c>
    </row>
    <row r="1399" spans="1:12" hidden="1" x14ac:dyDescent="0.25">
      <c r="A1399" s="70" t="s">
        <v>898</v>
      </c>
      <c r="B1399" s="70" t="s">
        <v>2893</v>
      </c>
      <c r="C1399" s="70" t="s">
        <v>2894</v>
      </c>
      <c r="D1399" s="70">
        <v>1512</v>
      </c>
      <c r="E1399" s="70">
        <v>1</v>
      </c>
      <c r="F1399" s="71">
        <v>34.732799999999997</v>
      </c>
      <c r="G1399" s="71">
        <v>50.6</v>
      </c>
      <c r="H1399" s="71">
        <v>34.732799999999997</v>
      </c>
      <c r="I1399" s="71">
        <v>50.6</v>
      </c>
      <c r="J1399" s="70" t="s">
        <v>583</v>
      </c>
      <c r="K1399" s="70" t="s">
        <v>48</v>
      </c>
      <c r="L1399" s="74">
        <v>46167</v>
      </c>
    </row>
    <row r="1400" spans="1:12" hidden="1" x14ac:dyDescent="0.25">
      <c r="A1400" s="70" t="s">
        <v>898</v>
      </c>
      <c r="B1400" s="70" t="s">
        <v>2077</v>
      </c>
      <c r="C1400" s="70" t="s">
        <v>2078</v>
      </c>
      <c r="D1400" s="70">
        <v>1512</v>
      </c>
      <c r="E1400" s="70">
        <v>1</v>
      </c>
      <c r="F1400" s="71">
        <v>26.707799999999999</v>
      </c>
      <c r="G1400" s="71">
        <v>40.96</v>
      </c>
      <c r="H1400" s="71">
        <v>26.707799999999999</v>
      </c>
      <c r="I1400" s="71">
        <v>40.96</v>
      </c>
      <c r="J1400" s="70" t="s">
        <v>583</v>
      </c>
      <c r="K1400" s="70" t="s">
        <v>48</v>
      </c>
      <c r="L1400" s="74">
        <v>46167</v>
      </c>
    </row>
    <row r="1401" spans="1:12" hidden="1" x14ac:dyDescent="0.25">
      <c r="A1401" s="70" t="s">
        <v>898</v>
      </c>
      <c r="B1401" s="70" t="s">
        <v>2895</v>
      </c>
      <c r="C1401" s="70" t="s">
        <v>2896</v>
      </c>
      <c r="D1401" s="70">
        <v>1512</v>
      </c>
      <c r="E1401" s="70">
        <v>2</v>
      </c>
      <c r="F1401" s="71">
        <v>8.94</v>
      </c>
      <c r="G1401" s="71">
        <v>12.83</v>
      </c>
      <c r="H1401" s="71">
        <v>17.88</v>
      </c>
      <c r="I1401" s="71">
        <v>25.66</v>
      </c>
      <c r="J1401" s="70" t="s">
        <v>583</v>
      </c>
      <c r="K1401" s="70" t="s">
        <v>48</v>
      </c>
      <c r="L1401" s="74">
        <v>46167</v>
      </c>
    </row>
    <row r="1402" spans="1:12" hidden="1" x14ac:dyDescent="0.25">
      <c r="A1402" s="70" t="s">
        <v>898</v>
      </c>
      <c r="B1402" s="70" t="s">
        <v>2231</v>
      </c>
      <c r="C1402" s="70" t="s">
        <v>2232</v>
      </c>
      <c r="D1402" s="70">
        <v>1512</v>
      </c>
      <c r="E1402" s="70">
        <v>1</v>
      </c>
      <c r="F1402" s="71">
        <v>17.5</v>
      </c>
      <c r="G1402" s="71">
        <v>28.75</v>
      </c>
      <c r="H1402" s="71">
        <v>17.5</v>
      </c>
      <c r="I1402" s="71">
        <v>28.75</v>
      </c>
      <c r="J1402" s="70" t="s">
        <v>583</v>
      </c>
      <c r="K1402" s="70" t="s">
        <v>48</v>
      </c>
      <c r="L1402" s="74">
        <v>46167</v>
      </c>
    </row>
    <row r="1403" spans="1:12" hidden="1" x14ac:dyDescent="0.25">
      <c r="A1403" s="70" t="s">
        <v>898</v>
      </c>
      <c r="B1403" s="70" t="s">
        <v>2303</v>
      </c>
      <c r="C1403" s="70" t="s">
        <v>2304</v>
      </c>
      <c r="D1403" s="70">
        <v>1512</v>
      </c>
      <c r="E1403" s="70">
        <v>1</v>
      </c>
      <c r="F1403" s="71">
        <v>13.9421</v>
      </c>
      <c r="G1403" s="71">
        <v>33.659999999999997</v>
      </c>
      <c r="H1403" s="71">
        <v>13.9421</v>
      </c>
      <c r="I1403" s="71">
        <v>33.659999999999997</v>
      </c>
      <c r="J1403" s="70" t="s">
        <v>583</v>
      </c>
      <c r="K1403" s="70" t="s">
        <v>48</v>
      </c>
      <c r="L1403" s="74">
        <v>46167</v>
      </c>
    </row>
    <row r="1404" spans="1:12" hidden="1" x14ac:dyDescent="0.25">
      <c r="A1404" s="70" t="s">
        <v>898</v>
      </c>
      <c r="B1404" s="70" t="s">
        <v>2897</v>
      </c>
      <c r="C1404" s="70" t="s">
        <v>2898</v>
      </c>
      <c r="D1404" s="70">
        <v>1512</v>
      </c>
      <c r="E1404" s="70">
        <v>1</v>
      </c>
      <c r="F1404" s="71">
        <v>6.1394000000000002</v>
      </c>
      <c r="G1404" s="71">
        <v>14.46</v>
      </c>
      <c r="H1404" s="71">
        <v>6.1394000000000002</v>
      </c>
      <c r="I1404" s="71">
        <v>14.46</v>
      </c>
      <c r="J1404" s="70" t="s">
        <v>583</v>
      </c>
      <c r="K1404" s="70" t="s">
        <v>48</v>
      </c>
      <c r="L1404" s="74">
        <v>46167</v>
      </c>
    </row>
    <row r="1405" spans="1:12" hidden="1" x14ac:dyDescent="0.25">
      <c r="A1405" s="70" t="s">
        <v>898</v>
      </c>
      <c r="B1405" s="70" t="s">
        <v>2899</v>
      </c>
      <c r="C1405" s="70" t="s">
        <v>2900</v>
      </c>
      <c r="D1405" s="70">
        <v>1512</v>
      </c>
      <c r="E1405" s="70">
        <v>1</v>
      </c>
      <c r="F1405" s="71">
        <v>4.9146999999999998</v>
      </c>
      <c r="G1405" s="71">
        <v>8.44</v>
      </c>
      <c r="H1405" s="71">
        <v>4.9146999999999998</v>
      </c>
      <c r="I1405" s="71">
        <v>8.44</v>
      </c>
      <c r="J1405" s="70" t="s">
        <v>583</v>
      </c>
      <c r="K1405" s="70" t="s">
        <v>48</v>
      </c>
      <c r="L1405" s="74">
        <v>46167</v>
      </c>
    </row>
    <row r="1406" spans="1:12" hidden="1" x14ac:dyDescent="0.25">
      <c r="A1406" s="70" t="s">
        <v>898</v>
      </c>
      <c r="B1406" s="70" t="s">
        <v>986</v>
      </c>
      <c r="C1406" s="70" t="s">
        <v>987</v>
      </c>
      <c r="D1406" s="70">
        <v>1512</v>
      </c>
      <c r="E1406" s="70">
        <v>1</v>
      </c>
      <c r="F1406" s="71">
        <v>4.7413999999999996</v>
      </c>
      <c r="G1406" s="71">
        <v>13.76</v>
      </c>
      <c r="H1406" s="71">
        <v>4.7413999999999996</v>
      </c>
      <c r="I1406" s="71">
        <v>13.76</v>
      </c>
      <c r="J1406" s="70" t="s">
        <v>583</v>
      </c>
      <c r="K1406" s="70" t="s">
        <v>48</v>
      </c>
      <c r="L1406" s="74">
        <v>46167</v>
      </c>
    </row>
    <row r="1407" spans="1:12" hidden="1" x14ac:dyDescent="0.25">
      <c r="A1407" s="70" t="s">
        <v>898</v>
      </c>
      <c r="B1407" s="70" t="s">
        <v>808</v>
      </c>
      <c r="C1407" s="70" t="s">
        <v>809</v>
      </c>
      <c r="D1407" s="70">
        <v>1512</v>
      </c>
      <c r="E1407" s="70">
        <v>1</v>
      </c>
      <c r="F1407" s="71">
        <v>2.09</v>
      </c>
      <c r="G1407" s="71">
        <v>4.9400000000000004</v>
      </c>
      <c r="H1407" s="71">
        <v>2.09</v>
      </c>
      <c r="I1407" s="71">
        <v>4.9400000000000004</v>
      </c>
      <c r="J1407" s="70" t="s">
        <v>583</v>
      </c>
      <c r="K1407" s="70" t="s">
        <v>48</v>
      </c>
      <c r="L1407" s="74">
        <v>46167</v>
      </c>
    </row>
    <row r="1408" spans="1:12" hidden="1" x14ac:dyDescent="0.25">
      <c r="A1408" s="70" t="s">
        <v>911</v>
      </c>
      <c r="B1408" s="70" t="s">
        <v>2901</v>
      </c>
      <c r="C1408" s="70" t="s">
        <v>2902</v>
      </c>
      <c r="D1408" s="70">
        <v>1512</v>
      </c>
      <c r="E1408" s="70">
        <v>1</v>
      </c>
      <c r="F1408" s="71">
        <v>1216.2252000000001</v>
      </c>
      <c r="G1408" s="71">
        <v>1586.66</v>
      </c>
      <c r="H1408" s="71">
        <v>1216.2252000000001</v>
      </c>
      <c r="I1408" s="71">
        <v>1586.66</v>
      </c>
      <c r="J1408" s="70" t="s">
        <v>583</v>
      </c>
      <c r="K1408" s="70" t="s">
        <v>48</v>
      </c>
      <c r="L1408" s="74">
        <v>46167</v>
      </c>
    </row>
    <row r="1409" spans="1:12" hidden="1" x14ac:dyDescent="0.25">
      <c r="A1409" s="70" t="s">
        <v>911</v>
      </c>
      <c r="B1409" s="70" t="s">
        <v>2903</v>
      </c>
      <c r="C1409" s="70" t="s">
        <v>2904</v>
      </c>
      <c r="D1409" s="70">
        <v>1512</v>
      </c>
      <c r="E1409" s="70">
        <v>1</v>
      </c>
      <c r="F1409" s="71">
        <v>47.724800000000002</v>
      </c>
      <c r="G1409" s="71">
        <v>115.12</v>
      </c>
      <c r="H1409" s="71">
        <v>47.724800000000002</v>
      </c>
      <c r="I1409" s="71">
        <v>115.12</v>
      </c>
      <c r="J1409" s="70" t="s">
        <v>583</v>
      </c>
      <c r="K1409" s="70" t="s">
        <v>48</v>
      </c>
      <c r="L1409" s="74">
        <v>46167</v>
      </c>
    </row>
    <row r="1410" spans="1:12" hidden="1" x14ac:dyDescent="0.25">
      <c r="A1410" s="70" t="s">
        <v>911</v>
      </c>
      <c r="B1410" s="70" t="s">
        <v>2905</v>
      </c>
      <c r="C1410" s="70" t="s">
        <v>2906</v>
      </c>
      <c r="D1410" s="70">
        <v>1512</v>
      </c>
      <c r="E1410" s="70">
        <v>2</v>
      </c>
      <c r="F1410" s="71">
        <v>18.258466666666671</v>
      </c>
      <c r="G1410" s="71">
        <v>46.15</v>
      </c>
      <c r="H1410" s="71">
        <v>36.516933333333327</v>
      </c>
      <c r="I1410" s="71">
        <v>92.3</v>
      </c>
      <c r="J1410" s="70" t="s">
        <v>583</v>
      </c>
      <c r="K1410" s="70" t="s">
        <v>48</v>
      </c>
      <c r="L1410" s="74">
        <v>46167</v>
      </c>
    </row>
    <row r="1411" spans="1:12" hidden="1" x14ac:dyDescent="0.25">
      <c r="A1411" s="70" t="s">
        <v>911</v>
      </c>
      <c r="B1411" s="70" t="s">
        <v>2907</v>
      </c>
      <c r="C1411" s="70" t="s">
        <v>2908</v>
      </c>
      <c r="D1411" s="70">
        <v>1512</v>
      </c>
      <c r="E1411" s="70">
        <v>1</v>
      </c>
      <c r="F1411" s="71">
        <v>35.181033333333332</v>
      </c>
      <c r="G1411" s="71">
        <v>87.93</v>
      </c>
      <c r="H1411" s="71">
        <v>35.181033333333332</v>
      </c>
      <c r="I1411" s="71">
        <v>87.93</v>
      </c>
      <c r="J1411" s="70" t="s">
        <v>583</v>
      </c>
      <c r="K1411" s="70" t="s">
        <v>48</v>
      </c>
      <c r="L1411" s="74">
        <v>46167</v>
      </c>
    </row>
    <row r="1412" spans="1:12" hidden="1" x14ac:dyDescent="0.25">
      <c r="A1412" s="70" t="s">
        <v>911</v>
      </c>
      <c r="B1412" s="70" t="s">
        <v>1046</v>
      </c>
      <c r="C1412" s="70" t="s">
        <v>1047</v>
      </c>
      <c r="D1412" s="70">
        <v>1512</v>
      </c>
      <c r="E1412" s="70">
        <v>1</v>
      </c>
      <c r="F1412" s="71">
        <v>25.885200000000001</v>
      </c>
      <c r="G1412" s="71">
        <v>64.86</v>
      </c>
      <c r="H1412" s="71">
        <v>25.885200000000001</v>
      </c>
      <c r="I1412" s="71">
        <v>64.86</v>
      </c>
      <c r="J1412" s="70" t="s">
        <v>583</v>
      </c>
      <c r="K1412" s="70" t="s">
        <v>48</v>
      </c>
      <c r="L1412" s="74">
        <v>46167</v>
      </c>
    </row>
    <row r="1413" spans="1:12" hidden="1" x14ac:dyDescent="0.25">
      <c r="A1413" s="70" t="s">
        <v>911</v>
      </c>
      <c r="B1413" s="70" t="s">
        <v>1725</v>
      </c>
      <c r="C1413" s="70" t="s">
        <v>1726</v>
      </c>
      <c r="D1413" s="70">
        <v>1512</v>
      </c>
      <c r="E1413" s="70">
        <v>1</v>
      </c>
      <c r="F1413" s="71">
        <v>8.3341999999999992</v>
      </c>
      <c r="G1413" s="71">
        <v>18.25</v>
      </c>
      <c r="H1413" s="71">
        <v>8.3341999999999992</v>
      </c>
      <c r="I1413" s="71">
        <v>18.25</v>
      </c>
      <c r="J1413" s="70" t="s">
        <v>583</v>
      </c>
      <c r="K1413" s="70" t="s">
        <v>48</v>
      </c>
      <c r="L1413" s="74">
        <v>46167</v>
      </c>
    </row>
    <row r="1414" spans="1:12" hidden="1" x14ac:dyDescent="0.25">
      <c r="A1414" s="70" t="s">
        <v>922</v>
      </c>
      <c r="B1414" s="70" t="s">
        <v>2909</v>
      </c>
      <c r="C1414" s="70" t="s">
        <v>2910</v>
      </c>
      <c r="D1414" s="70">
        <v>1512</v>
      </c>
      <c r="E1414" s="70">
        <v>-1</v>
      </c>
      <c r="F1414" s="71">
        <v>802.62779999999998</v>
      </c>
      <c r="G1414" s="71">
        <v>1145.47</v>
      </c>
      <c r="H1414" s="71">
        <v>-802.62779999999998</v>
      </c>
      <c r="I1414" s="71">
        <v>-1145.47</v>
      </c>
      <c r="J1414" s="70" t="s">
        <v>583</v>
      </c>
      <c r="K1414" s="70" t="s">
        <v>48</v>
      </c>
      <c r="L1414" s="74">
        <v>46167</v>
      </c>
    </row>
    <row r="1415" spans="1:12" hidden="1" x14ac:dyDescent="0.25">
      <c r="A1415" s="70" t="s">
        <v>922</v>
      </c>
      <c r="B1415" s="70" t="s">
        <v>2911</v>
      </c>
      <c r="C1415" s="70" t="s">
        <v>2912</v>
      </c>
      <c r="D1415" s="70">
        <v>1512</v>
      </c>
      <c r="E1415" s="70">
        <v>-1</v>
      </c>
      <c r="F1415" s="71">
        <v>49.7652</v>
      </c>
      <c r="G1415" s="71">
        <v>115.12</v>
      </c>
      <c r="H1415" s="71">
        <v>-49.7652</v>
      </c>
      <c r="I1415" s="71">
        <v>-115.12</v>
      </c>
      <c r="J1415" s="70" t="s">
        <v>583</v>
      </c>
      <c r="K1415" s="70" t="s">
        <v>48</v>
      </c>
      <c r="L1415" s="74">
        <v>46167</v>
      </c>
    </row>
    <row r="1416" spans="1:12" hidden="1" x14ac:dyDescent="0.25">
      <c r="A1416" s="70" t="s">
        <v>922</v>
      </c>
      <c r="B1416" s="70" t="s">
        <v>2061</v>
      </c>
      <c r="C1416" s="70" t="s">
        <v>2062</v>
      </c>
      <c r="D1416" s="70">
        <v>1512</v>
      </c>
      <c r="E1416" s="70">
        <v>-2</v>
      </c>
      <c r="F1416" s="71">
        <v>18.770600000000002</v>
      </c>
      <c r="G1416" s="71">
        <v>38.25</v>
      </c>
      <c r="H1416" s="71">
        <v>-37.541200000000003</v>
      </c>
      <c r="I1416" s="71">
        <v>-76.5</v>
      </c>
      <c r="J1416" s="70" t="s">
        <v>583</v>
      </c>
      <c r="K1416" s="70" t="s">
        <v>48</v>
      </c>
      <c r="L1416" s="74">
        <v>46167</v>
      </c>
    </row>
    <row r="1417" spans="1:12" hidden="1" x14ac:dyDescent="0.25">
      <c r="A1417" s="70" t="s">
        <v>922</v>
      </c>
      <c r="B1417" s="70" t="s">
        <v>2913</v>
      </c>
      <c r="C1417" s="70" t="s">
        <v>2914</v>
      </c>
      <c r="D1417" s="70">
        <v>1512</v>
      </c>
      <c r="E1417" s="70">
        <v>-1</v>
      </c>
      <c r="F1417" s="71">
        <v>35.058059999999998</v>
      </c>
      <c r="G1417" s="71">
        <v>87</v>
      </c>
      <c r="H1417" s="71">
        <v>-35.058059999999998</v>
      </c>
      <c r="I1417" s="71">
        <v>-87</v>
      </c>
      <c r="J1417" s="70" t="s">
        <v>583</v>
      </c>
      <c r="K1417" s="70" t="s">
        <v>48</v>
      </c>
      <c r="L1417" s="74">
        <v>46167</v>
      </c>
    </row>
    <row r="1418" spans="1:12" hidden="1" x14ac:dyDescent="0.25">
      <c r="A1418" s="70" t="s">
        <v>922</v>
      </c>
      <c r="B1418" s="70" t="s">
        <v>1048</v>
      </c>
      <c r="C1418" s="70" t="s">
        <v>1047</v>
      </c>
      <c r="D1418" s="70">
        <v>1512</v>
      </c>
      <c r="E1418" s="70">
        <v>-1</v>
      </c>
      <c r="F1418" s="71">
        <v>28.974242857142858</v>
      </c>
      <c r="G1418" s="71">
        <v>67.239999999999995</v>
      </c>
      <c r="H1418" s="71">
        <v>-28.974242857142858</v>
      </c>
      <c r="I1418" s="71">
        <v>-67.239999999999995</v>
      </c>
      <c r="J1418" s="70" t="s">
        <v>583</v>
      </c>
      <c r="K1418" s="70" t="s">
        <v>48</v>
      </c>
      <c r="L1418" s="74">
        <v>46167</v>
      </c>
    </row>
    <row r="1419" spans="1:12" hidden="1" x14ac:dyDescent="0.25">
      <c r="A1419" s="70" t="s">
        <v>922</v>
      </c>
      <c r="B1419" s="70" t="s">
        <v>2317</v>
      </c>
      <c r="C1419" s="70" t="s">
        <v>2318</v>
      </c>
      <c r="D1419" s="70">
        <v>1512</v>
      </c>
      <c r="E1419" s="70">
        <v>-1</v>
      </c>
      <c r="F1419" s="71">
        <v>8.3341999999999992</v>
      </c>
      <c r="G1419" s="71">
        <v>19.440000000000001</v>
      </c>
      <c r="H1419" s="71">
        <v>-8.3341999999999992</v>
      </c>
      <c r="I1419" s="71">
        <v>-19.440000000000001</v>
      </c>
      <c r="J1419" s="70" t="s">
        <v>583</v>
      </c>
      <c r="K1419" s="70" t="s">
        <v>48</v>
      </c>
      <c r="L1419" s="74">
        <v>46167</v>
      </c>
    </row>
    <row r="1420" spans="1:12" hidden="1" x14ac:dyDescent="0.25">
      <c r="A1420" s="70" t="s">
        <v>1468</v>
      </c>
      <c r="B1420" s="70" t="s">
        <v>2915</v>
      </c>
      <c r="C1420" s="70" t="s">
        <v>2916</v>
      </c>
      <c r="D1420" s="70">
        <v>1512</v>
      </c>
      <c r="E1420" s="70">
        <v>-1</v>
      </c>
      <c r="F1420" s="71">
        <v>30.09</v>
      </c>
      <c r="G1420" s="71">
        <v>80.599999999999994</v>
      </c>
      <c r="H1420" s="71">
        <v>-30.09</v>
      </c>
      <c r="I1420" s="71">
        <v>-80.599999999999994</v>
      </c>
      <c r="J1420" s="70" t="s">
        <v>583</v>
      </c>
      <c r="K1420" s="70" t="s">
        <v>48</v>
      </c>
      <c r="L1420" s="74">
        <v>46167</v>
      </c>
    </row>
    <row r="1421" spans="1:12" hidden="1" x14ac:dyDescent="0.25">
      <c r="A1421" s="70" t="s">
        <v>1468</v>
      </c>
      <c r="B1421" s="70" t="s">
        <v>2917</v>
      </c>
      <c r="C1421" s="70" t="s">
        <v>2918</v>
      </c>
      <c r="D1421" s="70">
        <v>1512</v>
      </c>
      <c r="E1421" s="70">
        <v>-1</v>
      </c>
      <c r="F1421" s="71">
        <v>52.0764</v>
      </c>
      <c r="G1421" s="71">
        <v>75.37</v>
      </c>
      <c r="H1421" s="71">
        <v>-52.0764</v>
      </c>
      <c r="I1421" s="71">
        <v>-75.37</v>
      </c>
      <c r="J1421" s="70" t="s">
        <v>583</v>
      </c>
      <c r="K1421" s="70" t="s">
        <v>48</v>
      </c>
      <c r="L1421" s="74">
        <v>46167</v>
      </c>
    </row>
    <row r="1422" spans="1:12" hidden="1" x14ac:dyDescent="0.25">
      <c r="A1422" s="70" t="s">
        <v>1468</v>
      </c>
      <c r="B1422" s="70" t="s">
        <v>2919</v>
      </c>
      <c r="C1422" s="70" t="s">
        <v>2920</v>
      </c>
      <c r="D1422" s="70">
        <v>1512</v>
      </c>
      <c r="E1422" s="70">
        <v>-2</v>
      </c>
      <c r="F1422" s="71">
        <v>24.995100000000001</v>
      </c>
      <c r="G1422" s="71">
        <v>37</v>
      </c>
      <c r="H1422" s="71">
        <v>-49.990200000000002</v>
      </c>
      <c r="I1422" s="71">
        <v>-74</v>
      </c>
      <c r="J1422" s="70" t="s">
        <v>583</v>
      </c>
      <c r="K1422" s="70" t="s">
        <v>48</v>
      </c>
      <c r="L1422" s="74">
        <v>46167</v>
      </c>
    </row>
    <row r="1423" spans="1:12" hidden="1" x14ac:dyDescent="0.25">
      <c r="A1423" s="70" t="s">
        <v>1468</v>
      </c>
      <c r="B1423" s="70" t="s">
        <v>2921</v>
      </c>
      <c r="C1423" s="70" t="s">
        <v>2922</v>
      </c>
      <c r="D1423" s="70">
        <v>1512</v>
      </c>
      <c r="E1423" s="70">
        <v>-1</v>
      </c>
      <c r="F1423" s="71">
        <v>22.980599999999999</v>
      </c>
      <c r="G1423" s="71">
        <v>32</v>
      </c>
      <c r="H1423" s="71">
        <v>-22.980599999999999</v>
      </c>
      <c r="I1423" s="71">
        <v>-32</v>
      </c>
      <c r="J1423" s="70" t="s">
        <v>583</v>
      </c>
      <c r="K1423" s="70" t="s">
        <v>48</v>
      </c>
      <c r="L1423" s="74">
        <v>46167</v>
      </c>
    </row>
    <row r="1424" spans="1:12" hidden="1" x14ac:dyDescent="0.25">
      <c r="A1424" s="70" t="s">
        <v>1468</v>
      </c>
      <c r="B1424" s="70" t="s">
        <v>2923</v>
      </c>
      <c r="C1424" s="70" t="s">
        <v>2924</v>
      </c>
      <c r="D1424" s="70">
        <v>1512</v>
      </c>
      <c r="E1424" s="70">
        <v>-1</v>
      </c>
      <c r="F1424" s="71">
        <v>13.404400000000001</v>
      </c>
      <c r="G1424" s="71">
        <v>29.26</v>
      </c>
      <c r="H1424" s="71">
        <v>-13.404400000000001</v>
      </c>
      <c r="I1424" s="71">
        <v>-29.26</v>
      </c>
      <c r="J1424" s="70" t="s">
        <v>583</v>
      </c>
      <c r="K1424" s="70" t="s">
        <v>48</v>
      </c>
      <c r="L1424" s="74">
        <v>46167</v>
      </c>
    </row>
    <row r="1425" spans="1:12" hidden="1" x14ac:dyDescent="0.25">
      <c r="A1425" s="70" t="s">
        <v>1468</v>
      </c>
      <c r="B1425" s="70" t="s">
        <v>1929</v>
      </c>
      <c r="C1425" s="70" t="s">
        <v>1930</v>
      </c>
      <c r="D1425" s="70">
        <v>1512</v>
      </c>
      <c r="E1425" s="70">
        <v>-2</v>
      </c>
      <c r="F1425" s="71">
        <v>4.7670000000000003</v>
      </c>
      <c r="G1425" s="71">
        <v>9.43</v>
      </c>
      <c r="H1425" s="71">
        <v>-9.5340000000000007</v>
      </c>
      <c r="I1425" s="71">
        <v>-18.86</v>
      </c>
      <c r="J1425" s="70" t="s">
        <v>583</v>
      </c>
      <c r="K1425" s="70" t="s">
        <v>48</v>
      </c>
      <c r="L1425" s="74">
        <v>46167</v>
      </c>
    </row>
    <row r="1426" spans="1:12" hidden="1" x14ac:dyDescent="0.25">
      <c r="A1426" s="70" t="s">
        <v>1468</v>
      </c>
      <c r="B1426" s="70" t="s">
        <v>2925</v>
      </c>
      <c r="C1426" s="70" t="s">
        <v>2926</v>
      </c>
      <c r="D1426" s="70">
        <v>1512</v>
      </c>
      <c r="E1426" s="70">
        <v>-1</v>
      </c>
      <c r="F1426" s="71">
        <v>9.6389999999999993</v>
      </c>
      <c r="G1426" s="71">
        <v>14.49</v>
      </c>
      <c r="H1426" s="71">
        <v>-9.6389999999999993</v>
      </c>
      <c r="I1426" s="71">
        <v>-14.49</v>
      </c>
      <c r="J1426" s="70" t="s">
        <v>583</v>
      </c>
      <c r="K1426" s="70" t="s">
        <v>48</v>
      </c>
      <c r="L1426" s="74">
        <v>46167</v>
      </c>
    </row>
    <row r="1427" spans="1:12" hidden="1" x14ac:dyDescent="0.25">
      <c r="A1427" s="70" t="s">
        <v>1468</v>
      </c>
      <c r="B1427" s="70" t="s">
        <v>2927</v>
      </c>
      <c r="C1427" s="70" t="s">
        <v>2928</v>
      </c>
      <c r="D1427" s="70">
        <v>1512</v>
      </c>
      <c r="E1427" s="70">
        <v>-1</v>
      </c>
      <c r="F1427" s="71">
        <v>2.8374000000000001</v>
      </c>
      <c r="G1427" s="71">
        <v>5.6</v>
      </c>
      <c r="H1427" s="71">
        <v>-2.8374000000000001</v>
      </c>
      <c r="I1427" s="71">
        <v>-5.6</v>
      </c>
      <c r="J1427" s="70" t="s">
        <v>583</v>
      </c>
      <c r="K1427" s="70" t="s">
        <v>48</v>
      </c>
      <c r="L1427" s="74">
        <v>46167</v>
      </c>
    </row>
    <row r="1428" spans="1:12" hidden="1" x14ac:dyDescent="0.25">
      <c r="A1428" s="70" t="s">
        <v>1367</v>
      </c>
      <c r="B1428" s="70" t="s">
        <v>994</v>
      </c>
      <c r="C1428" s="70" t="s">
        <v>995</v>
      </c>
      <c r="D1428" s="70">
        <v>1512</v>
      </c>
      <c r="E1428" s="70">
        <v>-18</v>
      </c>
      <c r="F1428" s="71">
        <v>2.4005777777777779</v>
      </c>
      <c r="G1428" s="71">
        <v>3.94</v>
      </c>
      <c r="H1428" s="71">
        <v>-43.2104</v>
      </c>
      <c r="I1428" s="71">
        <v>-70.92</v>
      </c>
      <c r="J1428" s="70" t="s">
        <v>583</v>
      </c>
      <c r="K1428" s="70" t="s">
        <v>48</v>
      </c>
      <c r="L1428" s="74">
        <v>46167</v>
      </c>
    </row>
    <row r="1429" spans="1:12" hidden="1" x14ac:dyDescent="0.25">
      <c r="A1429" s="70" t="s">
        <v>1367</v>
      </c>
      <c r="B1429" s="70" t="s">
        <v>705</v>
      </c>
      <c r="C1429" s="70" t="s">
        <v>706</v>
      </c>
      <c r="D1429" s="70">
        <v>1512</v>
      </c>
      <c r="E1429" s="70">
        <v>-15</v>
      </c>
      <c r="F1429" s="71">
        <v>2.4116266666666659</v>
      </c>
      <c r="G1429" s="71">
        <v>3.94</v>
      </c>
      <c r="H1429" s="71">
        <v>-36.174399999999999</v>
      </c>
      <c r="I1429" s="71">
        <v>-59.1</v>
      </c>
      <c r="J1429" s="70" t="s">
        <v>583</v>
      </c>
      <c r="K1429" s="70" t="s">
        <v>48</v>
      </c>
      <c r="L1429" s="74">
        <v>46167</v>
      </c>
    </row>
    <row r="1430" spans="1:12" hidden="1" x14ac:dyDescent="0.25">
      <c r="A1430" s="70" t="s">
        <v>1367</v>
      </c>
      <c r="B1430" s="70" t="s">
        <v>2929</v>
      </c>
      <c r="C1430" s="70" t="s">
        <v>2930</v>
      </c>
      <c r="D1430" s="70">
        <v>1512</v>
      </c>
      <c r="E1430" s="70">
        <v>-1</v>
      </c>
      <c r="F1430" s="71">
        <v>21.114000000000001</v>
      </c>
      <c r="G1430" s="71">
        <v>53.73</v>
      </c>
      <c r="H1430" s="71">
        <v>-21.114000000000001</v>
      </c>
      <c r="I1430" s="71">
        <v>-53.73</v>
      </c>
      <c r="J1430" s="70" t="s">
        <v>583</v>
      </c>
      <c r="K1430" s="70" t="s">
        <v>48</v>
      </c>
      <c r="L1430" s="74">
        <v>46167</v>
      </c>
    </row>
    <row r="1431" spans="1:12" hidden="1" x14ac:dyDescent="0.25">
      <c r="A1431" s="70" t="s">
        <v>1367</v>
      </c>
      <c r="B1431" s="70" t="s">
        <v>1789</v>
      </c>
      <c r="C1431" s="70" t="s">
        <v>1790</v>
      </c>
      <c r="D1431" s="70">
        <v>1512</v>
      </c>
      <c r="E1431" s="70">
        <v>-1</v>
      </c>
      <c r="F1431" s="71">
        <v>19.490300000000001</v>
      </c>
      <c r="G1431" s="71">
        <v>40.81</v>
      </c>
      <c r="H1431" s="71">
        <v>-19.490300000000001</v>
      </c>
      <c r="I1431" s="71">
        <v>-40.81</v>
      </c>
      <c r="J1431" s="70" t="s">
        <v>583</v>
      </c>
      <c r="K1431" s="70" t="s">
        <v>48</v>
      </c>
      <c r="L1431" s="74">
        <v>46167</v>
      </c>
    </row>
    <row r="1432" spans="1:12" hidden="1" x14ac:dyDescent="0.25">
      <c r="A1432" s="70" t="s">
        <v>1367</v>
      </c>
      <c r="B1432" s="70" t="s">
        <v>733</v>
      </c>
      <c r="C1432" s="70" t="s">
        <v>734</v>
      </c>
      <c r="D1432" s="70">
        <v>1512</v>
      </c>
      <c r="E1432" s="70">
        <v>-2</v>
      </c>
      <c r="F1432" s="71">
        <v>1.8004500000000001</v>
      </c>
      <c r="G1432" s="71">
        <v>2.96</v>
      </c>
      <c r="H1432" s="71">
        <v>-3.6009000000000002</v>
      </c>
      <c r="I1432" s="71">
        <v>-5.92</v>
      </c>
      <c r="J1432" s="70" t="s">
        <v>583</v>
      </c>
      <c r="K1432" s="70" t="s">
        <v>48</v>
      </c>
      <c r="L1432" s="74">
        <v>46167</v>
      </c>
    </row>
    <row r="1433" spans="1:12" hidden="1" x14ac:dyDescent="0.25">
      <c r="A1433" s="70" t="s">
        <v>1367</v>
      </c>
      <c r="B1433" s="70" t="s">
        <v>735</v>
      </c>
      <c r="C1433" s="70" t="s">
        <v>736</v>
      </c>
      <c r="D1433" s="70">
        <v>1512</v>
      </c>
      <c r="E1433" s="70">
        <v>-1</v>
      </c>
      <c r="F1433" s="71">
        <v>1.669784615384615</v>
      </c>
      <c r="G1433" s="71">
        <v>2.96</v>
      </c>
      <c r="H1433" s="71">
        <v>-1.669784615384615</v>
      </c>
      <c r="I1433" s="71">
        <v>-2.96</v>
      </c>
      <c r="J1433" s="70" t="s">
        <v>583</v>
      </c>
      <c r="K1433" s="70" t="s">
        <v>48</v>
      </c>
      <c r="L1433" s="74">
        <v>46167</v>
      </c>
    </row>
    <row r="1434" spans="1:12" hidden="1" x14ac:dyDescent="0.25">
      <c r="A1434" s="70" t="s">
        <v>877</v>
      </c>
      <c r="B1434" s="70" t="s">
        <v>2931</v>
      </c>
      <c r="C1434" s="70" t="s">
        <v>2932</v>
      </c>
      <c r="D1434" s="70">
        <v>1516</v>
      </c>
      <c r="E1434" s="70">
        <v>-1</v>
      </c>
      <c r="F1434" s="71">
        <v>22.0212</v>
      </c>
      <c r="G1434" s="71">
        <v>31.69</v>
      </c>
      <c r="H1434" s="71">
        <v>-22.0212</v>
      </c>
      <c r="I1434" s="71">
        <v>-31.69</v>
      </c>
      <c r="J1434" s="70" t="s">
        <v>598</v>
      </c>
      <c r="K1434" s="70" t="s">
        <v>48</v>
      </c>
      <c r="L1434" s="74">
        <v>46177</v>
      </c>
    </row>
    <row r="1435" spans="1:12" hidden="1" x14ac:dyDescent="0.25">
      <c r="A1435" s="70" t="s">
        <v>877</v>
      </c>
      <c r="B1435" s="70" t="s">
        <v>2933</v>
      </c>
      <c r="C1435" s="70" t="s">
        <v>2934</v>
      </c>
      <c r="D1435" s="70">
        <v>1516</v>
      </c>
      <c r="E1435" s="70">
        <v>-1</v>
      </c>
      <c r="F1435" s="71">
        <v>53.080900000000007</v>
      </c>
      <c r="G1435" s="71">
        <v>77.72</v>
      </c>
      <c r="H1435" s="71">
        <v>-53.080900000000007</v>
      </c>
      <c r="I1435" s="71">
        <v>-77.72</v>
      </c>
      <c r="J1435" s="70" t="s">
        <v>598</v>
      </c>
      <c r="K1435" s="70" t="s">
        <v>48</v>
      </c>
      <c r="L1435" s="74">
        <v>46177</v>
      </c>
    </row>
    <row r="1436" spans="1:12" hidden="1" x14ac:dyDescent="0.25">
      <c r="A1436" s="70" t="s">
        <v>877</v>
      </c>
      <c r="B1436" s="70" t="s">
        <v>2935</v>
      </c>
      <c r="C1436" s="70" t="s">
        <v>2936</v>
      </c>
      <c r="D1436" s="70">
        <v>1516</v>
      </c>
      <c r="E1436" s="70">
        <v>-1</v>
      </c>
      <c r="F1436" s="71">
        <v>8.8924500000000002</v>
      </c>
      <c r="G1436" s="71">
        <v>21.94</v>
      </c>
      <c r="H1436" s="71">
        <v>-8.8924500000000002</v>
      </c>
      <c r="I1436" s="71">
        <v>-21.94</v>
      </c>
      <c r="J1436" s="70" t="s">
        <v>598</v>
      </c>
      <c r="K1436" s="70" t="s">
        <v>48</v>
      </c>
      <c r="L1436" s="74">
        <v>46177</v>
      </c>
    </row>
    <row r="1437" spans="1:12" hidden="1" x14ac:dyDescent="0.25">
      <c r="A1437" s="70" t="s">
        <v>877</v>
      </c>
      <c r="B1437" s="70" t="s">
        <v>1841</v>
      </c>
      <c r="C1437" s="70" t="s">
        <v>1842</v>
      </c>
      <c r="D1437" s="70">
        <v>1516</v>
      </c>
      <c r="E1437" s="70">
        <v>-1</v>
      </c>
      <c r="F1437" s="71">
        <v>11.8726</v>
      </c>
      <c r="G1437" s="71">
        <v>24.15</v>
      </c>
      <c r="H1437" s="71">
        <v>-11.8726</v>
      </c>
      <c r="I1437" s="71">
        <v>-24.15</v>
      </c>
      <c r="J1437" s="70" t="s">
        <v>598</v>
      </c>
      <c r="K1437" s="70" t="s">
        <v>48</v>
      </c>
      <c r="L1437" s="74">
        <v>46177</v>
      </c>
    </row>
    <row r="1438" spans="1:12" hidden="1" x14ac:dyDescent="0.25">
      <c r="A1438" s="70" t="s">
        <v>877</v>
      </c>
      <c r="B1438" s="70" t="s">
        <v>2937</v>
      </c>
      <c r="C1438" s="70" t="s">
        <v>2938</v>
      </c>
      <c r="D1438" s="70">
        <v>1516</v>
      </c>
      <c r="E1438" s="70">
        <v>-2</v>
      </c>
      <c r="F1438" s="71">
        <v>8.0458999999999996</v>
      </c>
      <c r="G1438" s="71">
        <v>15.87</v>
      </c>
      <c r="H1438" s="71">
        <v>-16.091799999999999</v>
      </c>
      <c r="I1438" s="71">
        <v>-31.74</v>
      </c>
      <c r="J1438" s="70" t="s">
        <v>598</v>
      </c>
      <c r="K1438" s="70" t="s">
        <v>48</v>
      </c>
      <c r="L1438" s="74">
        <v>46177</v>
      </c>
    </row>
    <row r="1439" spans="1:12" hidden="1" x14ac:dyDescent="0.25">
      <c r="A1439" s="70" t="s">
        <v>877</v>
      </c>
      <c r="B1439" s="70" t="s">
        <v>2327</v>
      </c>
      <c r="C1439" s="70" t="s">
        <v>2328</v>
      </c>
      <c r="D1439" s="70">
        <v>1516</v>
      </c>
      <c r="E1439" s="70">
        <v>-1</v>
      </c>
      <c r="F1439" s="71">
        <v>16.181000000000001</v>
      </c>
      <c r="G1439" s="71">
        <v>22.24</v>
      </c>
      <c r="H1439" s="71">
        <v>-16.181000000000001</v>
      </c>
      <c r="I1439" s="71">
        <v>-22.24</v>
      </c>
      <c r="J1439" s="70" t="s">
        <v>598</v>
      </c>
      <c r="K1439" s="70" t="s">
        <v>48</v>
      </c>
      <c r="L1439" s="74">
        <v>46177</v>
      </c>
    </row>
    <row r="1440" spans="1:12" hidden="1" x14ac:dyDescent="0.25">
      <c r="A1440" s="70" t="s">
        <v>877</v>
      </c>
      <c r="B1440" s="70" t="s">
        <v>2939</v>
      </c>
      <c r="C1440" s="70" t="s">
        <v>2940</v>
      </c>
      <c r="D1440" s="70">
        <v>1516</v>
      </c>
      <c r="E1440" s="70">
        <v>-1</v>
      </c>
      <c r="F1440" s="71">
        <v>29.9543</v>
      </c>
      <c r="G1440" s="71">
        <v>44.64</v>
      </c>
      <c r="H1440" s="71">
        <v>-29.9543</v>
      </c>
      <c r="I1440" s="71">
        <v>-44.64</v>
      </c>
      <c r="J1440" s="70" t="s">
        <v>598</v>
      </c>
      <c r="K1440" s="70" t="s">
        <v>48</v>
      </c>
      <c r="L1440" s="74">
        <v>46177</v>
      </c>
    </row>
    <row r="1441" spans="1:12" hidden="1" x14ac:dyDescent="0.25">
      <c r="A1441" s="70" t="s">
        <v>877</v>
      </c>
      <c r="B1441" s="70" t="s">
        <v>2075</v>
      </c>
      <c r="C1441" s="70" t="s">
        <v>2076</v>
      </c>
      <c r="D1441" s="70">
        <v>1516</v>
      </c>
      <c r="E1441" s="70">
        <v>-1</v>
      </c>
      <c r="F1441" s="71">
        <v>28.407</v>
      </c>
      <c r="G1441" s="71">
        <v>39.06</v>
      </c>
      <c r="H1441" s="71">
        <v>-28.407</v>
      </c>
      <c r="I1441" s="71">
        <v>-39.06</v>
      </c>
      <c r="J1441" s="70" t="s">
        <v>598</v>
      </c>
      <c r="K1441" s="70" t="s">
        <v>48</v>
      </c>
      <c r="L1441" s="74">
        <v>46177</v>
      </c>
    </row>
    <row r="1442" spans="1:12" hidden="1" x14ac:dyDescent="0.25">
      <c r="A1442" s="70" t="s">
        <v>877</v>
      </c>
      <c r="B1442" s="70" t="s">
        <v>2941</v>
      </c>
      <c r="C1442" s="70" t="s">
        <v>2942</v>
      </c>
      <c r="D1442" s="70">
        <v>1516</v>
      </c>
      <c r="E1442" s="70">
        <v>-1</v>
      </c>
      <c r="F1442" s="71">
        <v>77.119500000000002</v>
      </c>
      <c r="G1442" s="71">
        <v>106.02</v>
      </c>
      <c r="H1442" s="71">
        <v>-77.119500000000002</v>
      </c>
      <c r="I1442" s="71">
        <v>-106.02</v>
      </c>
      <c r="J1442" s="70" t="s">
        <v>598</v>
      </c>
      <c r="K1442" s="70" t="s">
        <v>48</v>
      </c>
      <c r="L1442" s="74">
        <v>46177</v>
      </c>
    </row>
    <row r="1443" spans="1:12" hidden="1" x14ac:dyDescent="0.25">
      <c r="A1443" s="70" t="s">
        <v>877</v>
      </c>
      <c r="B1443" s="70" t="s">
        <v>2943</v>
      </c>
      <c r="C1443" s="70" t="s">
        <v>2944</v>
      </c>
      <c r="D1443" s="70">
        <v>1516</v>
      </c>
      <c r="E1443" s="70">
        <v>-1</v>
      </c>
      <c r="F1443" s="71">
        <v>98.6417</v>
      </c>
      <c r="G1443" s="71">
        <v>137.30000000000001</v>
      </c>
      <c r="H1443" s="71">
        <v>-98.6417</v>
      </c>
      <c r="I1443" s="71">
        <v>-137.30000000000001</v>
      </c>
      <c r="J1443" s="70" t="s">
        <v>598</v>
      </c>
      <c r="K1443" s="70" t="s">
        <v>48</v>
      </c>
      <c r="L1443" s="74">
        <v>46177</v>
      </c>
    </row>
    <row r="1444" spans="1:12" hidden="1" x14ac:dyDescent="0.25">
      <c r="A1444" s="70" t="s">
        <v>877</v>
      </c>
      <c r="B1444" s="70" t="s">
        <v>2945</v>
      </c>
      <c r="C1444" s="70" t="s">
        <v>2946</v>
      </c>
      <c r="D1444" s="70">
        <v>1516</v>
      </c>
      <c r="E1444" s="70">
        <v>-1</v>
      </c>
      <c r="F1444" s="71">
        <v>8.3992666666666675</v>
      </c>
      <c r="G1444" s="71">
        <v>23.52</v>
      </c>
      <c r="H1444" s="71">
        <v>-8.3992666666666675</v>
      </c>
      <c r="I1444" s="71">
        <v>-23.52</v>
      </c>
      <c r="J1444" s="70" t="s">
        <v>598</v>
      </c>
      <c r="K1444" s="70" t="s">
        <v>48</v>
      </c>
      <c r="L1444" s="74">
        <v>46177</v>
      </c>
    </row>
    <row r="1445" spans="1:12" hidden="1" x14ac:dyDescent="0.25">
      <c r="A1445" s="70" t="s">
        <v>877</v>
      </c>
      <c r="B1445" s="70" t="s">
        <v>2947</v>
      </c>
      <c r="C1445" s="70" t="s">
        <v>2948</v>
      </c>
      <c r="D1445" s="70">
        <v>1516</v>
      </c>
      <c r="E1445" s="70">
        <v>-1</v>
      </c>
      <c r="F1445" s="71">
        <v>40.638849999999998</v>
      </c>
      <c r="G1445" s="71">
        <v>105.34</v>
      </c>
      <c r="H1445" s="71">
        <v>-40.638849999999998</v>
      </c>
      <c r="I1445" s="71">
        <v>-105.34</v>
      </c>
      <c r="J1445" s="70" t="s">
        <v>598</v>
      </c>
      <c r="K1445" s="70" t="s">
        <v>48</v>
      </c>
      <c r="L1445" s="74">
        <v>46177</v>
      </c>
    </row>
    <row r="1446" spans="1:12" hidden="1" x14ac:dyDescent="0.25">
      <c r="A1446" s="70" t="s">
        <v>877</v>
      </c>
      <c r="B1446" s="70" t="s">
        <v>2949</v>
      </c>
      <c r="C1446" s="70" t="s">
        <v>2950</v>
      </c>
      <c r="D1446" s="70">
        <v>1516</v>
      </c>
      <c r="E1446" s="70">
        <v>-1</v>
      </c>
      <c r="F1446" s="71">
        <v>27.320699999999999</v>
      </c>
      <c r="G1446" s="71">
        <v>84.39</v>
      </c>
      <c r="H1446" s="71">
        <v>-27.320699999999999</v>
      </c>
      <c r="I1446" s="71">
        <v>-84.39</v>
      </c>
      <c r="J1446" s="70" t="s">
        <v>598</v>
      </c>
      <c r="K1446" s="70" t="s">
        <v>48</v>
      </c>
      <c r="L1446" s="74">
        <v>46177</v>
      </c>
    </row>
    <row r="1447" spans="1:12" hidden="1" x14ac:dyDescent="0.25">
      <c r="A1447" s="70" t="s">
        <v>877</v>
      </c>
      <c r="B1447" s="70" t="s">
        <v>2951</v>
      </c>
      <c r="C1447" s="70" t="s">
        <v>2952</v>
      </c>
      <c r="D1447" s="70">
        <v>1516</v>
      </c>
      <c r="E1447" s="70">
        <v>-2</v>
      </c>
      <c r="F1447" s="71">
        <v>0.52459999999999996</v>
      </c>
      <c r="G1447" s="71">
        <v>0.82</v>
      </c>
      <c r="H1447" s="71">
        <v>-1.0491999999999999</v>
      </c>
      <c r="I1447" s="71">
        <v>-1.64</v>
      </c>
      <c r="J1447" s="70" t="s">
        <v>598</v>
      </c>
      <c r="K1447" s="70" t="s">
        <v>48</v>
      </c>
      <c r="L1447" s="74">
        <v>46177</v>
      </c>
    </row>
    <row r="1448" spans="1:12" hidden="1" x14ac:dyDescent="0.25">
      <c r="A1448" s="70" t="s">
        <v>922</v>
      </c>
      <c r="B1448" s="70" t="s">
        <v>2953</v>
      </c>
      <c r="C1448" s="70" t="s">
        <v>2954</v>
      </c>
      <c r="D1448" s="70">
        <v>1516</v>
      </c>
      <c r="E1448" s="70">
        <v>-1</v>
      </c>
      <c r="F1448" s="71">
        <v>53.033700000000003</v>
      </c>
      <c r="G1448" s="71">
        <v>103.91</v>
      </c>
      <c r="H1448" s="71">
        <v>-53.033700000000003</v>
      </c>
      <c r="I1448" s="71">
        <v>-103.91</v>
      </c>
      <c r="J1448" s="70" t="s">
        <v>598</v>
      </c>
      <c r="K1448" s="70" t="s">
        <v>48</v>
      </c>
      <c r="L1448" s="74">
        <v>46177</v>
      </c>
    </row>
    <row r="1449" spans="1:12" hidden="1" x14ac:dyDescent="0.25">
      <c r="A1449" s="70" t="s">
        <v>911</v>
      </c>
      <c r="B1449" s="70" t="s">
        <v>2955</v>
      </c>
      <c r="C1449" s="70" t="s">
        <v>2956</v>
      </c>
      <c r="D1449" s="70">
        <v>1516</v>
      </c>
      <c r="E1449" s="70">
        <v>1</v>
      </c>
      <c r="F1449" s="71">
        <v>53.033700000000003</v>
      </c>
      <c r="G1449" s="71">
        <v>103.91</v>
      </c>
      <c r="H1449" s="71">
        <v>53.033700000000003</v>
      </c>
      <c r="I1449" s="71">
        <v>103.91</v>
      </c>
      <c r="J1449" s="70" t="s">
        <v>598</v>
      </c>
      <c r="K1449" s="70" t="s">
        <v>48</v>
      </c>
      <c r="L1449" s="74">
        <v>46177</v>
      </c>
    </row>
    <row r="1450" spans="1:12" hidden="1" x14ac:dyDescent="0.25">
      <c r="A1450" s="70" t="s">
        <v>898</v>
      </c>
      <c r="B1450" s="70" t="s">
        <v>2957</v>
      </c>
      <c r="C1450" s="70" t="s">
        <v>2958</v>
      </c>
      <c r="D1450" s="70">
        <v>1516</v>
      </c>
      <c r="E1450" s="70">
        <v>1</v>
      </c>
      <c r="F1450" s="71">
        <v>11.056699999999999</v>
      </c>
      <c r="G1450" s="71">
        <v>16.440000000000001</v>
      </c>
      <c r="H1450" s="71">
        <v>11.056699999999999</v>
      </c>
      <c r="I1450" s="71">
        <v>16.440000000000001</v>
      </c>
      <c r="J1450" s="70" t="s">
        <v>598</v>
      </c>
      <c r="K1450" s="70" t="s">
        <v>48</v>
      </c>
      <c r="L1450" s="74">
        <v>46177</v>
      </c>
    </row>
    <row r="1451" spans="1:12" hidden="1" x14ac:dyDescent="0.25">
      <c r="A1451" s="70" t="s">
        <v>1367</v>
      </c>
      <c r="B1451" s="70" t="s">
        <v>2357</v>
      </c>
      <c r="C1451" s="70" t="s">
        <v>2358</v>
      </c>
      <c r="D1451" s="70">
        <v>1516</v>
      </c>
      <c r="E1451" s="70">
        <v>-2</v>
      </c>
      <c r="F1451" s="71">
        <v>22.72</v>
      </c>
      <c r="G1451" s="71">
        <v>33.2654</v>
      </c>
      <c r="H1451" s="71">
        <v>-45.44</v>
      </c>
      <c r="I1451" s="71">
        <v>-66.530799999999999</v>
      </c>
      <c r="J1451" s="70" t="s">
        <v>598</v>
      </c>
      <c r="K1451" s="70" t="s">
        <v>48</v>
      </c>
      <c r="L1451" s="74">
        <v>46177</v>
      </c>
    </row>
    <row r="1452" spans="1:12" hidden="1" x14ac:dyDescent="0.25">
      <c r="A1452" s="70" t="s">
        <v>1367</v>
      </c>
      <c r="B1452" s="70" t="s">
        <v>2959</v>
      </c>
      <c r="C1452" s="70" t="s">
        <v>2960</v>
      </c>
      <c r="D1452" s="70">
        <v>1516</v>
      </c>
      <c r="E1452" s="70">
        <v>-1</v>
      </c>
      <c r="F1452" s="71">
        <v>21.196400000000001</v>
      </c>
      <c r="G1452" s="71">
        <v>31.036200000000001</v>
      </c>
      <c r="H1452" s="71">
        <v>-21.196400000000001</v>
      </c>
      <c r="I1452" s="71">
        <v>-31.036200000000001</v>
      </c>
      <c r="J1452" s="70" t="s">
        <v>598</v>
      </c>
      <c r="K1452" s="70" t="s">
        <v>48</v>
      </c>
      <c r="L1452" s="74">
        <v>46177</v>
      </c>
    </row>
    <row r="1453" spans="1:12" hidden="1" x14ac:dyDescent="0.25">
      <c r="A1453" s="70" t="s">
        <v>1367</v>
      </c>
      <c r="B1453" s="70" t="s">
        <v>2961</v>
      </c>
      <c r="C1453" s="70" t="s">
        <v>2962</v>
      </c>
      <c r="D1453" s="70">
        <v>1516</v>
      </c>
      <c r="E1453" s="70">
        <v>-1</v>
      </c>
      <c r="F1453" s="71">
        <v>21.196400000000001</v>
      </c>
      <c r="G1453" s="71">
        <v>31.036200000000001</v>
      </c>
      <c r="H1453" s="71">
        <v>-21.196400000000001</v>
      </c>
      <c r="I1453" s="71">
        <v>-31.036200000000001</v>
      </c>
      <c r="J1453" s="70" t="s">
        <v>598</v>
      </c>
      <c r="K1453" s="70" t="s">
        <v>48</v>
      </c>
      <c r="L1453" s="74">
        <v>46177</v>
      </c>
    </row>
    <row r="1454" spans="1:12" hidden="1" x14ac:dyDescent="0.25">
      <c r="A1454" s="70" t="s">
        <v>1367</v>
      </c>
      <c r="B1454" s="70" t="s">
        <v>2963</v>
      </c>
      <c r="C1454" s="70" t="s">
        <v>2964</v>
      </c>
      <c r="D1454" s="70">
        <v>1516</v>
      </c>
      <c r="E1454" s="70">
        <v>-1</v>
      </c>
      <c r="F1454" s="71">
        <v>22.715399999999999</v>
      </c>
      <c r="G1454" s="71">
        <v>33.260399999999997</v>
      </c>
      <c r="H1454" s="71">
        <v>-22.715399999999999</v>
      </c>
      <c r="I1454" s="71">
        <v>-33.260399999999997</v>
      </c>
      <c r="J1454" s="70" t="s">
        <v>598</v>
      </c>
      <c r="K1454" s="70" t="s">
        <v>48</v>
      </c>
      <c r="L1454" s="74">
        <v>46177</v>
      </c>
    </row>
    <row r="1455" spans="1:12" hidden="1" x14ac:dyDescent="0.25">
      <c r="A1455" s="70" t="s">
        <v>1367</v>
      </c>
      <c r="B1455" s="70" t="s">
        <v>2965</v>
      </c>
      <c r="C1455" s="70" t="s">
        <v>2966</v>
      </c>
      <c r="D1455" s="70">
        <v>1516</v>
      </c>
      <c r="E1455" s="70">
        <v>-2</v>
      </c>
      <c r="F1455" s="71">
        <v>22.715399999999999</v>
      </c>
      <c r="G1455" s="71">
        <v>33.260399999999997</v>
      </c>
      <c r="H1455" s="71">
        <v>-45.430799999999998</v>
      </c>
      <c r="I1455" s="71">
        <v>-66.520799999999994</v>
      </c>
      <c r="J1455" s="70" t="s">
        <v>598</v>
      </c>
      <c r="K1455" s="70" t="s">
        <v>48</v>
      </c>
      <c r="L1455" s="74">
        <v>46177</v>
      </c>
    </row>
    <row r="1456" spans="1:12" hidden="1" x14ac:dyDescent="0.25">
      <c r="A1456" s="70" t="s">
        <v>1367</v>
      </c>
      <c r="B1456" s="70" t="s">
        <v>2967</v>
      </c>
      <c r="C1456" s="70" t="s">
        <v>2968</v>
      </c>
      <c r="D1456" s="70">
        <v>1516</v>
      </c>
      <c r="E1456" s="70">
        <v>-1</v>
      </c>
      <c r="F1456" s="71">
        <v>21.062899999999999</v>
      </c>
      <c r="G1456" s="71">
        <v>30.840699999999998</v>
      </c>
      <c r="H1456" s="71">
        <v>-21.062899999999999</v>
      </c>
      <c r="I1456" s="71">
        <v>-30.840699999999998</v>
      </c>
      <c r="J1456" s="70" t="s">
        <v>598</v>
      </c>
      <c r="K1456" s="70" t="s">
        <v>48</v>
      </c>
      <c r="L1456" s="74">
        <v>46177</v>
      </c>
    </row>
    <row r="1457" spans="1:12" hidden="1" x14ac:dyDescent="0.25">
      <c r="A1457" s="70" t="s">
        <v>1367</v>
      </c>
      <c r="B1457" s="70" t="s">
        <v>2969</v>
      </c>
      <c r="C1457" s="70" t="s">
        <v>2970</v>
      </c>
      <c r="D1457" s="70">
        <v>1516</v>
      </c>
      <c r="E1457" s="70">
        <v>-4</v>
      </c>
      <c r="F1457" s="71">
        <v>7.2</v>
      </c>
      <c r="G1457" s="71">
        <v>10.8253</v>
      </c>
      <c r="H1457" s="71">
        <v>-28.8</v>
      </c>
      <c r="I1457" s="71">
        <v>-43.301200000000001</v>
      </c>
      <c r="J1457" s="70" t="s">
        <v>598</v>
      </c>
      <c r="K1457" s="70" t="s">
        <v>48</v>
      </c>
      <c r="L1457" s="74">
        <v>46177</v>
      </c>
    </row>
    <row r="1458" spans="1:12" hidden="1" x14ac:dyDescent="0.25">
      <c r="A1458" s="79" t="s">
        <v>877</v>
      </c>
      <c r="B1458" s="79" t="s">
        <v>998</v>
      </c>
      <c r="C1458" s="79" t="s">
        <v>999</v>
      </c>
      <c r="D1458" s="79">
        <v>1521</v>
      </c>
      <c r="E1458" s="79">
        <v>-2</v>
      </c>
      <c r="F1458" s="80">
        <v>0.6835</v>
      </c>
      <c r="G1458" s="80">
        <v>1.7692000000000001</v>
      </c>
      <c r="H1458" s="80">
        <v>-1.367</v>
      </c>
      <c r="I1458" s="80">
        <v>-3.5384000000000002</v>
      </c>
      <c r="J1458" s="79" t="s">
        <v>601</v>
      </c>
      <c r="K1458" s="79" t="s">
        <v>48</v>
      </c>
      <c r="L1458" s="81">
        <v>46176</v>
      </c>
    </row>
    <row r="1459" spans="1:12" hidden="1" x14ac:dyDescent="0.25">
      <c r="A1459" s="77" t="s">
        <v>898</v>
      </c>
      <c r="B1459" s="77" t="s">
        <v>743</v>
      </c>
      <c r="C1459" s="77" t="s">
        <v>744</v>
      </c>
      <c r="D1459" s="77">
        <v>1521</v>
      </c>
      <c r="E1459" s="77">
        <v>32</v>
      </c>
      <c r="F1459" s="78">
        <v>4.2299999999999997E-2</v>
      </c>
      <c r="G1459" s="78">
        <v>6.2E-2</v>
      </c>
      <c r="H1459" s="78">
        <v>1.3535999999999999</v>
      </c>
      <c r="I1459" s="78">
        <v>1.984</v>
      </c>
      <c r="J1459" s="77" t="s">
        <v>601</v>
      </c>
      <c r="K1459" s="77" t="s">
        <v>48</v>
      </c>
      <c r="L1459" s="82">
        <v>46176</v>
      </c>
    </row>
    <row r="1460" spans="1:12" hidden="1" x14ac:dyDescent="0.25">
      <c r="A1460" s="79" t="s">
        <v>877</v>
      </c>
      <c r="B1460" s="79" t="s">
        <v>986</v>
      </c>
      <c r="C1460" s="79" t="s">
        <v>987</v>
      </c>
      <c r="D1460" s="79">
        <v>1521</v>
      </c>
      <c r="E1460" s="79">
        <v>-1</v>
      </c>
      <c r="F1460" s="80">
        <v>4.7413999999999996</v>
      </c>
      <c r="G1460" s="80">
        <v>13.757999999999999</v>
      </c>
      <c r="H1460" s="80">
        <v>-4.7413999999999996</v>
      </c>
      <c r="I1460" s="80">
        <v>-13.757999999999999</v>
      </c>
      <c r="J1460" s="79" t="s">
        <v>601</v>
      </c>
      <c r="K1460" s="79" t="s">
        <v>48</v>
      </c>
      <c r="L1460" s="81">
        <v>46176</v>
      </c>
    </row>
    <row r="1461" spans="1:12" hidden="1" x14ac:dyDescent="0.25">
      <c r="A1461" s="77" t="s">
        <v>877</v>
      </c>
      <c r="B1461" s="77" t="s">
        <v>2971</v>
      </c>
      <c r="C1461" s="77" t="s">
        <v>2972</v>
      </c>
      <c r="D1461" s="77">
        <v>1521</v>
      </c>
      <c r="E1461" s="77">
        <v>-1</v>
      </c>
      <c r="F1461" s="78">
        <v>1.2034</v>
      </c>
      <c r="G1461" s="78">
        <v>3.5480999999999998</v>
      </c>
      <c r="H1461" s="78">
        <v>-1.2034</v>
      </c>
      <c r="I1461" s="78">
        <v>-3.5480999999999998</v>
      </c>
      <c r="J1461" s="77" t="s">
        <v>601</v>
      </c>
      <c r="K1461" s="77" t="s">
        <v>48</v>
      </c>
      <c r="L1461" s="82">
        <v>46176</v>
      </c>
    </row>
    <row r="1462" spans="1:12" hidden="1" x14ac:dyDescent="0.25">
      <c r="A1462" s="79" t="s">
        <v>922</v>
      </c>
      <c r="B1462" s="79" t="s">
        <v>2207</v>
      </c>
      <c r="C1462" s="79" t="s">
        <v>2208</v>
      </c>
      <c r="D1462" s="79">
        <v>1521</v>
      </c>
      <c r="E1462" s="79">
        <v>-1</v>
      </c>
      <c r="F1462" s="80">
        <v>16.429200000000002</v>
      </c>
      <c r="G1462" s="80">
        <v>35.886899999999997</v>
      </c>
      <c r="H1462" s="80">
        <v>-16.429200000000002</v>
      </c>
      <c r="I1462" s="80">
        <v>-35.886899999999997</v>
      </c>
      <c r="J1462" s="79" t="s">
        <v>601</v>
      </c>
      <c r="K1462" s="79" t="s">
        <v>48</v>
      </c>
      <c r="L1462" s="81">
        <v>46176</v>
      </c>
    </row>
    <row r="1463" spans="1:12" hidden="1" x14ac:dyDescent="0.25">
      <c r="A1463" s="77" t="s">
        <v>911</v>
      </c>
      <c r="B1463" s="77" t="s">
        <v>2973</v>
      </c>
      <c r="C1463" s="77" t="s">
        <v>2974</v>
      </c>
      <c r="D1463" s="77">
        <v>1521</v>
      </c>
      <c r="E1463" s="77">
        <v>1</v>
      </c>
      <c r="F1463" s="78">
        <v>13.1858</v>
      </c>
      <c r="G1463" s="78">
        <v>32.951599999999999</v>
      </c>
      <c r="H1463" s="78">
        <v>13.1858</v>
      </c>
      <c r="I1463" s="78">
        <v>32.951599999999999</v>
      </c>
      <c r="J1463" s="77" t="s">
        <v>601</v>
      </c>
      <c r="K1463" s="77" t="s">
        <v>48</v>
      </c>
      <c r="L1463" s="82">
        <v>46176</v>
      </c>
    </row>
    <row r="1464" spans="1:12" hidden="1" x14ac:dyDescent="0.25">
      <c r="A1464" s="79" t="s">
        <v>922</v>
      </c>
      <c r="B1464" s="79" t="s">
        <v>1048</v>
      </c>
      <c r="C1464" s="79" t="s">
        <v>1047</v>
      </c>
      <c r="D1464" s="79">
        <v>1521</v>
      </c>
      <c r="E1464" s="79">
        <v>-4</v>
      </c>
      <c r="F1464" s="80">
        <v>29.065100000000001</v>
      </c>
      <c r="G1464" s="80">
        <v>67.236599999999996</v>
      </c>
      <c r="H1464" s="80">
        <v>-116.2604</v>
      </c>
      <c r="I1464" s="80">
        <v>-268.94639999999998</v>
      </c>
      <c r="J1464" s="79" t="s">
        <v>601</v>
      </c>
      <c r="K1464" s="79" t="s">
        <v>48</v>
      </c>
      <c r="L1464" s="81">
        <v>46176</v>
      </c>
    </row>
    <row r="1465" spans="1:12" hidden="1" x14ac:dyDescent="0.25">
      <c r="A1465" s="77" t="s">
        <v>911</v>
      </c>
      <c r="B1465" s="77" t="s">
        <v>1046</v>
      </c>
      <c r="C1465" s="77" t="s">
        <v>1047</v>
      </c>
      <c r="D1465" s="77">
        <v>1521</v>
      </c>
      <c r="E1465" s="77">
        <v>3</v>
      </c>
      <c r="F1465" s="78">
        <v>21.216000000000001</v>
      </c>
      <c r="G1465" s="78">
        <v>64.857399999999998</v>
      </c>
      <c r="H1465" s="78">
        <v>63.648000000000003</v>
      </c>
      <c r="I1465" s="78">
        <v>194.57220000000001</v>
      </c>
      <c r="J1465" s="77" t="s">
        <v>601</v>
      </c>
      <c r="K1465" s="77" t="s">
        <v>48</v>
      </c>
      <c r="L1465" s="82">
        <v>46176</v>
      </c>
    </row>
    <row r="1466" spans="1:12" hidden="1" x14ac:dyDescent="0.25">
      <c r="A1466" s="79" t="s">
        <v>911</v>
      </c>
      <c r="B1466" s="79" t="s">
        <v>1068</v>
      </c>
      <c r="C1466" s="79" t="s">
        <v>1069</v>
      </c>
      <c r="D1466" s="79">
        <v>1521</v>
      </c>
      <c r="E1466" s="79">
        <v>1</v>
      </c>
      <c r="F1466" s="80">
        <v>27.234000000000002</v>
      </c>
      <c r="G1466" s="80">
        <v>61.818899999999999</v>
      </c>
      <c r="H1466" s="80">
        <v>27.234000000000002</v>
      </c>
      <c r="I1466" s="80">
        <v>61.818899999999999</v>
      </c>
      <c r="J1466" s="79" t="s">
        <v>601</v>
      </c>
      <c r="K1466" s="79" t="s">
        <v>48</v>
      </c>
      <c r="L1466" s="81">
        <v>46176</v>
      </c>
    </row>
    <row r="1467" spans="1:12" hidden="1" x14ac:dyDescent="0.25">
      <c r="A1467" s="77" t="s">
        <v>877</v>
      </c>
      <c r="B1467" s="77" t="s">
        <v>909</v>
      </c>
      <c r="C1467" s="77" t="s">
        <v>910</v>
      </c>
      <c r="D1467" s="77">
        <v>1521</v>
      </c>
      <c r="E1467" s="77">
        <v>-2</v>
      </c>
      <c r="F1467" s="78">
        <v>0.85680000000000001</v>
      </c>
      <c r="G1467" s="78">
        <v>1.7809999999999999</v>
      </c>
      <c r="H1467" s="78">
        <v>-1.7136</v>
      </c>
      <c r="I1467" s="78">
        <v>-3.5619999999999998</v>
      </c>
      <c r="J1467" s="77" t="s">
        <v>601</v>
      </c>
      <c r="K1467" s="77" t="s">
        <v>48</v>
      </c>
      <c r="L1467" s="82">
        <v>46176</v>
      </c>
    </row>
    <row r="1468" spans="1:12" hidden="1" x14ac:dyDescent="0.25">
      <c r="A1468" s="79" t="s">
        <v>911</v>
      </c>
      <c r="B1468" s="79" t="s">
        <v>2975</v>
      </c>
      <c r="C1468" s="79" t="s">
        <v>2976</v>
      </c>
      <c r="D1468" s="79">
        <v>1521</v>
      </c>
      <c r="E1468" s="79">
        <v>1</v>
      </c>
      <c r="F1468" s="80">
        <v>16.492799999999999</v>
      </c>
      <c r="G1468" s="80">
        <v>24.156099999999999</v>
      </c>
      <c r="H1468" s="80">
        <v>16.492799999999999</v>
      </c>
      <c r="I1468" s="80">
        <v>24.156099999999999</v>
      </c>
      <c r="J1468" s="79" t="s">
        <v>601</v>
      </c>
      <c r="K1468" s="79" t="s">
        <v>48</v>
      </c>
      <c r="L1468" s="81">
        <v>46176</v>
      </c>
    </row>
    <row r="1469" spans="1:12" hidden="1" x14ac:dyDescent="0.25">
      <c r="A1469" s="77" t="s">
        <v>898</v>
      </c>
      <c r="B1469" s="77" t="s">
        <v>1118</v>
      </c>
      <c r="C1469" s="77" t="s">
        <v>1119</v>
      </c>
      <c r="D1469" s="77">
        <v>1521</v>
      </c>
      <c r="E1469" s="77">
        <v>1</v>
      </c>
      <c r="F1469" s="78">
        <v>16.492799999999999</v>
      </c>
      <c r="G1469" s="78">
        <v>24.156099999999999</v>
      </c>
      <c r="H1469" s="78">
        <v>16.492799999999999</v>
      </c>
      <c r="I1469" s="78">
        <v>24.156099999999999</v>
      </c>
      <c r="J1469" s="77" t="s">
        <v>601</v>
      </c>
      <c r="K1469" s="77" t="s">
        <v>48</v>
      </c>
      <c r="L1469" s="82">
        <v>46176</v>
      </c>
    </row>
    <row r="1470" spans="1:12" hidden="1" x14ac:dyDescent="0.25">
      <c r="A1470" s="79" t="s">
        <v>911</v>
      </c>
      <c r="B1470" s="79" t="s">
        <v>2977</v>
      </c>
      <c r="C1470" s="79" t="s">
        <v>2978</v>
      </c>
      <c r="D1470" s="79">
        <v>1521</v>
      </c>
      <c r="E1470" s="79">
        <v>1</v>
      </c>
      <c r="F1470" s="80">
        <v>15.085800000000001</v>
      </c>
      <c r="G1470" s="80">
        <v>22.0885</v>
      </c>
      <c r="H1470" s="80">
        <v>15.085800000000001</v>
      </c>
      <c r="I1470" s="80">
        <v>22.0885</v>
      </c>
      <c r="J1470" s="79" t="s">
        <v>601</v>
      </c>
      <c r="K1470" s="79" t="s">
        <v>48</v>
      </c>
      <c r="L1470" s="81">
        <v>46176</v>
      </c>
    </row>
    <row r="1471" spans="1:12" hidden="1" x14ac:dyDescent="0.25">
      <c r="A1471" s="77" t="s">
        <v>922</v>
      </c>
      <c r="B1471" s="77" t="s">
        <v>2979</v>
      </c>
      <c r="C1471" s="77" t="s">
        <v>2980</v>
      </c>
      <c r="D1471" s="77">
        <v>1521</v>
      </c>
      <c r="E1471" s="77">
        <v>-1</v>
      </c>
      <c r="F1471" s="78">
        <v>26.234400000000001</v>
      </c>
      <c r="G1471" s="78">
        <v>34.414900000000003</v>
      </c>
      <c r="H1471" s="78">
        <v>-26.234400000000001</v>
      </c>
      <c r="I1471" s="78">
        <v>-34.414900000000003</v>
      </c>
      <c r="J1471" s="77" t="s">
        <v>601</v>
      </c>
      <c r="K1471" s="77" t="s">
        <v>48</v>
      </c>
      <c r="L1471" s="82">
        <v>46176</v>
      </c>
    </row>
    <row r="1472" spans="1:12" hidden="1" x14ac:dyDescent="0.25">
      <c r="A1472" s="79" t="s">
        <v>877</v>
      </c>
      <c r="B1472" s="79" t="s">
        <v>1821</v>
      </c>
      <c r="C1472" s="79" t="s">
        <v>1822</v>
      </c>
      <c r="D1472" s="79">
        <v>1521</v>
      </c>
      <c r="E1472" s="79">
        <v>-1</v>
      </c>
      <c r="F1472" s="80">
        <v>7.7851999999999997</v>
      </c>
      <c r="G1472" s="80">
        <v>20.739100000000001</v>
      </c>
      <c r="H1472" s="80">
        <v>-7.7851999999999997</v>
      </c>
      <c r="I1472" s="80">
        <v>-20.739100000000001</v>
      </c>
      <c r="J1472" s="79" t="s">
        <v>601</v>
      </c>
      <c r="K1472" s="79" t="s">
        <v>48</v>
      </c>
      <c r="L1472" s="81">
        <v>46176</v>
      </c>
    </row>
    <row r="1473" spans="1:12" hidden="1" x14ac:dyDescent="0.25">
      <c r="A1473" s="77" t="s">
        <v>922</v>
      </c>
      <c r="B1473" s="77" t="s">
        <v>1676</v>
      </c>
      <c r="C1473" s="77" t="s">
        <v>1677</v>
      </c>
      <c r="D1473" s="77">
        <v>1521</v>
      </c>
      <c r="E1473" s="77">
        <v>-1</v>
      </c>
      <c r="F1473" s="78">
        <v>29.897500000000001</v>
      </c>
      <c r="G1473" s="78">
        <v>42.084499999999998</v>
      </c>
      <c r="H1473" s="78">
        <v>-29.897500000000001</v>
      </c>
      <c r="I1473" s="78">
        <v>-42.084499999999998</v>
      </c>
      <c r="J1473" s="77" t="s">
        <v>601</v>
      </c>
      <c r="K1473" s="77" t="s">
        <v>48</v>
      </c>
      <c r="L1473" s="82">
        <v>46176</v>
      </c>
    </row>
    <row r="1474" spans="1:12" hidden="1" x14ac:dyDescent="0.25">
      <c r="A1474" s="79" t="s">
        <v>911</v>
      </c>
      <c r="B1474" s="79" t="s">
        <v>1011</v>
      </c>
      <c r="C1474" s="79" t="s">
        <v>1012</v>
      </c>
      <c r="D1474" s="79">
        <v>1521</v>
      </c>
      <c r="E1474" s="79">
        <v>1</v>
      </c>
      <c r="F1474" s="80">
        <v>30.142900000000001</v>
      </c>
      <c r="G1474" s="80">
        <v>42.084499999999998</v>
      </c>
      <c r="H1474" s="80">
        <v>30.142900000000001</v>
      </c>
      <c r="I1474" s="80">
        <v>42.084499999999998</v>
      </c>
      <c r="J1474" s="79" t="s">
        <v>601</v>
      </c>
      <c r="K1474" s="79" t="s">
        <v>48</v>
      </c>
      <c r="L1474" s="81">
        <v>46176</v>
      </c>
    </row>
    <row r="1475" spans="1:12" hidden="1" x14ac:dyDescent="0.25">
      <c r="A1475" s="77" t="s">
        <v>898</v>
      </c>
      <c r="B1475" s="77" t="s">
        <v>2418</v>
      </c>
      <c r="C1475" s="77" t="s">
        <v>2419</v>
      </c>
      <c r="D1475" s="77">
        <v>1521</v>
      </c>
      <c r="E1475" s="77">
        <v>1</v>
      </c>
      <c r="F1475" s="78">
        <v>3.2694999999999999</v>
      </c>
      <c r="G1475" s="78">
        <v>4.7396000000000003</v>
      </c>
      <c r="H1475" s="78">
        <v>3.2694999999999999</v>
      </c>
      <c r="I1475" s="78">
        <v>4.7396000000000003</v>
      </c>
      <c r="J1475" s="77" t="s">
        <v>601</v>
      </c>
      <c r="K1475" s="77" t="s">
        <v>48</v>
      </c>
      <c r="L1475" s="82">
        <v>46176</v>
      </c>
    </row>
    <row r="1476" spans="1:12" hidden="1" x14ac:dyDescent="0.25">
      <c r="A1476" s="79" t="s">
        <v>911</v>
      </c>
      <c r="B1476" s="79" t="s">
        <v>1895</v>
      </c>
      <c r="C1476" s="79" t="s">
        <v>1896</v>
      </c>
      <c r="D1476" s="79">
        <v>1521</v>
      </c>
      <c r="E1476" s="79">
        <v>1</v>
      </c>
      <c r="F1476" s="80">
        <v>16.759799999999998</v>
      </c>
      <c r="G1476" s="80">
        <v>33.124099999999999</v>
      </c>
      <c r="H1476" s="80">
        <v>16.759799999999998</v>
      </c>
      <c r="I1476" s="80">
        <v>33.124099999999999</v>
      </c>
      <c r="J1476" s="79" t="s">
        <v>601</v>
      </c>
      <c r="K1476" s="79" t="s">
        <v>48</v>
      </c>
      <c r="L1476" s="81">
        <v>46176</v>
      </c>
    </row>
    <row r="1477" spans="1:12" hidden="1" x14ac:dyDescent="0.25">
      <c r="A1477" s="77" t="s">
        <v>922</v>
      </c>
      <c r="B1477" s="77" t="s">
        <v>1192</v>
      </c>
      <c r="C1477" s="77" t="s">
        <v>1193</v>
      </c>
      <c r="D1477" s="77">
        <v>1521</v>
      </c>
      <c r="E1477" s="77">
        <v>-1</v>
      </c>
      <c r="F1477" s="78">
        <v>16.759799999999998</v>
      </c>
      <c r="G1477" s="78">
        <v>33.124099999999999</v>
      </c>
      <c r="H1477" s="78">
        <v>-16.759799999999998</v>
      </c>
      <c r="I1477" s="78">
        <v>-33.124099999999999</v>
      </c>
      <c r="J1477" s="77" t="s">
        <v>601</v>
      </c>
      <c r="K1477" s="77" t="s">
        <v>48</v>
      </c>
      <c r="L1477" s="82">
        <v>46176</v>
      </c>
    </row>
    <row r="1478" spans="1:12" hidden="1" x14ac:dyDescent="0.25">
      <c r="A1478" s="79" t="s">
        <v>911</v>
      </c>
      <c r="B1478" s="79" t="s">
        <v>2065</v>
      </c>
      <c r="C1478" s="79" t="s">
        <v>2066</v>
      </c>
      <c r="D1478" s="79">
        <v>1521</v>
      </c>
      <c r="E1478" s="79">
        <v>1</v>
      </c>
      <c r="F1478" s="80">
        <v>35.171999999999997</v>
      </c>
      <c r="G1478" s="80">
        <v>69.086799999999997</v>
      </c>
      <c r="H1478" s="80">
        <v>35.171999999999997</v>
      </c>
      <c r="I1478" s="80">
        <v>69.086799999999997</v>
      </c>
      <c r="J1478" s="79" t="s">
        <v>601</v>
      </c>
      <c r="K1478" s="79" t="s">
        <v>48</v>
      </c>
      <c r="L1478" s="81">
        <v>46176</v>
      </c>
    </row>
    <row r="1479" spans="1:12" hidden="1" x14ac:dyDescent="0.25">
      <c r="A1479" s="77" t="s">
        <v>922</v>
      </c>
      <c r="B1479" s="77" t="s">
        <v>2981</v>
      </c>
      <c r="C1479" s="77" t="s">
        <v>2982</v>
      </c>
      <c r="D1479" s="77">
        <v>1521</v>
      </c>
      <c r="E1479" s="77">
        <v>-1</v>
      </c>
      <c r="F1479" s="78">
        <v>23.97</v>
      </c>
      <c r="G1479" s="78">
        <v>53.7395</v>
      </c>
      <c r="H1479" s="78">
        <v>-23.97</v>
      </c>
      <c r="I1479" s="78">
        <v>-53.7395</v>
      </c>
      <c r="J1479" s="77" t="s">
        <v>601</v>
      </c>
      <c r="K1479" s="77" t="s">
        <v>48</v>
      </c>
      <c r="L1479" s="82">
        <v>46176</v>
      </c>
    </row>
    <row r="1480" spans="1:12" hidden="1" x14ac:dyDescent="0.25">
      <c r="A1480" s="79" t="s">
        <v>911</v>
      </c>
      <c r="B1480" s="79" t="s">
        <v>2983</v>
      </c>
      <c r="C1480" s="79" t="s">
        <v>2984</v>
      </c>
      <c r="D1480" s="79">
        <v>1521</v>
      </c>
      <c r="E1480" s="79">
        <v>1</v>
      </c>
      <c r="F1480" s="80">
        <v>46.036499999999997</v>
      </c>
      <c r="G1480" s="80">
        <v>94.822699999999998</v>
      </c>
      <c r="H1480" s="80">
        <v>46.036499999999997</v>
      </c>
      <c r="I1480" s="80">
        <v>94.822699999999998</v>
      </c>
      <c r="J1480" s="79" t="s">
        <v>601</v>
      </c>
      <c r="K1480" s="79" t="s">
        <v>48</v>
      </c>
      <c r="L1480" s="81">
        <v>46176</v>
      </c>
    </row>
    <row r="1481" spans="1:12" hidden="1" x14ac:dyDescent="0.25">
      <c r="A1481" s="77" t="s">
        <v>922</v>
      </c>
      <c r="B1481" s="77" t="s">
        <v>2985</v>
      </c>
      <c r="C1481" s="77" t="s">
        <v>2986</v>
      </c>
      <c r="D1481" s="77">
        <v>1521</v>
      </c>
      <c r="E1481" s="77">
        <v>-1</v>
      </c>
      <c r="F1481" s="78">
        <v>46.036499999999997</v>
      </c>
      <c r="G1481" s="78">
        <v>94.822699999999998</v>
      </c>
      <c r="H1481" s="78">
        <v>-46.036499999999997</v>
      </c>
      <c r="I1481" s="78">
        <v>-94.822699999999998</v>
      </c>
      <c r="J1481" s="77" t="s">
        <v>601</v>
      </c>
      <c r="K1481" s="77" t="s">
        <v>48</v>
      </c>
      <c r="L1481" s="82">
        <v>46176</v>
      </c>
    </row>
    <row r="1482" spans="1:12" hidden="1" x14ac:dyDescent="0.25">
      <c r="A1482" s="79" t="s">
        <v>877</v>
      </c>
      <c r="B1482" s="79" t="s">
        <v>2987</v>
      </c>
      <c r="C1482" s="79" t="s">
        <v>2988</v>
      </c>
      <c r="D1482" s="79">
        <v>1521</v>
      </c>
      <c r="E1482" s="79">
        <v>-1</v>
      </c>
      <c r="F1482" s="80">
        <v>76.336799999999997</v>
      </c>
      <c r="G1482" s="80">
        <v>119.9011</v>
      </c>
      <c r="H1482" s="80">
        <v>-76.336799999999997</v>
      </c>
      <c r="I1482" s="80">
        <v>-119.9011</v>
      </c>
      <c r="J1482" s="79" t="s">
        <v>601</v>
      </c>
      <c r="K1482" s="79" t="s">
        <v>48</v>
      </c>
      <c r="L1482" s="81">
        <v>46176</v>
      </c>
    </row>
    <row r="1483" spans="1:12" hidden="1" x14ac:dyDescent="0.25">
      <c r="A1483" s="77" t="s">
        <v>922</v>
      </c>
      <c r="B1483" s="77" t="s">
        <v>2989</v>
      </c>
      <c r="C1483" s="77" t="s">
        <v>2990</v>
      </c>
      <c r="D1483" s="77">
        <v>1521</v>
      </c>
      <c r="E1483" s="77">
        <v>-1</v>
      </c>
      <c r="F1483" s="78">
        <v>9.0916499999999996</v>
      </c>
      <c r="G1483" s="78">
        <v>22.27</v>
      </c>
      <c r="H1483" s="78">
        <v>-9.0916499999999996</v>
      </c>
      <c r="I1483" s="78">
        <v>-22.27</v>
      </c>
      <c r="J1483" s="77" t="s">
        <v>601</v>
      </c>
      <c r="K1483" s="77" t="s">
        <v>48</v>
      </c>
      <c r="L1483" s="82">
        <v>46176</v>
      </c>
    </row>
    <row r="1484" spans="1:12" hidden="1" x14ac:dyDescent="0.25">
      <c r="A1484" s="79" t="s">
        <v>911</v>
      </c>
      <c r="B1484" s="79" t="s">
        <v>2991</v>
      </c>
      <c r="C1484" s="79" t="s">
        <v>2992</v>
      </c>
      <c r="D1484" s="79">
        <v>1521</v>
      </c>
      <c r="E1484" s="79">
        <v>1</v>
      </c>
      <c r="F1484" s="80">
        <v>9.0915999999999997</v>
      </c>
      <c r="G1484" s="80">
        <v>22.27</v>
      </c>
      <c r="H1484" s="80">
        <v>9.0915999999999997</v>
      </c>
      <c r="I1484" s="80">
        <v>22.27</v>
      </c>
      <c r="J1484" s="79" t="s">
        <v>601</v>
      </c>
      <c r="K1484" s="79" t="s">
        <v>48</v>
      </c>
      <c r="L1484" s="81">
        <v>46176</v>
      </c>
    </row>
    <row r="1485" spans="1:12" hidden="1" x14ac:dyDescent="0.25">
      <c r="A1485" s="77" t="s">
        <v>911</v>
      </c>
      <c r="B1485" s="77" t="s">
        <v>2993</v>
      </c>
      <c r="C1485" s="77" t="s">
        <v>2994</v>
      </c>
      <c r="D1485" s="77">
        <v>1521</v>
      </c>
      <c r="E1485" s="77">
        <v>1</v>
      </c>
      <c r="F1485" s="78">
        <v>50.1432</v>
      </c>
      <c r="G1485" s="78">
        <v>73.423599999999993</v>
      </c>
      <c r="H1485" s="78">
        <v>50.1432</v>
      </c>
      <c r="I1485" s="78">
        <v>73.423599999999993</v>
      </c>
      <c r="J1485" s="77" t="s">
        <v>601</v>
      </c>
      <c r="K1485" s="77" t="s">
        <v>48</v>
      </c>
      <c r="L1485" s="82">
        <v>46176</v>
      </c>
    </row>
    <row r="1486" spans="1:12" hidden="1" x14ac:dyDescent="0.25">
      <c r="A1486" s="79" t="s">
        <v>922</v>
      </c>
      <c r="B1486" s="79" t="s">
        <v>2995</v>
      </c>
      <c r="C1486" s="79" t="s">
        <v>2996</v>
      </c>
      <c r="D1486" s="79">
        <v>1521</v>
      </c>
      <c r="E1486" s="79">
        <v>-1</v>
      </c>
      <c r="F1486" s="80">
        <v>50.1432</v>
      </c>
      <c r="G1486" s="80">
        <v>73.423599999999993</v>
      </c>
      <c r="H1486" s="80">
        <v>-50.1432</v>
      </c>
      <c r="I1486" s="80">
        <v>-73.423599999999993</v>
      </c>
      <c r="J1486" s="79" t="s">
        <v>601</v>
      </c>
      <c r="K1486" s="79" t="s">
        <v>48</v>
      </c>
      <c r="L1486" s="81">
        <v>46176</v>
      </c>
    </row>
    <row r="1487" spans="1:12" hidden="1" x14ac:dyDescent="0.25">
      <c r="A1487" s="77" t="s">
        <v>898</v>
      </c>
      <c r="B1487" s="77" t="s">
        <v>2997</v>
      </c>
      <c r="C1487" s="77" t="s">
        <v>2998</v>
      </c>
      <c r="D1487" s="77">
        <v>1521</v>
      </c>
      <c r="E1487" s="77">
        <v>1</v>
      </c>
      <c r="F1487" s="78">
        <v>40.749000000000002</v>
      </c>
      <c r="G1487" s="78">
        <v>59.660400000000003</v>
      </c>
      <c r="H1487" s="78">
        <v>40.749000000000002</v>
      </c>
      <c r="I1487" s="78">
        <v>59.660400000000003</v>
      </c>
      <c r="J1487" s="77" t="s">
        <v>601</v>
      </c>
      <c r="K1487" s="77" t="s">
        <v>48</v>
      </c>
      <c r="L1487" s="82">
        <v>46176</v>
      </c>
    </row>
    <row r="1488" spans="1:12" hidden="1" x14ac:dyDescent="0.25">
      <c r="A1488" s="79" t="s">
        <v>911</v>
      </c>
      <c r="B1488" s="79" t="s">
        <v>2999</v>
      </c>
      <c r="C1488" s="79" t="s">
        <v>3000</v>
      </c>
      <c r="D1488" s="79">
        <v>1521</v>
      </c>
      <c r="E1488" s="79">
        <v>1</v>
      </c>
      <c r="F1488" s="80">
        <v>61.4754</v>
      </c>
      <c r="G1488" s="80">
        <v>85.580699999999993</v>
      </c>
      <c r="H1488" s="80">
        <v>61.4754</v>
      </c>
      <c r="I1488" s="80">
        <v>85.580699999999993</v>
      </c>
      <c r="J1488" s="79" t="s">
        <v>601</v>
      </c>
      <c r="K1488" s="79" t="s">
        <v>48</v>
      </c>
      <c r="L1488" s="81">
        <v>46176</v>
      </c>
    </row>
    <row r="1489" spans="1:12" hidden="1" x14ac:dyDescent="0.25">
      <c r="A1489" s="77" t="s">
        <v>922</v>
      </c>
      <c r="B1489" s="77" t="s">
        <v>3001</v>
      </c>
      <c r="C1489" s="77" t="s">
        <v>3002</v>
      </c>
      <c r="D1489" s="77">
        <v>1521</v>
      </c>
      <c r="E1489" s="77">
        <v>-1</v>
      </c>
      <c r="F1489" s="78">
        <v>51.314</v>
      </c>
      <c r="G1489" s="78">
        <v>106.9828</v>
      </c>
      <c r="H1489" s="78">
        <v>-51.314</v>
      </c>
      <c r="I1489" s="78">
        <v>-106.9828</v>
      </c>
      <c r="J1489" s="77" t="s">
        <v>601</v>
      </c>
      <c r="K1489" s="77" t="s">
        <v>48</v>
      </c>
      <c r="L1489" s="82">
        <v>46176</v>
      </c>
    </row>
    <row r="1490" spans="1:12" hidden="1" x14ac:dyDescent="0.25">
      <c r="A1490" s="79" t="s">
        <v>922</v>
      </c>
      <c r="B1490" s="79" t="s">
        <v>3003</v>
      </c>
      <c r="C1490" s="79" t="s">
        <v>3004</v>
      </c>
      <c r="D1490" s="79">
        <v>1521</v>
      </c>
      <c r="E1490" s="79">
        <v>-1</v>
      </c>
      <c r="F1490" s="80">
        <v>55.518599999999999</v>
      </c>
      <c r="G1490" s="80">
        <v>81.292000000000002</v>
      </c>
      <c r="H1490" s="80">
        <v>-55.518599999999999</v>
      </c>
      <c r="I1490" s="80">
        <v>-81.292000000000002</v>
      </c>
      <c r="J1490" s="79" t="s">
        <v>601</v>
      </c>
      <c r="K1490" s="79" t="s">
        <v>48</v>
      </c>
      <c r="L1490" s="81">
        <v>46176</v>
      </c>
    </row>
    <row r="1491" spans="1:12" hidden="1" x14ac:dyDescent="0.25">
      <c r="A1491" s="77" t="s">
        <v>898</v>
      </c>
      <c r="B1491" s="77" t="s">
        <v>3005</v>
      </c>
      <c r="C1491" s="77" t="s">
        <v>3006</v>
      </c>
      <c r="D1491" s="77">
        <v>1521</v>
      </c>
      <c r="E1491" s="77">
        <v>1</v>
      </c>
      <c r="F1491" s="78">
        <v>42.778500000000001</v>
      </c>
      <c r="G1491" s="78">
        <v>58.817900000000002</v>
      </c>
      <c r="H1491" s="78">
        <v>42.778500000000001</v>
      </c>
      <c r="I1491" s="78">
        <v>58.817900000000002</v>
      </c>
      <c r="J1491" s="77" t="s">
        <v>601</v>
      </c>
      <c r="K1491" s="77" t="s">
        <v>48</v>
      </c>
      <c r="L1491" s="82">
        <v>46176</v>
      </c>
    </row>
    <row r="1492" spans="1:12" hidden="1" x14ac:dyDescent="0.25">
      <c r="A1492" s="79" t="s">
        <v>922</v>
      </c>
      <c r="B1492" s="79" t="s">
        <v>2505</v>
      </c>
      <c r="C1492" s="79" t="s">
        <v>2506</v>
      </c>
      <c r="D1492" s="79">
        <v>1521</v>
      </c>
      <c r="E1492" s="79">
        <v>-1</v>
      </c>
      <c r="F1492" s="80">
        <v>79.611000000000004</v>
      </c>
      <c r="G1492" s="80">
        <v>116.5731</v>
      </c>
      <c r="H1492" s="80">
        <v>-79.611000000000004</v>
      </c>
      <c r="I1492" s="80">
        <v>-116.5731</v>
      </c>
      <c r="J1492" s="79" t="s">
        <v>601</v>
      </c>
      <c r="K1492" s="79" t="s">
        <v>48</v>
      </c>
      <c r="L1492" s="81">
        <v>46176</v>
      </c>
    </row>
    <row r="1493" spans="1:12" hidden="1" x14ac:dyDescent="0.25">
      <c r="A1493" s="77" t="s">
        <v>911</v>
      </c>
      <c r="B1493" s="77" t="s">
        <v>2442</v>
      </c>
      <c r="C1493" s="77" t="s">
        <v>2443</v>
      </c>
      <c r="D1493" s="77">
        <v>1521</v>
      </c>
      <c r="E1493" s="77">
        <v>1</v>
      </c>
      <c r="F1493" s="78">
        <v>101.459133333333</v>
      </c>
      <c r="G1493" s="78">
        <v>220.09780000000001</v>
      </c>
      <c r="H1493" s="78">
        <v>101.459133333333</v>
      </c>
      <c r="I1493" s="78">
        <v>220.09780000000001</v>
      </c>
      <c r="J1493" s="77" t="s">
        <v>601</v>
      </c>
      <c r="K1493" s="77" t="s">
        <v>48</v>
      </c>
      <c r="L1493" s="82">
        <v>46176</v>
      </c>
    </row>
    <row r="1494" spans="1:12" hidden="1" x14ac:dyDescent="0.25">
      <c r="A1494" s="79" t="s">
        <v>877</v>
      </c>
      <c r="B1494" s="79" t="s">
        <v>3007</v>
      </c>
      <c r="C1494" s="79" t="s">
        <v>3008</v>
      </c>
      <c r="D1494" s="79">
        <v>1521</v>
      </c>
      <c r="E1494" s="79">
        <v>-1</v>
      </c>
      <c r="F1494" s="80">
        <v>20.859000000000002</v>
      </c>
      <c r="G1494" s="80">
        <v>30.535</v>
      </c>
      <c r="H1494" s="80">
        <v>-20.859000000000002</v>
      </c>
      <c r="I1494" s="80">
        <v>-30.535</v>
      </c>
      <c r="J1494" s="79" t="s">
        <v>601</v>
      </c>
      <c r="K1494" s="79" t="s">
        <v>48</v>
      </c>
      <c r="L1494" s="81">
        <v>46176</v>
      </c>
    </row>
    <row r="1495" spans="1:12" hidden="1" x14ac:dyDescent="0.25">
      <c r="A1495" s="77" t="s">
        <v>922</v>
      </c>
      <c r="B1495" s="77" t="s">
        <v>3009</v>
      </c>
      <c r="C1495" s="77" t="s">
        <v>3010</v>
      </c>
      <c r="D1495" s="77">
        <v>1521</v>
      </c>
      <c r="E1495" s="77">
        <v>-1</v>
      </c>
      <c r="F1495" s="78">
        <v>137.83260000000001</v>
      </c>
      <c r="G1495" s="78">
        <v>201.81059999999999</v>
      </c>
      <c r="H1495" s="78">
        <v>-137.83260000000001</v>
      </c>
      <c r="I1495" s="78">
        <v>-201.81059999999999</v>
      </c>
      <c r="J1495" s="77" t="s">
        <v>601</v>
      </c>
      <c r="K1495" s="77" t="s">
        <v>48</v>
      </c>
      <c r="L1495" s="82">
        <v>46176</v>
      </c>
    </row>
    <row r="1496" spans="1:12" hidden="1" x14ac:dyDescent="0.25">
      <c r="A1496" s="79" t="s">
        <v>877</v>
      </c>
      <c r="B1496" s="79" t="s">
        <v>3011</v>
      </c>
      <c r="C1496" s="79" t="s">
        <v>3012</v>
      </c>
      <c r="D1496" s="79">
        <v>1521</v>
      </c>
      <c r="E1496" s="79">
        <v>-1</v>
      </c>
      <c r="F1496" s="80">
        <v>26.002700000000001</v>
      </c>
      <c r="G1496" s="80">
        <v>64.599100000000007</v>
      </c>
      <c r="H1496" s="80">
        <v>-26.002700000000001</v>
      </c>
      <c r="I1496" s="80">
        <v>-64.599100000000007</v>
      </c>
      <c r="J1496" s="79" t="s">
        <v>601</v>
      </c>
      <c r="K1496" s="79" t="s">
        <v>48</v>
      </c>
      <c r="L1496" s="81">
        <v>46176</v>
      </c>
    </row>
    <row r="1497" spans="1:12" hidden="1" x14ac:dyDescent="0.25">
      <c r="A1497" s="77" t="s">
        <v>922</v>
      </c>
      <c r="B1497" s="77" t="s">
        <v>2664</v>
      </c>
      <c r="C1497" s="77" t="s">
        <v>2665</v>
      </c>
      <c r="D1497" s="77">
        <v>1521</v>
      </c>
      <c r="E1497" s="77">
        <v>-1</v>
      </c>
      <c r="F1497" s="78">
        <v>17.7286133333333</v>
      </c>
      <c r="G1497" s="78">
        <v>33.476500000000001</v>
      </c>
      <c r="H1497" s="78">
        <v>-17.7286133333333</v>
      </c>
      <c r="I1497" s="78">
        <v>-33.476500000000001</v>
      </c>
      <c r="J1497" s="77" t="s">
        <v>601</v>
      </c>
      <c r="K1497" s="77" t="s">
        <v>48</v>
      </c>
      <c r="L1497" s="82">
        <v>46176</v>
      </c>
    </row>
    <row r="1498" spans="1:12" hidden="1" x14ac:dyDescent="0.25">
      <c r="A1498" s="79" t="s">
        <v>877</v>
      </c>
      <c r="B1498" s="79" t="s">
        <v>2460</v>
      </c>
      <c r="C1498" s="79" t="s">
        <v>2461</v>
      </c>
      <c r="D1498" s="79">
        <v>1521</v>
      </c>
      <c r="E1498" s="79">
        <v>-2</v>
      </c>
      <c r="F1498" s="80">
        <v>2.4</v>
      </c>
      <c r="G1498" s="80">
        <v>5.4185999999999996</v>
      </c>
      <c r="H1498" s="80">
        <v>-4.8</v>
      </c>
      <c r="I1498" s="80">
        <v>-10.837199999999999</v>
      </c>
      <c r="J1498" s="79" t="s">
        <v>601</v>
      </c>
      <c r="K1498" s="79" t="s">
        <v>48</v>
      </c>
      <c r="L1498" s="81">
        <v>46176</v>
      </c>
    </row>
    <row r="1499" spans="1:12" hidden="1" x14ac:dyDescent="0.25">
      <c r="A1499" s="77" t="s">
        <v>922</v>
      </c>
      <c r="B1499" s="77" t="s">
        <v>2462</v>
      </c>
      <c r="C1499" s="77" t="s">
        <v>2463</v>
      </c>
      <c r="D1499" s="77">
        <v>1521</v>
      </c>
      <c r="E1499" s="77">
        <v>-3</v>
      </c>
      <c r="F1499" s="78">
        <v>0.99409999999999998</v>
      </c>
      <c r="G1499" s="78">
        <v>2.9470999999999998</v>
      </c>
      <c r="H1499" s="78">
        <v>-2.9823</v>
      </c>
      <c r="I1499" s="78">
        <v>-8.8413000000000004</v>
      </c>
      <c r="J1499" s="77" t="s">
        <v>601</v>
      </c>
      <c r="K1499" s="77" t="s">
        <v>48</v>
      </c>
      <c r="L1499" s="82">
        <v>46176</v>
      </c>
    </row>
    <row r="1500" spans="1:12" hidden="1" x14ac:dyDescent="0.25">
      <c r="A1500" s="79" t="s">
        <v>911</v>
      </c>
      <c r="B1500" s="79" t="s">
        <v>2164</v>
      </c>
      <c r="C1500" s="79" t="s">
        <v>2165</v>
      </c>
      <c r="D1500" s="79">
        <v>1521</v>
      </c>
      <c r="E1500" s="79">
        <v>3</v>
      </c>
      <c r="F1500" s="80">
        <v>1.7739</v>
      </c>
      <c r="G1500" s="80">
        <v>3.8536999999999999</v>
      </c>
      <c r="H1500" s="80">
        <v>5.3216999999999999</v>
      </c>
      <c r="I1500" s="80">
        <v>11.5611</v>
      </c>
      <c r="J1500" s="79" t="s">
        <v>601</v>
      </c>
      <c r="K1500" s="79" t="s">
        <v>48</v>
      </c>
      <c r="L1500" s="81">
        <v>46176</v>
      </c>
    </row>
    <row r="1501" spans="1:12" hidden="1" x14ac:dyDescent="0.25">
      <c r="A1501" s="77" t="s">
        <v>922</v>
      </c>
      <c r="B1501" s="77" t="s">
        <v>1827</v>
      </c>
      <c r="C1501" s="77" t="s">
        <v>1828</v>
      </c>
      <c r="D1501" s="77">
        <v>1521</v>
      </c>
      <c r="E1501" s="77">
        <v>-1</v>
      </c>
      <c r="F1501" s="78">
        <v>72.895049999999998</v>
      </c>
      <c r="G1501" s="78">
        <v>182.14179999999999</v>
      </c>
      <c r="H1501" s="78">
        <v>-72.895049999999998</v>
      </c>
      <c r="I1501" s="78">
        <v>-182.14179999999999</v>
      </c>
      <c r="J1501" s="77" t="s">
        <v>601</v>
      </c>
      <c r="K1501" s="77" t="s">
        <v>48</v>
      </c>
      <c r="L1501" s="82">
        <v>46176</v>
      </c>
    </row>
    <row r="1502" spans="1:12" hidden="1" x14ac:dyDescent="0.25">
      <c r="A1502" s="79" t="s">
        <v>911</v>
      </c>
      <c r="B1502" s="79" t="s">
        <v>931</v>
      </c>
      <c r="C1502" s="79" t="s">
        <v>932</v>
      </c>
      <c r="D1502" s="79">
        <v>1521</v>
      </c>
      <c r="E1502" s="79">
        <v>1</v>
      </c>
      <c r="F1502" s="80">
        <v>72.667249999999996</v>
      </c>
      <c r="G1502" s="80">
        <v>182.14179999999999</v>
      </c>
      <c r="H1502" s="80">
        <v>72.667249999999996</v>
      </c>
      <c r="I1502" s="80">
        <v>182.14179999999999</v>
      </c>
      <c r="J1502" s="79" t="s">
        <v>601</v>
      </c>
      <c r="K1502" s="79" t="s">
        <v>48</v>
      </c>
      <c r="L1502" s="81">
        <v>46176</v>
      </c>
    </row>
    <row r="1503" spans="1:12" hidden="1" x14ac:dyDescent="0.25">
      <c r="A1503" s="77" t="s">
        <v>922</v>
      </c>
      <c r="B1503" s="77" t="s">
        <v>3013</v>
      </c>
      <c r="C1503" s="77" t="s">
        <v>3014</v>
      </c>
      <c r="D1503" s="77">
        <v>1521</v>
      </c>
      <c r="E1503" s="77">
        <v>-1</v>
      </c>
      <c r="F1503" s="78">
        <v>58.141599999999997</v>
      </c>
      <c r="G1503" s="78">
        <v>148.9067</v>
      </c>
      <c r="H1503" s="78">
        <v>-58.141599999999997</v>
      </c>
      <c r="I1503" s="78">
        <v>-148.9067</v>
      </c>
      <c r="J1503" s="77" t="s">
        <v>601</v>
      </c>
      <c r="K1503" s="77" t="s">
        <v>48</v>
      </c>
      <c r="L1503" s="82">
        <v>46176</v>
      </c>
    </row>
    <row r="1504" spans="1:12" hidden="1" x14ac:dyDescent="0.25">
      <c r="A1504" s="79" t="s">
        <v>898</v>
      </c>
      <c r="B1504" s="79" t="s">
        <v>3015</v>
      </c>
      <c r="C1504" s="79" t="s">
        <v>3016</v>
      </c>
      <c r="D1504" s="79">
        <v>1521</v>
      </c>
      <c r="E1504" s="79">
        <v>1</v>
      </c>
      <c r="F1504" s="80">
        <v>63.587499999999999</v>
      </c>
      <c r="G1504" s="80">
        <v>164.40710000000001</v>
      </c>
      <c r="H1504" s="80">
        <v>63.587499999999999</v>
      </c>
      <c r="I1504" s="80">
        <v>164.40710000000001</v>
      </c>
      <c r="J1504" s="79" t="s">
        <v>601</v>
      </c>
      <c r="K1504" s="79" t="s">
        <v>48</v>
      </c>
      <c r="L1504" s="81">
        <v>46176</v>
      </c>
    </row>
    <row r="1505" spans="1:12" hidden="1" x14ac:dyDescent="0.25">
      <c r="A1505" s="77" t="s">
        <v>922</v>
      </c>
      <c r="B1505" s="77" t="s">
        <v>3017</v>
      </c>
      <c r="C1505" s="77" t="s">
        <v>3018</v>
      </c>
      <c r="D1505" s="77">
        <v>1521</v>
      </c>
      <c r="E1505" s="77">
        <v>-1</v>
      </c>
      <c r="F1505" s="78">
        <v>49.482100000000003</v>
      </c>
      <c r="G1505" s="78">
        <v>77.334100000000007</v>
      </c>
      <c r="H1505" s="78">
        <v>-49.482100000000003</v>
      </c>
      <c r="I1505" s="78">
        <v>-77.334100000000007</v>
      </c>
      <c r="J1505" s="77" t="s">
        <v>601</v>
      </c>
      <c r="K1505" s="77" t="s">
        <v>48</v>
      </c>
      <c r="L1505" s="82">
        <v>46176</v>
      </c>
    </row>
    <row r="1506" spans="1:12" hidden="1" x14ac:dyDescent="0.25">
      <c r="A1506" s="79" t="s">
        <v>898</v>
      </c>
      <c r="B1506" s="79" t="s">
        <v>741</v>
      </c>
      <c r="C1506" s="79" t="s">
        <v>742</v>
      </c>
      <c r="D1506" s="79">
        <v>1521</v>
      </c>
      <c r="E1506" s="79">
        <v>1</v>
      </c>
      <c r="F1506" s="80">
        <v>3.3932000000000002</v>
      </c>
      <c r="G1506" s="80">
        <v>5.4124999999999996</v>
      </c>
      <c r="H1506" s="80">
        <v>3.3932000000000002</v>
      </c>
      <c r="I1506" s="80">
        <v>5.4124999999999996</v>
      </c>
      <c r="J1506" s="79" t="s">
        <v>601</v>
      </c>
      <c r="K1506" s="79" t="s">
        <v>48</v>
      </c>
      <c r="L1506" s="81">
        <v>46176</v>
      </c>
    </row>
    <row r="1507" spans="1:12" hidden="1" x14ac:dyDescent="0.25">
      <c r="A1507" s="77" t="s">
        <v>877</v>
      </c>
      <c r="B1507" s="77" t="s">
        <v>3019</v>
      </c>
      <c r="C1507" s="77" t="s">
        <v>3020</v>
      </c>
      <c r="D1507" s="77">
        <v>1521</v>
      </c>
      <c r="E1507" s="77">
        <v>-2</v>
      </c>
      <c r="F1507" s="78">
        <v>5.0591999999999997</v>
      </c>
      <c r="G1507" s="78">
        <v>7.9885000000000002</v>
      </c>
      <c r="H1507" s="78">
        <v>-10.118399999999999</v>
      </c>
      <c r="I1507" s="78">
        <v>-15.977</v>
      </c>
      <c r="J1507" s="77" t="s">
        <v>601</v>
      </c>
      <c r="K1507" s="77" t="s">
        <v>48</v>
      </c>
      <c r="L1507" s="82">
        <v>46176</v>
      </c>
    </row>
    <row r="1508" spans="1:12" hidden="1" x14ac:dyDescent="0.25">
      <c r="A1508" s="79" t="s">
        <v>877</v>
      </c>
      <c r="B1508" s="79" t="s">
        <v>2969</v>
      </c>
      <c r="C1508" s="79" t="s">
        <v>2970</v>
      </c>
      <c r="D1508" s="79">
        <v>1521</v>
      </c>
      <c r="E1508" s="79">
        <v>-1</v>
      </c>
      <c r="F1508" s="80">
        <v>7.2004999999999999</v>
      </c>
      <c r="G1508" s="80">
        <v>10.8253</v>
      </c>
      <c r="H1508" s="80">
        <v>-7.2004999999999999</v>
      </c>
      <c r="I1508" s="80">
        <v>-10.8253</v>
      </c>
      <c r="J1508" s="79" t="s">
        <v>601</v>
      </c>
      <c r="K1508" s="79" t="s">
        <v>48</v>
      </c>
      <c r="L1508" s="81">
        <v>46176</v>
      </c>
    </row>
    <row r="1509" spans="1:12" hidden="1" x14ac:dyDescent="0.25">
      <c r="A1509" s="77" t="s">
        <v>877</v>
      </c>
      <c r="B1509" s="77" t="s">
        <v>3021</v>
      </c>
      <c r="C1509" s="77" t="s">
        <v>3022</v>
      </c>
      <c r="D1509" s="77">
        <v>1521</v>
      </c>
      <c r="E1509" s="77">
        <v>-5</v>
      </c>
      <c r="F1509" s="78">
        <v>2.24E-2</v>
      </c>
      <c r="G1509" s="78">
        <v>3.73E-2</v>
      </c>
      <c r="H1509" s="78">
        <v>-0.112</v>
      </c>
      <c r="I1509" s="78">
        <v>-0.1865</v>
      </c>
      <c r="J1509" s="77" t="s">
        <v>601</v>
      </c>
      <c r="K1509" s="77" t="s">
        <v>48</v>
      </c>
      <c r="L1509" s="82">
        <v>46176</v>
      </c>
    </row>
    <row r="1510" spans="1:12" hidden="1" x14ac:dyDescent="0.25">
      <c r="A1510" s="79" t="s">
        <v>877</v>
      </c>
      <c r="B1510" s="79" t="s">
        <v>806</v>
      </c>
      <c r="C1510" s="79" t="s">
        <v>807</v>
      </c>
      <c r="D1510" s="79">
        <v>1521</v>
      </c>
      <c r="E1510" s="79">
        <v>-3</v>
      </c>
      <c r="F1510" s="80">
        <v>2.30053333333333</v>
      </c>
      <c r="G1510" s="80">
        <v>3.7786</v>
      </c>
      <c r="H1510" s="80">
        <v>-6.9015999999999904</v>
      </c>
      <c r="I1510" s="80">
        <v>-11.335800000000001</v>
      </c>
      <c r="J1510" s="79" t="s">
        <v>601</v>
      </c>
      <c r="K1510" s="79" t="s">
        <v>48</v>
      </c>
      <c r="L1510" s="81">
        <v>46176</v>
      </c>
    </row>
    <row r="1511" spans="1:12" hidden="1" x14ac:dyDescent="0.25">
      <c r="A1511" s="77" t="s">
        <v>911</v>
      </c>
      <c r="B1511" s="77" t="s">
        <v>3023</v>
      </c>
      <c r="C1511" s="77" t="s">
        <v>3024</v>
      </c>
      <c r="D1511" s="77">
        <v>1521</v>
      </c>
      <c r="E1511" s="77">
        <v>1</v>
      </c>
      <c r="F1511" s="78">
        <v>17.380800000000001</v>
      </c>
      <c r="G1511" s="78">
        <v>25.446200000000001</v>
      </c>
      <c r="H1511" s="78">
        <v>17.380800000000001</v>
      </c>
      <c r="I1511" s="78">
        <v>25.446200000000001</v>
      </c>
      <c r="J1511" s="77" t="s">
        <v>601</v>
      </c>
      <c r="K1511" s="77" t="s">
        <v>48</v>
      </c>
      <c r="L1511" s="82">
        <v>46176</v>
      </c>
    </row>
    <row r="1512" spans="1:12" hidden="1" x14ac:dyDescent="0.25">
      <c r="A1512" s="79" t="s">
        <v>911</v>
      </c>
      <c r="B1512" s="79" t="s">
        <v>3025</v>
      </c>
      <c r="C1512" s="79" t="s">
        <v>3026</v>
      </c>
      <c r="D1512" s="79">
        <v>1521</v>
      </c>
      <c r="E1512" s="79">
        <v>1</v>
      </c>
      <c r="F1512" s="80">
        <v>55.518599999999999</v>
      </c>
      <c r="G1512" s="80">
        <v>81.292400000000001</v>
      </c>
      <c r="H1512" s="80">
        <v>55.518599999999999</v>
      </c>
      <c r="I1512" s="80">
        <v>81.292400000000001</v>
      </c>
      <c r="J1512" s="79" t="s">
        <v>601</v>
      </c>
      <c r="K1512" s="79" t="s">
        <v>48</v>
      </c>
      <c r="L1512" s="81">
        <v>46176</v>
      </c>
    </row>
    <row r="1513" spans="1:12" hidden="1" x14ac:dyDescent="0.25">
      <c r="A1513" s="77" t="s">
        <v>911</v>
      </c>
      <c r="B1513" s="77" t="s">
        <v>3027</v>
      </c>
      <c r="C1513" s="77" t="s">
        <v>3028</v>
      </c>
      <c r="D1513" s="77">
        <v>1521</v>
      </c>
      <c r="E1513" s="77">
        <v>1</v>
      </c>
      <c r="F1513" s="78">
        <v>16.174299999999999</v>
      </c>
      <c r="G1513" s="78">
        <v>43.618600000000001</v>
      </c>
      <c r="H1513" s="78">
        <v>16.174299999999999</v>
      </c>
      <c r="I1513" s="78">
        <v>43.618600000000001</v>
      </c>
      <c r="J1513" s="77" t="s">
        <v>601</v>
      </c>
      <c r="K1513" s="77" t="s">
        <v>48</v>
      </c>
      <c r="L1513" s="82">
        <v>46176</v>
      </c>
    </row>
    <row r="1514" spans="1:12" hidden="1" x14ac:dyDescent="0.25">
      <c r="A1514" s="79" t="s">
        <v>911</v>
      </c>
      <c r="B1514" s="79" t="s">
        <v>3029</v>
      </c>
      <c r="C1514" s="79" t="s">
        <v>3030</v>
      </c>
      <c r="D1514" s="79">
        <v>1521</v>
      </c>
      <c r="E1514" s="79">
        <v>1</v>
      </c>
      <c r="F1514" s="80">
        <v>135.13</v>
      </c>
      <c r="G1514" s="80">
        <v>200.04759999999999</v>
      </c>
      <c r="H1514" s="80">
        <v>135.13</v>
      </c>
      <c r="I1514" s="80">
        <v>200.04759999999999</v>
      </c>
      <c r="J1514" s="79" t="s">
        <v>601</v>
      </c>
      <c r="K1514" s="79" t="s">
        <v>48</v>
      </c>
      <c r="L1514" s="81">
        <v>46176</v>
      </c>
    </row>
    <row r="1515" spans="1:12" hidden="1" x14ac:dyDescent="0.25">
      <c r="A1515" s="77" t="s">
        <v>911</v>
      </c>
      <c r="B1515" s="77" t="s">
        <v>3031</v>
      </c>
      <c r="C1515" s="77" t="s">
        <v>3032</v>
      </c>
      <c r="D1515" s="77">
        <v>1521</v>
      </c>
      <c r="E1515" s="77">
        <v>1</v>
      </c>
      <c r="F1515" s="78">
        <v>52.4696</v>
      </c>
      <c r="G1515" s="78">
        <v>77.334100000000007</v>
      </c>
      <c r="H1515" s="78">
        <v>52.4696</v>
      </c>
      <c r="I1515" s="78">
        <v>77.334100000000007</v>
      </c>
      <c r="J1515" s="77" t="s">
        <v>601</v>
      </c>
      <c r="K1515" s="77" t="s">
        <v>48</v>
      </c>
      <c r="L1515" s="82">
        <v>46176</v>
      </c>
    </row>
    <row r="1516" spans="1:12" hidden="1" x14ac:dyDescent="0.25">
      <c r="A1516" s="79" t="s">
        <v>911</v>
      </c>
      <c r="B1516" s="79" t="s">
        <v>1875</v>
      </c>
      <c r="C1516" s="79" t="s">
        <v>1876</v>
      </c>
      <c r="D1516" s="79">
        <v>1521</v>
      </c>
      <c r="E1516" s="79">
        <v>1</v>
      </c>
      <c r="F1516" s="80">
        <v>57.4771</v>
      </c>
      <c r="G1516" s="80">
        <v>148.9067</v>
      </c>
      <c r="H1516" s="80">
        <v>57.4771</v>
      </c>
      <c r="I1516" s="80">
        <v>148.9067</v>
      </c>
      <c r="J1516" s="79" t="s">
        <v>601</v>
      </c>
      <c r="K1516" s="79" t="s">
        <v>48</v>
      </c>
      <c r="L1516" s="81">
        <v>46176</v>
      </c>
    </row>
    <row r="1517" spans="1:12" hidden="1" x14ac:dyDescent="0.25">
      <c r="A1517" s="77" t="s">
        <v>922</v>
      </c>
      <c r="B1517" s="77" t="s">
        <v>1881</v>
      </c>
      <c r="C1517" s="77" t="s">
        <v>1882</v>
      </c>
      <c r="D1517" s="77">
        <v>1521</v>
      </c>
      <c r="E1517" s="77">
        <v>-1</v>
      </c>
      <c r="F1517" s="78">
        <v>16.174299999999999</v>
      </c>
      <c r="G1517" s="78">
        <v>43.618600000000001</v>
      </c>
      <c r="H1517" s="78">
        <v>-16.174299999999999</v>
      </c>
      <c r="I1517" s="78">
        <v>-43.618600000000001</v>
      </c>
      <c r="J1517" s="77" t="s">
        <v>601</v>
      </c>
      <c r="K1517" s="77" t="s">
        <v>48</v>
      </c>
      <c r="L1517" s="82">
        <v>46176</v>
      </c>
    </row>
    <row r="1518" spans="1:12" hidden="1" x14ac:dyDescent="0.25">
      <c r="A1518" s="79" t="s">
        <v>922</v>
      </c>
      <c r="B1518" s="79" t="s">
        <v>1905</v>
      </c>
      <c r="C1518" s="79" t="s">
        <v>1906</v>
      </c>
      <c r="D1518" s="79">
        <v>1521</v>
      </c>
      <c r="E1518" s="79">
        <v>-1</v>
      </c>
      <c r="F1518" s="80">
        <v>31.2834</v>
      </c>
      <c r="G1518" s="80">
        <v>45.803400000000003</v>
      </c>
      <c r="H1518" s="80">
        <v>-31.2834</v>
      </c>
      <c r="I1518" s="80">
        <v>-45.803400000000003</v>
      </c>
      <c r="J1518" s="79" t="s">
        <v>601</v>
      </c>
      <c r="K1518" s="79" t="s">
        <v>48</v>
      </c>
      <c r="L1518" s="81">
        <v>46176</v>
      </c>
    </row>
    <row r="1519" spans="1:12" hidden="1" x14ac:dyDescent="0.25">
      <c r="A1519" s="77" t="s">
        <v>1724</v>
      </c>
      <c r="B1519" s="77" t="s">
        <v>2486</v>
      </c>
      <c r="C1519" s="77" t="s">
        <v>2487</v>
      </c>
      <c r="D1519" s="77">
        <v>1521</v>
      </c>
      <c r="E1519" s="77">
        <v>-7</v>
      </c>
      <c r="F1519" s="78">
        <v>3.9</v>
      </c>
      <c r="G1519" s="78">
        <v>6.4070999999999998</v>
      </c>
      <c r="H1519" s="78">
        <v>-27.3</v>
      </c>
      <c r="I1519" s="78">
        <v>-44.849699999999999</v>
      </c>
      <c r="J1519" s="77" t="s">
        <v>601</v>
      </c>
      <c r="K1519" s="77" t="s">
        <v>48</v>
      </c>
      <c r="L1519" s="82">
        <v>46176</v>
      </c>
    </row>
    <row r="1520" spans="1:12" hidden="1" x14ac:dyDescent="0.25">
      <c r="A1520" s="79"/>
      <c r="B1520" s="79"/>
      <c r="C1520" s="79"/>
      <c r="D1520" s="79">
        <v>1521</v>
      </c>
      <c r="E1520" s="79"/>
      <c r="F1520" s="80"/>
      <c r="G1520" s="80"/>
      <c r="H1520" s="80"/>
      <c r="I1520" s="80"/>
      <c r="J1520" s="79" t="s">
        <v>601</v>
      </c>
      <c r="K1520" s="79" t="s">
        <v>48</v>
      </c>
      <c r="L1520" s="81">
        <v>46176</v>
      </c>
    </row>
    <row r="1521" spans="1:12" hidden="1" x14ac:dyDescent="0.25">
      <c r="A1521" s="77"/>
      <c r="B1521" s="77"/>
      <c r="C1521" s="77"/>
      <c r="D1521" s="77">
        <v>1521</v>
      </c>
      <c r="E1521" s="77"/>
      <c r="F1521" s="78"/>
      <c r="G1521" s="78"/>
      <c r="H1521" s="78"/>
      <c r="I1521" s="78"/>
      <c r="J1521" s="77" t="s">
        <v>601</v>
      </c>
      <c r="K1521" s="77" t="s">
        <v>48</v>
      </c>
      <c r="L1521" s="82">
        <v>46176</v>
      </c>
    </row>
    <row r="1522" spans="1:12" hidden="1" x14ac:dyDescent="0.25">
      <c r="A1522" s="79"/>
      <c r="B1522" s="79"/>
      <c r="C1522" s="79"/>
      <c r="D1522" s="79">
        <v>1521</v>
      </c>
      <c r="E1522" s="79"/>
      <c r="F1522" s="80"/>
      <c r="G1522" s="80"/>
      <c r="H1522" s="80"/>
      <c r="I1522" s="80"/>
      <c r="J1522" s="79" t="s">
        <v>601</v>
      </c>
      <c r="K1522" s="79" t="s">
        <v>48</v>
      </c>
      <c r="L1522" s="81">
        <v>46176</v>
      </c>
    </row>
    <row r="1523" spans="1:12" hidden="1" x14ac:dyDescent="0.25">
      <c r="A1523" s="77"/>
      <c r="B1523" s="77"/>
      <c r="C1523" s="77"/>
      <c r="D1523" s="77">
        <v>1521</v>
      </c>
      <c r="E1523" s="77"/>
      <c r="F1523" s="78"/>
      <c r="G1523" s="78"/>
      <c r="H1523" s="78"/>
      <c r="I1523" s="78"/>
      <c r="J1523" s="77" t="s">
        <v>601</v>
      </c>
      <c r="K1523" s="77" t="s">
        <v>48</v>
      </c>
      <c r="L1523" s="82">
        <v>46176</v>
      </c>
    </row>
    <row r="1524" spans="1:12" hidden="1" x14ac:dyDescent="0.25">
      <c r="A1524" s="79"/>
      <c r="B1524" s="79"/>
      <c r="C1524" s="79"/>
      <c r="D1524" s="79">
        <v>1521</v>
      </c>
      <c r="E1524" s="79"/>
      <c r="F1524" s="80"/>
      <c r="G1524" s="80"/>
      <c r="H1524" s="80"/>
      <c r="I1524" s="80"/>
      <c r="J1524" s="79" t="s">
        <v>601</v>
      </c>
      <c r="K1524" s="79" t="s">
        <v>48</v>
      </c>
      <c r="L1524" s="81">
        <v>46176</v>
      </c>
    </row>
    <row r="1525" spans="1:12" hidden="1" x14ac:dyDescent="0.25">
      <c r="A1525" s="77"/>
      <c r="B1525" s="77"/>
      <c r="C1525" s="77"/>
      <c r="D1525" s="77">
        <v>1521</v>
      </c>
      <c r="E1525" s="77"/>
      <c r="F1525" s="78"/>
      <c r="G1525" s="78"/>
      <c r="H1525" s="78"/>
      <c r="I1525" s="78"/>
      <c r="J1525" s="77" t="s">
        <v>601</v>
      </c>
      <c r="K1525" s="77" t="s">
        <v>48</v>
      </c>
      <c r="L1525" s="82">
        <v>46176</v>
      </c>
    </row>
    <row r="1526" spans="1:12" hidden="1" x14ac:dyDescent="0.25">
      <c r="A1526" s="79"/>
      <c r="B1526" s="79"/>
      <c r="C1526" s="79"/>
      <c r="D1526" s="79">
        <v>1521</v>
      </c>
      <c r="E1526" s="79"/>
      <c r="F1526" s="80"/>
      <c r="G1526" s="80"/>
      <c r="H1526" s="80"/>
      <c r="I1526" s="80"/>
      <c r="J1526" s="79" t="s">
        <v>601</v>
      </c>
      <c r="K1526" s="79" t="s">
        <v>48</v>
      </c>
      <c r="L1526" s="81">
        <v>46176</v>
      </c>
    </row>
    <row r="1527" spans="1:12" hidden="1" x14ac:dyDescent="0.25">
      <c r="A1527" s="77"/>
      <c r="B1527" s="77"/>
      <c r="C1527" s="77"/>
      <c r="D1527" s="77">
        <v>1521</v>
      </c>
      <c r="E1527" s="77"/>
      <c r="F1527" s="78"/>
      <c r="G1527" s="78"/>
      <c r="H1527" s="78"/>
      <c r="I1527" s="78"/>
      <c r="J1527" s="77" t="s">
        <v>601</v>
      </c>
      <c r="K1527" s="77" t="s">
        <v>48</v>
      </c>
      <c r="L1527" s="82">
        <v>46176</v>
      </c>
    </row>
    <row r="1528" spans="1:12" hidden="1" x14ac:dyDescent="0.25">
      <c r="A1528" s="79"/>
      <c r="B1528" s="79"/>
      <c r="C1528" s="79"/>
      <c r="D1528" s="79">
        <v>1521</v>
      </c>
      <c r="E1528" s="79"/>
      <c r="F1528" s="80"/>
      <c r="G1528" s="80"/>
      <c r="H1528" s="80"/>
      <c r="I1528" s="80"/>
      <c r="J1528" s="79" t="s">
        <v>601</v>
      </c>
      <c r="K1528" s="79" t="s">
        <v>48</v>
      </c>
      <c r="L1528" s="81">
        <v>46176</v>
      </c>
    </row>
    <row r="1529" spans="1:12" hidden="1" x14ac:dyDescent="0.25">
      <c r="A1529" s="77"/>
      <c r="B1529" s="77"/>
      <c r="C1529" s="77"/>
      <c r="D1529" s="77">
        <v>1521</v>
      </c>
      <c r="E1529" s="77"/>
      <c r="F1529" s="78"/>
      <c r="G1529" s="78"/>
      <c r="H1529" s="78"/>
      <c r="I1529" s="78"/>
      <c r="J1529" s="77" t="s">
        <v>601</v>
      </c>
      <c r="K1529" s="77" t="s">
        <v>48</v>
      </c>
      <c r="L1529" s="82">
        <v>46176</v>
      </c>
    </row>
    <row r="1530" spans="1:12" hidden="1" x14ac:dyDescent="0.25">
      <c r="A1530" s="79"/>
      <c r="B1530" s="79"/>
      <c r="C1530" s="79"/>
      <c r="D1530" s="79">
        <v>1521</v>
      </c>
      <c r="E1530" s="79"/>
      <c r="F1530" s="80"/>
      <c r="G1530" s="80"/>
      <c r="H1530" s="80"/>
      <c r="I1530" s="80"/>
      <c r="J1530" s="79" t="s">
        <v>601</v>
      </c>
      <c r="K1530" s="79" t="s">
        <v>48</v>
      </c>
      <c r="L1530" s="81">
        <v>46176</v>
      </c>
    </row>
    <row r="1531" spans="1:12" hidden="1" x14ac:dyDescent="0.25">
      <c r="A1531" s="77"/>
      <c r="B1531" s="77"/>
      <c r="C1531" s="77"/>
      <c r="D1531" s="77">
        <v>1521</v>
      </c>
      <c r="E1531" s="77"/>
      <c r="F1531" s="78"/>
      <c r="G1531" s="78"/>
      <c r="H1531" s="78"/>
      <c r="I1531" s="78"/>
      <c r="J1531" s="77" t="s">
        <v>601</v>
      </c>
      <c r="K1531" s="77" t="s">
        <v>48</v>
      </c>
      <c r="L1531" s="82">
        <v>46176</v>
      </c>
    </row>
    <row r="1532" spans="1:12" hidden="1" x14ac:dyDescent="0.25">
      <c r="A1532" s="79"/>
      <c r="B1532" s="79"/>
      <c r="C1532" s="79"/>
      <c r="D1532" s="79">
        <v>1521</v>
      </c>
      <c r="E1532" s="79"/>
      <c r="F1532" s="80"/>
      <c r="G1532" s="80"/>
      <c r="H1532" s="80"/>
      <c r="I1532" s="80"/>
      <c r="J1532" s="79" t="s">
        <v>601</v>
      </c>
      <c r="K1532" s="79" t="s">
        <v>48</v>
      </c>
      <c r="L1532" s="81">
        <v>46176</v>
      </c>
    </row>
    <row r="1533" spans="1:12" hidden="1" x14ac:dyDescent="0.25">
      <c r="A1533" s="77"/>
      <c r="B1533" s="77"/>
      <c r="C1533" s="77"/>
      <c r="D1533" s="77">
        <v>1521</v>
      </c>
      <c r="E1533" s="77"/>
      <c r="F1533" s="78"/>
      <c r="G1533" s="78"/>
      <c r="H1533" s="78"/>
      <c r="I1533" s="78"/>
      <c r="J1533" s="77" t="s">
        <v>601</v>
      </c>
      <c r="K1533" s="77" t="s">
        <v>48</v>
      </c>
      <c r="L1533" s="82">
        <v>46176</v>
      </c>
    </row>
    <row r="1534" spans="1:12" hidden="1" x14ac:dyDescent="0.25">
      <c r="A1534" s="79"/>
      <c r="B1534" s="79"/>
      <c r="C1534" s="79"/>
      <c r="D1534" s="79">
        <v>1521</v>
      </c>
      <c r="E1534" s="79"/>
      <c r="F1534" s="80"/>
      <c r="G1534" s="80"/>
      <c r="H1534" s="80"/>
      <c r="I1534" s="80"/>
      <c r="J1534" s="79" t="s">
        <v>601</v>
      </c>
      <c r="K1534" s="79" t="s">
        <v>48</v>
      </c>
      <c r="L1534" s="81">
        <v>46176</v>
      </c>
    </row>
    <row r="1535" spans="1:12" hidden="1" x14ac:dyDescent="0.25">
      <c r="A1535" s="77"/>
      <c r="B1535" s="77"/>
      <c r="C1535" s="77"/>
      <c r="D1535" s="77">
        <v>1521</v>
      </c>
      <c r="E1535" s="77"/>
      <c r="F1535" s="78"/>
      <c r="G1535" s="78"/>
      <c r="H1535" s="78"/>
      <c r="I1535" s="78"/>
      <c r="J1535" s="77" t="s">
        <v>601</v>
      </c>
      <c r="K1535" s="77" t="s">
        <v>48</v>
      </c>
      <c r="L1535" s="82">
        <v>46176</v>
      </c>
    </row>
    <row r="1536" spans="1:12" hidden="1" x14ac:dyDescent="0.25">
      <c r="A1536" s="79"/>
      <c r="B1536" s="79"/>
      <c r="C1536" s="79"/>
      <c r="D1536" s="79">
        <v>1521</v>
      </c>
      <c r="E1536" s="79"/>
      <c r="F1536" s="80"/>
      <c r="G1536" s="80"/>
      <c r="H1536" s="80"/>
      <c r="I1536" s="80"/>
      <c r="J1536" s="79" t="s">
        <v>601</v>
      </c>
      <c r="K1536" s="79" t="s">
        <v>48</v>
      </c>
      <c r="L1536" s="81">
        <v>46176</v>
      </c>
    </row>
    <row r="1537" spans="1:12" hidden="1" x14ac:dyDescent="0.25">
      <c r="A1537" s="77"/>
      <c r="B1537" s="77"/>
      <c r="C1537" s="77"/>
      <c r="D1537" s="77">
        <v>1521</v>
      </c>
      <c r="E1537" s="77"/>
      <c r="F1537" s="78"/>
      <c r="G1537" s="78"/>
      <c r="H1537" s="78"/>
      <c r="I1537" s="78"/>
      <c r="J1537" s="77" t="s">
        <v>601</v>
      </c>
      <c r="K1537" s="77" t="s">
        <v>48</v>
      </c>
      <c r="L1537" s="82">
        <v>46176</v>
      </c>
    </row>
    <row r="1538" spans="1:12" hidden="1" x14ac:dyDescent="0.25">
      <c r="A1538" s="79"/>
      <c r="B1538" s="79"/>
      <c r="C1538" s="79"/>
      <c r="D1538" s="79">
        <v>1521</v>
      </c>
      <c r="E1538" s="79"/>
      <c r="F1538" s="80"/>
      <c r="G1538" s="80"/>
      <c r="H1538" s="80"/>
      <c r="I1538" s="80"/>
      <c r="J1538" s="79" t="s">
        <v>601</v>
      </c>
      <c r="K1538" s="79" t="s">
        <v>48</v>
      </c>
      <c r="L1538" s="81">
        <v>46176</v>
      </c>
    </row>
    <row r="1539" spans="1:12" hidden="1" x14ac:dyDescent="0.25">
      <c r="A1539" s="77"/>
      <c r="B1539" s="77"/>
      <c r="C1539" s="77"/>
      <c r="D1539" s="77">
        <v>1521</v>
      </c>
      <c r="E1539" s="77"/>
      <c r="F1539" s="78"/>
      <c r="G1539" s="78"/>
      <c r="H1539" s="78"/>
      <c r="I1539" s="78"/>
      <c r="J1539" s="77" t="s">
        <v>601</v>
      </c>
      <c r="K1539" s="77" t="s">
        <v>48</v>
      </c>
      <c r="L1539" s="82">
        <v>46176</v>
      </c>
    </row>
    <row r="1540" spans="1:12" hidden="1" x14ac:dyDescent="0.25">
      <c r="A1540" s="79" t="s">
        <v>911</v>
      </c>
      <c r="B1540" s="79" t="s">
        <v>2017</v>
      </c>
      <c r="C1540" s="79" t="s">
        <v>2018</v>
      </c>
      <c r="D1540" s="79">
        <v>1519</v>
      </c>
      <c r="E1540" s="79">
        <v>1</v>
      </c>
      <c r="F1540" s="80">
        <v>9.1625666666666703</v>
      </c>
      <c r="G1540" s="80">
        <v>20.93</v>
      </c>
      <c r="H1540" s="80">
        <v>9.1625666666666703</v>
      </c>
      <c r="I1540" s="80">
        <v>20.93</v>
      </c>
      <c r="J1540" s="79" t="s">
        <v>606</v>
      </c>
      <c r="K1540" s="79" t="s">
        <v>48</v>
      </c>
      <c r="L1540" s="81">
        <v>46183</v>
      </c>
    </row>
    <row r="1541" spans="1:12" hidden="1" x14ac:dyDescent="0.25">
      <c r="A1541" s="77" t="s">
        <v>922</v>
      </c>
      <c r="B1541" s="77" t="s">
        <v>2021</v>
      </c>
      <c r="C1541" s="77" t="s">
        <v>2022</v>
      </c>
      <c r="D1541" s="77">
        <v>1519</v>
      </c>
      <c r="E1541" s="77">
        <v>-1</v>
      </c>
      <c r="F1541" s="78">
        <v>13.0006</v>
      </c>
      <c r="G1541" s="78">
        <v>28.31</v>
      </c>
      <c r="H1541" s="78">
        <v>-13.0006</v>
      </c>
      <c r="I1541" s="78">
        <v>-28.31</v>
      </c>
      <c r="J1541" s="77" t="s">
        <v>606</v>
      </c>
      <c r="K1541" s="77" t="s">
        <v>48</v>
      </c>
      <c r="L1541" s="82">
        <v>46183</v>
      </c>
    </row>
    <row r="1542" spans="1:12" hidden="1" x14ac:dyDescent="0.25">
      <c r="A1542" s="79" t="s">
        <v>911</v>
      </c>
      <c r="B1542" s="79" t="s">
        <v>2019</v>
      </c>
      <c r="C1542" s="79" t="s">
        <v>2020</v>
      </c>
      <c r="D1542" s="79">
        <v>1519</v>
      </c>
      <c r="E1542" s="79">
        <v>1</v>
      </c>
      <c r="F1542" s="80">
        <v>13.0006</v>
      </c>
      <c r="G1542" s="80">
        <v>28.31</v>
      </c>
      <c r="H1542" s="80">
        <v>13.0006</v>
      </c>
      <c r="I1542" s="80">
        <v>28.31</v>
      </c>
      <c r="J1542" s="79" t="s">
        <v>606</v>
      </c>
      <c r="K1542" s="79" t="s">
        <v>48</v>
      </c>
      <c r="L1542" s="81">
        <v>46183</v>
      </c>
    </row>
    <row r="1543" spans="1:12" hidden="1" x14ac:dyDescent="0.25">
      <c r="A1543" s="77" t="s">
        <v>922</v>
      </c>
      <c r="B1543" s="77" t="s">
        <v>2015</v>
      </c>
      <c r="C1543" s="77" t="s">
        <v>2016</v>
      </c>
      <c r="D1543" s="77">
        <v>1519</v>
      </c>
      <c r="E1543" s="77">
        <v>-1</v>
      </c>
      <c r="F1543" s="78">
        <v>8.9792555555555609</v>
      </c>
      <c r="G1543" s="78">
        <v>20.93</v>
      </c>
      <c r="H1543" s="78">
        <v>-8.9792555555555609</v>
      </c>
      <c r="I1543" s="78">
        <v>-20.93</v>
      </c>
      <c r="J1543" s="77" t="s">
        <v>606</v>
      </c>
      <c r="K1543" s="77" t="s">
        <v>48</v>
      </c>
      <c r="L1543" s="82">
        <v>46183</v>
      </c>
    </row>
    <row r="1544" spans="1:12" hidden="1" x14ac:dyDescent="0.25">
      <c r="A1544" s="79" t="s">
        <v>898</v>
      </c>
      <c r="B1544" s="79" t="s">
        <v>1793</v>
      </c>
      <c r="C1544" s="79" t="s">
        <v>1794</v>
      </c>
      <c r="D1544" s="79">
        <v>1519</v>
      </c>
      <c r="E1544" s="79">
        <v>1</v>
      </c>
      <c r="F1544" s="80">
        <v>7.0621999999999998</v>
      </c>
      <c r="G1544" s="80">
        <v>18.2</v>
      </c>
      <c r="H1544" s="80">
        <v>7.0621999999999998</v>
      </c>
      <c r="I1544" s="80">
        <v>18.2</v>
      </c>
      <c r="J1544" s="79" t="s">
        <v>606</v>
      </c>
      <c r="K1544" s="79" t="s">
        <v>48</v>
      </c>
      <c r="L1544" s="81">
        <v>46183</v>
      </c>
    </row>
    <row r="1545" spans="1:12" hidden="1" x14ac:dyDescent="0.25">
      <c r="A1545" s="77" t="s">
        <v>922</v>
      </c>
      <c r="B1545" s="77" t="s">
        <v>2531</v>
      </c>
      <c r="C1545" s="77" t="s">
        <v>2494</v>
      </c>
      <c r="D1545" s="77">
        <v>1519</v>
      </c>
      <c r="E1545" s="77">
        <v>-1</v>
      </c>
      <c r="F1545" s="78">
        <v>6.9855</v>
      </c>
      <c r="G1545" s="78">
        <v>14.39</v>
      </c>
      <c r="H1545" s="78">
        <v>-6.9855</v>
      </c>
      <c r="I1545" s="78">
        <v>-14.39</v>
      </c>
      <c r="J1545" s="77" t="s">
        <v>606</v>
      </c>
      <c r="K1545" s="77" t="s">
        <v>48</v>
      </c>
      <c r="L1545" s="82">
        <v>46183</v>
      </c>
    </row>
    <row r="1546" spans="1:12" hidden="1" x14ac:dyDescent="0.25">
      <c r="A1546" s="79" t="s">
        <v>922</v>
      </c>
      <c r="B1546" s="79" t="s">
        <v>3033</v>
      </c>
      <c r="C1546" s="79" t="s">
        <v>3034</v>
      </c>
      <c r="D1546" s="79">
        <v>1519</v>
      </c>
      <c r="E1546" s="79">
        <v>-1</v>
      </c>
      <c r="F1546" s="80">
        <v>6.9850000000000003</v>
      </c>
      <c r="G1546" s="80">
        <v>14.39</v>
      </c>
      <c r="H1546" s="80">
        <v>-6.9850000000000003</v>
      </c>
      <c r="I1546" s="80">
        <v>-14.39</v>
      </c>
      <c r="J1546" s="79" t="s">
        <v>606</v>
      </c>
      <c r="K1546" s="79" t="s">
        <v>48</v>
      </c>
      <c r="L1546" s="81">
        <v>46183</v>
      </c>
    </row>
    <row r="1547" spans="1:12" hidden="1" x14ac:dyDescent="0.25">
      <c r="A1547" s="77" t="s">
        <v>1724</v>
      </c>
      <c r="B1547" s="77" t="s">
        <v>705</v>
      </c>
      <c r="C1547" s="77" t="s">
        <v>706</v>
      </c>
      <c r="D1547" s="77">
        <v>1519</v>
      </c>
      <c r="E1547" s="77">
        <v>-28</v>
      </c>
      <c r="F1547" s="78">
        <v>2.42208214285714</v>
      </c>
      <c r="G1547" s="78">
        <v>3.94</v>
      </c>
      <c r="H1547" s="78">
        <v>-67.818299999999923</v>
      </c>
      <c r="I1547" s="78">
        <v>-110.32</v>
      </c>
      <c r="J1547" s="77" t="s">
        <v>606</v>
      </c>
      <c r="K1547" s="77" t="s">
        <v>48</v>
      </c>
      <c r="L1547" s="82">
        <v>46183</v>
      </c>
    </row>
    <row r="1548" spans="1:12" hidden="1" x14ac:dyDescent="0.25">
      <c r="A1548" s="79" t="s">
        <v>1724</v>
      </c>
      <c r="B1548" s="79" t="s">
        <v>994</v>
      </c>
      <c r="C1548" s="79" t="s">
        <v>995</v>
      </c>
      <c r="D1548" s="79">
        <v>1519</v>
      </c>
      <c r="E1548" s="79">
        <v>-21</v>
      </c>
      <c r="F1548" s="80">
        <v>2.4387666666666701</v>
      </c>
      <c r="G1548" s="80">
        <v>3.94</v>
      </c>
      <c r="H1548" s="80">
        <v>-51.214100000000073</v>
      </c>
      <c r="I1548" s="80">
        <v>-82.74</v>
      </c>
      <c r="J1548" s="79" t="s">
        <v>606</v>
      </c>
      <c r="K1548" s="79" t="s">
        <v>48</v>
      </c>
      <c r="L1548" s="81">
        <v>46183</v>
      </c>
    </row>
    <row r="1549" spans="1:12" hidden="1" x14ac:dyDescent="0.25">
      <c r="A1549" s="77" t="s">
        <v>1724</v>
      </c>
      <c r="B1549" s="77" t="s">
        <v>733</v>
      </c>
      <c r="C1549" s="77" t="s">
        <v>734</v>
      </c>
      <c r="D1549" s="77">
        <v>1519</v>
      </c>
      <c r="E1549" s="77">
        <v>-16</v>
      </c>
      <c r="F1549" s="78">
        <v>1.81745625</v>
      </c>
      <c r="G1549" s="78">
        <v>2.96</v>
      </c>
      <c r="H1549" s="78">
        <v>-29.0793</v>
      </c>
      <c r="I1549" s="78">
        <v>-47.36</v>
      </c>
      <c r="J1549" s="77" t="s">
        <v>606</v>
      </c>
      <c r="K1549" s="77" t="s">
        <v>48</v>
      </c>
      <c r="L1549" s="82">
        <v>46183</v>
      </c>
    </row>
    <row r="1550" spans="1:12" hidden="1" x14ac:dyDescent="0.25">
      <c r="A1550" s="79" t="s">
        <v>1724</v>
      </c>
      <c r="B1550" s="79" t="s">
        <v>3035</v>
      </c>
      <c r="C1550" s="79" t="s">
        <v>3036</v>
      </c>
      <c r="D1550" s="79">
        <v>1519</v>
      </c>
      <c r="E1550" s="79">
        <v>-14</v>
      </c>
      <c r="F1550" s="80">
        <v>1.8360000000000001</v>
      </c>
      <c r="G1550" s="80">
        <v>2.96</v>
      </c>
      <c r="H1550" s="80">
        <v>-25.704000000000001</v>
      </c>
      <c r="I1550" s="80">
        <v>-41.44</v>
      </c>
      <c r="J1550" s="79" t="s">
        <v>606</v>
      </c>
      <c r="K1550" s="79" t="s">
        <v>48</v>
      </c>
      <c r="L1550" s="81">
        <v>46183</v>
      </c>
    </row>
    <row r="1551" spans="1:12" hidden="1" x14ac:dyDescent="0.25">
      <c r="A1551" s="77" t="s">
        <v>911</v>
      </c>
      <c r="B1551" s="77" t="s">
        <v>3037</v>
      </c>
      <c r="C1551" s="77" t="s">
        <v>3034</v>
      </c>
      <c r="D1551" s="77">
        <v>1519</v>
      </c>
      <c r="E1551" s="77">
        <v>1</v>
      </c>
      <c r="F1551" s="78">
        <v>5.4591000000000003</v>
      </c>
      <c r="G1551" s="78">
        <v>11.25</v>
      </c>
      <c r="H1551" s="78">
        <v>5.4591000000000003</v>
      </c>
      <c r="I1551" s="78">
        <v>11.25</v>
      </c>
      <c r="J1551" s="77" t="s">
        <v>606</v>
      </c>
      <c r="K1551" s="77" t="s">
        <v>48</v>
      </c>
      <c r="L1551" s="82">
        <v>46183</v>
      </c>
    </row>
    <row r="1552" spans="1:12" hidden="1" x14ac:dyDescent="0.25">
      <c r="A1552" s="79" t="s">
        <v>911</v>
      </c>
      <c r="B1552" s="79" t="s">
        <v>3038</v>
      </c>
      <c r="C1552" s="79" t="s">
        <v>3039</v>
      </c>
      <c r="D1552" s="79">
        <v>1519</v>
      </c>
      <c r="E1552" s="79">
        <v>1</v>
      </c>
      <c r="F1552" s="80">
        <v>6.5793999999999997</v>
      </c>
      <c r="G1552" s="80">
        <v>13.56</v>
      </c>
      <c r="H1552" s="80">
        <v>6.5793999999999997</v>
      </c>
      <c r="I1552" s="80">
        <v>13.56</v>
      </c>
      <c r="J1552" s="79" t="s">
        <v>606</v>
      </c>
      <c r="K1552" s="79" t="s">
        <v>48</v>
      </c>
      <c r="L1552" s="81">
        <v>46183</v>
      </c>
    </row>
    <row r="1553" spans="1:12" hidden="1" x14ac:dyDescent="0.25">
      <c r="A1553" s="77" t="s">
        <v>898</v>
      </c>
      <c r="B1553" s="77" t="s">
        <v>2184</v>
      </c>
      <c r="C1553" s="77" t="s">
        <v>2185</v>
      </c>
      <c r="D1553" s="77">
        <v>1519</v>
      </c>
      <c r="E1553" s="77">
        <v>1</v>
      </c>
      <c r="F1553" s="78">
        <v>3.573</v>
      </c>
      <c r="G1553" s="78">
        <v>9.1199999999999992</v>
      </c>
      <c r="H1553" s="78">
        <v>3.573</v>
      </c>
      <c r="I1553" s="78">
        <v>9.1199999999999992</v>
      </c>
      <c r="J1553" s="77" t="s">
        <v>606</v>
      </c>
      <c r="K1553" s="77" t="s">
        <v>48</v>
      </c>
      <c r="L1553" s="82">
        <v>46183</v>
      </c>
    </row>
    <row r="1554" spans="1:12" hidden="1" x14ac:dyDescent="0.25">
      <c r="A1554" s="79" t="s">
        <v>877</v>
      </c>
      <c r="B1554" s="79" t="s">
        <v>3040</v>
      </c>
      <c r="C1554" s="79" t="s">
        <v>3041</v>
      </c>
      <c r="D1554" s="79">
        <v>3044</v>
      </c>
      <c r="E1554" s="79">
        <v>-1</v>
      </c>
      <c r="F1554" s="80">
        <v>94.647900000000007</v>
      </c>
      <c r="G1554" s="80">
        <v>614.57000000000005</v>
      </c>
      <c r="H1554" s="80">
        <v>-94.647900000000007</v>
      </c>
      <c r="I1554" s="80">
        <v>-614.57000000000005</v>
      </c>
      <c r="J1554" s="79" t="s">
        <v>609</v>
      </c>
      <c r="K1554" s="79" t="s">
        <v>48</v>
      </c>
      <c r="L1554" s="81">
        <v>46186</v>
      </c>
    </row>
    <row r="1555" spans="1:12" hidden="1" x14ac:dyDescent="0.25">
      <c r="A1555" s="77" t="s">
        <v>877</v>
      </c>
      <c r="B1555" s="77" t="s">
        <v>3042</v>
      </c>
      <c r="C1555" s="77" t="s">
        <v>3043</v>
      </c>
      <c r="D1555" s="77">
        <v>3044</v>
      </c>
      <c r="E1555" s="77">
        <v>-9</v>
      </c>
      <c r="F1555" s="78">
        <v>1.85</v>
      </c>
      <c r="G1555" s="78">
        <v>6.74</v>
      </c>
      <c r="H1555" s="78">
        <v>-16.649999999999999</v>
      </c>
      <c r="I1555" s="78">
        <v>-60.66</v>
      </c>
      <c r="J1555" s="77" t="s">
        <v>609</v>
      </c>
      <c r="K1555" s="77" t="s">
        <v>48</v>
      </c>
      <c r="L1555" s="82">
        <v>46186</v>
      </c>
    </row>
    <row r="1556" spans="1:12" hidden="1" x14ac:dyDescent="0.25">
      <c r="A1556" s="79" t="s">
        <v>877</v>
      </c>
      <c r="B1556" s="79" t="s">
        <v>3044</v>
      </c>
      <c r="C1556" s="79" t="s">
        <v>3045</v>
      </c>
      <c r="D1556" s="79">
        <v>3044</v>
      </c>
      <c r="E1556" s="79">
        <v>-1</v>
      </c>
      <c r="F1556" s="80">
        <v>30.803349999999998</v>
      </c>
      <c r="G1556" s="80">
        <v>50.61</v>
      </c>
      <c r="H1556" s="80">
        <v>-30.803349999999998</v>
      </c>
      <c r="I1556" s="80">
        <v>-50.61</v>
      </c>
      <c r="J1556" s="79" t="s">
        <v>609</v>
      </c>
      <c r="K1556" s="79" t="s">
        <v>48</v>
      </c>
      <c r="L1556" s="81">
        <v>46186</v>
      </c>
    </row>
    <row r="1557" spans="1:12" hidden="1" x14ac:dyDescent="0.25">
      <c r="A1557" s="77" t="s">
        <v>877</v>
      </c>
      <c r="B1557" s="77" t="s">
        <v>1589</v>
      </c>
      <c r="C1557" s="77" t="s">
        <v>1590</v>
      </c>
      <c r="D1557" s="77">
        <v>3044</v>
      </c>
      <c r="E1557" s="77">
        <v>-1</v>
      </c>
      <c r="F1557" s="78">
        <v>17.686199999999999</v>
      </c>
      <c r="G1557" s="78">
        <v>26.42</v>
      </c>
      <c r="H1557" s="78">
        <v>-17.686199999999999</v>
      </c>
      <c r="I1557" s="78">
        <v>-26.42</v>
      </c>
      <c r="J1557" s="77" t="s">
        <v>609</v>
      </c>
      <c r="K1557" s="77" t="s">
        <v>48</v>
      </c>
      <c r="L1557" s="82">
        <v>46186</v>
      </c>
    </row>
    <row r="1558" spans="1:12" hidden="1" x14ac:dyDescent="0.25">
      <c r="A1558" s="79" t="s">
        <v>877</v>
      </c>
      <c r="B1558" s="79" t="s">
        <v>3046</v>
      </c>
      <c r="C1558" s="79" t="s">
        <v>3047</v>
      </c>
      <c r="D1558" s="79">
        <v>3044</v>
      </c>
      <c r="E1558" s="79">
        <v>-1</v>
      </c>
      <c r="F1558" s="80">
        <v>2.34</v>
      </c>
      <c r="G1558" s="80">
        <v>8.5299999999999994</v>
      </c>
      <c r="H1558" s="80">
        <v>-2.34</v>
      </c>
      <c r="I1558" s="80">
        <v>-8.5299999999999994</v>
      </c>
      <c r="J1558" s="79" t="s">
        <v>609</v>
      </c>
      <c r="K1558" s="79" t="s">
        <v>48</v>
      </c>
      <c r="L1558" s="81">
        <v>46186</v>
      </c>
    </row>
    <row r="1559" spans="1:12" hidden="1" x14ac:dyDescent="0.25">
      <c r="A1559" s="77" t="s">
        <v>877</v>
      </c>
      <c r="B1559" s="77" t="s">
        <v>3048</v>
      </c>
      <c r="C1559" s="77" t="s">
        <v>3049</v>
      </c>
      <c r="D1559" s="77">
        <v>3044</v>
      </c>
      <c r="E1559" s="77">
        <v>-1</v>
      </c>
      <c r="F1559" s="78">
        <v>1.85</v>
      </c>
      <c r="G1559" s="78">
        <v>6.74</v>
      </c>
      <c r="H1559" s="78">
        <v>-1.85</v>
      </c>
      <c r="I1559" s="78">
        <v>-6.74</v>
      </c>
      <c r="J1559" s="77" t="s">
        <v>609</v>
      </c>
      <c r="K1559" s="77" t="s">
        <v>48</v>
      </c>
      <c r="L1559" s="82">
        <v>46186</v>
      </c>
    </row>
    <row r="1560" spans="1:12" hidden="1" x14ac:dyDescent="0.25">
      <c r="A1560" s="79" t="s">
        <v>877</v>
      </c>
      <c r="B1560" s="79" t="s">
        <v>3050</v>
      </c>
      <c r="C1560" s="79" t="s">
        <v>3051</v>
      </c>
      <c r="D1560" s="79">
        <v>3044</v>
      </c>
      <c r="E1560" s="79">
        <v>-1</v>
      </c>
      <c r="F1560" s="80">
        <v>1.2828999999999999</v>
      </c>
      <c r="G1560" s="80">
        <v>3.91</v>
      </c>
      <c r="H1560" s="80">
        <v>-1.2828999999999999</v>
      </c>
      <c r="I1560" s="80">
        <v>-3.91</v>
      </c>
      <c r="J1560" s="79" t="s">
        <v>609</v>
      </c>
      <c r="K1560" s="79" t="s">
        <v>48</v>
      </c>
      <c r="L1560" s="81">
        <v>46186</v>
      </c>
    </row>
    <row r="1561" spans="1:12" hidden="1" x14ac:dyDescent="0.25">
      <c r="A1561" s="77" t="s">
        <v>922</v>
      </c>
      <c r="B1561" s="77" t="s">
        <v>1543</v>
      </c>
      <c r="C1561" s="77" t="s">
        <v>1544</v>
      </c>
      <c r="D1561" s="77">
        <v>3044</v>
      </c>
      <c r="E1561" s="77">
        <v>-2</v>
      </c>
      <c r="F1561" s="78">
        <v>17.686150000000001</v>
      </c>
      <c r="G1561" s="78">
        <v>27.6</v>
      </c>
      <c r="H1561" s="78">
        <v>-35.372300000000003</v>
      </c>
      <c r="I1561" s="78">
        <v>-55.2</v>
      </c>
      <c r="J1561" s="77" t="s">
        <v>609</v>
      </c>
      <c r="K1561" s="77" t="s">
        <v>48</v>
      </c>
      <c r="L1561" s="82">
        <v>46186</v>
      </c>
    </row>
    <row r="1562" spans="1:12" hidden="1" x14ac:dyDescent="0.25">
      <c r="A1562" s="79" t="s">
        <v>922</v>
      </c>
      <c r="B1562" s="79" t="s">
        <v>3052</v>
      </c>
      <c r="C1562" s="79" t="s">
        <v>3053</v>
      </c>
      <c r="D1562" s="79">
        <v>3044</v>
      </c>
      <c r="E1562" s="79">
        <v>-1</v>
      </c>
      <c r="F1562" s="80">
        <v>30.803333333333331</v>
      </c>
      <c r="G1562" s="80">
        <v>50.61</v>
      </c>
      <c r="H1562" s="80">
        <v>-30.803333333333331</v>
      </c>
      <c r="I1562" s="80">
        <v>-50.61</v>
      </c>
      <c r="J1562" s="79" t="s">
        <v>609</v>
      </c>
      <c r="K1562" s="79" t="s">
        <v>48</v>
      </c>
      <c r="L1562" s="81">
        <v>46186</v>
      </c>
    </row>
    <row r="1563" spans="1:12" hidden="1" x14ac:dyDescent="0.25">
      <c r="A1563" s="77" t="s">
        <v>922</v>
      </c>
      <c r="B1563" s="77" t="s">
        <v>3054</v>
      </c>
      <c r="C1563" s="77" t="s">
        <v>3055</v>
      </c>
      <c r="D1563" s="77">
        <v>3044</v>
      </c>
      <c r="E1563" s="77">
        <v>-1</v>
      </c>
      <c r="F1563" s="78">
        <v>10.290369999999999</v>
      </c>
      <c r="G1563" s="78">
        <v>49.48</v>
      </c>
      <c r="H1563" s="78">
        <v>-10.290369999999999</v>
      </c>
      <c r="I1563" s="78">
        <v>-49.48</v>
      </c>
      <c r="J1563" s="77" t="s">
        <v>609</v>
      </c>
      <c r="K1563" s="77" t="s">
        <v>48</v>
      </c>
      <c r="L1563" s="82">
        <v>46186</v>
      </c>
    </row>
    <row r="1564" spans="1:12" hidden="1" x14ac:dyDescent="0.25">
      <c r="A1564" s="79" t="s">
        <v>922</v>
      </c>
      <c r="B1564" s="79" t="s">
        <v>3056</v>
      </c>
      <c r="C1564" s="79" t="s">
        <v>3057</v>
      </c>
      <c r="D1564" s="79">
        <v>3044</v>
      </c>
      <c r="E1564" s="79">
        <v>-1</v>
      </c>
      <c r="F1564" s="80">
        <v>28.700824999999998</v>
      </c>
      <c r="G1564" s="80">
        <v>47.15</v>
      </c>
      <c r="H1564" s="80">
        <v>-28.700824999999998</v>
      </c>
      <c r="I1564" s="80">
        <v>-47.15</v>
      </c>
      <c r="J1564" s="79" t="s">
        <v>609</v>
      </c>
      <c r="K1564" s="79" t="s">
        <v>48</v>
      </c>
      <c r="L1564" s="81">
        <v>46186</v>
      </c>
    </row>
    <row r="1565" spans="1:12" hidden="1" x14ac:dyDescent="0.25">
      <c r="A1565" s="77" t="s">
        <v>922</v>
      </c>
      <c r="B1565" s="77" t="s">
        <v>3058</v>
      </c>
      <c r="C1565" s="77" t="s">
        <v>3059</v>
      </c>
      <c r="D1565" s="77">
        <v>3044</v>
      </c>
      <c r="E1565" s="77">
        <v>-1</v>
      </c>
      <c r="F1565" s="78">
        <v>14.285299999999999</v>
      </c>
      <c r="G1565" s="78">
        <v>45.01</v>
      </c>
      <c r="H1565" s="78">
        <v>-14.285299999999999</v>
      </c>
      <c r="I1565" s="78">
        <v>-45.01</v>
      </c>
      <c r="J1565" s="77" t="s">
        <v>609</v>
      </c>
      <c r="K1565" s="77" t="s">
        <v>48</v>
      </c>
      <c r="L1565" s="82">
        <v>46186</v>
      </c>
    </row>
    <row r="1566" spans="1:12" hidden="1" x14ac:dyDescent="0.25">
      <c r="A1566" s="79" t="s">
        <v>922</v>
      </c>
      <c r="B1566" s="79" t="s">
        <v>3060</v>
      </c>
      <c r="C1566" s="79" t="s">
        <v>3061</v>
      </c>
      <c r="D1566" s="79">
        <v>3044</v>
      </c>
      <c r="E1566" s="79">
        <v>-1</v>
      </c>
      <c r="F1566" s="80">
        <v>21.728136842105261</v>
      </c>
      <c r="G1566" s="80">
        <v>35.4</v>
      </c>
      <c r="H1566" s="80">
        <v>-21.728136842105261</v>
      </c>
      <c r="I1566" s="80">
        <v>-35.4</v>
      </c>
      <c r="J1566" s="79" t="s">
        <v>609</v>
      </c>
      <c r="K1566" s="79" t="s">
        <v>48</v>
      </c>
      <c r="L1566" s="81">
        <v>46186</v>
      </c>
    </row>
    <row r="1567" spans="1:12" hidden="1" x14ac:dyDescent="0.25">
      <c r="A1567" s="77" t="s">
        <v>922</v>
      </c>
      <c r="B1567" s="77" t="s">
        <v>3062</v>
      </c>
      <c r="C1567" s="77" t="s">
        <v>3063</v>
      </c>
      <c r="D1567" s="77">
        <v>3044</v>
      </c>
      <c r="E1567" s="77">
        <v>-1</v>
      </c>
      <c r="F1567" s="78">
        <v>9.0820133333333324</v>
      </c>
      <c r="G1567" s="78">
        <v>33.119999999999997</v>
      </c>
      <c r="H1567" s="78">
        <v>-9.0820133333333324</v>
      </c>
      <c r="I1567" s="78">
        <v>-33.119999999999997</v>
      </c>
      <c r="J1567" s="77" t="s">
        <v>609</v>
      </c>
      <c r="K1567" s="77" t="s">
        <v>48</v>
      </c>
      <c r="L1567" s="82">
        <v>46186</v>
      </c>
    </row>
    <row r="1568" spans="1:12" hidden="1" x14ac:dyDescent="0.25">
      <c r="A1568" s="79" t="s">
        <v>922</v>
      </c>
      <c r="B1568" s="79" t="s">
        <v>3064</v>
      </c>
      <c r="C1568" s="79" t="s">
        <v>3065</v>
      </c>
      <c r="D1568" s="79">
        <v>3044</v>
      </c>
      <c r="E1568" s="79">
        <v>-1</v>
      </c>
      <c r="F1568" s="80">
        <v>19.158750000000001</v>
      </c>
      <c r="G1568" s="80">
        <v>29.9</v>
      </c>
      <c r="H1568" s="80">
        <v>-19.158750000000001</v>
      </c>
      <c r="I1568" s="80">
        <v>-29.9</v>
      </c>
      <c r="J1568" s="79" t="s">
        <v>609</v>
      </c>
      <c r="K1568" s="79" t="s">
        <v>48</v>
      </c>
      <c r="L1568" s="81">
        <v>46186</v>
      </c>
    </row>
    <row r="1569" spans="1:12" hidden="1" x14ac:dyDescent="0.25">
      <c r="A1569" s="77" t="s">
        <v>922</v>
      </c>
      <c r="B1569" s="77" t="s">
        <v>3066</v>
      </c>
      <c r="C1569" s="77" t="s">
        <v>3067</v>
      </c>
      <c r="D1569" s="77">
        <v>3044</v>
      </c>
      <c r="E1569" s="77">
        <v>-1</v>
      </c>
      <c r="F1569" s="78">
        <v>16.801600000000001</v>
      </c>
      <c r="G1569" s="78">
        <v>27.61</v>
      </c>
      <c r="H1569" s="78">
        <v>-16.801600000000001</v>
      </c>
      <c r="I1569" s="78">
        <v>-27.61</v>
      </c>
      <c r="J1569" s="77" t="s">
        <v>609</v>
      </c>
      <c r="K1569" s="77" t="s">
        <v>48</v>
      </c>
      <c r="L1569" s="82">
        <v>46186</v>
      </c>
    </row>
    <row r="1570" spans="1:12" hidden="1" x14ac:dyDescent="0.25">
      <c r="A1570" s="79" t="s">
        <v>922</v>
      </c>
      <c r="B1570" s="79" t="s">
        <v>3068</v>
      </c>
      <c r="C1570" s="79" t="s">
        <v>3069</v>
      </c>
      <c r="D1570" s="79">
        <v>3044</v>
      </c>
      <c r="E1570" s="79">
        <v>-1</v>
      </c>
      <c r="F1570" s="80">
        <v>16.212299999999999</v>
      </c>
      <c r="G1570" s="80">
        <v>24.21</v>
      </c>
      <c r="H1570" s="80">
        <v>-16.212299999999999</v>
      </c>
      <c r="I1570" s="80">
        <v>-24.21</v>
      </c>
      <c r="J1570" s="79" t="s">
        <v>609</v>
      </c>
      <c r="K1570" s="79" t="s">
        <v>48</v>
      </c>
      <c r="L1570" s="81">
        <v>46186</v>
      </c>
    </row>
    <row r="1571" spans="1:12" hidden="1" x14ac:dyDescent="0.25">
      <c r="A1571" s="77" t="s">
        <v>922</v>
      </c>
      <c r="B1571" s="77" t="s">
        <v>3070</v>
      </c>
      <c r="C1571" s="77" t="s">
        <v>3071</v>
      </c>
      <c r="D1571" s="77">
        <v>3044</v>
      </c>
      <c r="E1571" s="77">
        <v>-1</v>
      </c>
      <c r="F1571" s="78">
        <v>16.2121</v>
      </c>
      <c r="G1571" s="78">
        <v>24.21</v>
      </c>
      <c r="H1571" s="78">
        <v>-16.2121</v>
      </c>
      <c r="I1571" s="78">
        <v>-24.21</v>
      </c>
      <c r="J1571" s="77" t="s">
        <v>609</v>
      </c>
      <c r="K1571" s="77" t="s">
        <v>48</v>
      </c>
      <c r="L1571" s="82">
        <v>46186</v>
      </c>
    </row>
    <row r="1572" spans="1:12" hidden="1" x14ac:dyDescent="0.25">
      <c r="A1572" s="79" t="s">
        <v>922</v>
      </c>
      <c r="B1572" s="79" t="s">
        <v>3072</v>
      </c>
      <c r="C1572" s="79" t="s">
        <v>3073</v>
      </c>
      <c r="D1572" s="79">
        <v>3044</v>
      </c>
      <c r="E1572" s="79">
        <v>-1</v>
      </c>
      <c r="F1572" s="80">
        <v>14</v>
      </c>
      <c r="G1572" s="80">
        <v>23</v>
      </c>
      <c r="H1572" s="80">
        <v>-14</v>
      </c>
      <c r="I1572" s="80">
        <v>-23</v>
      </c>
      <c r="J1572" s="79" t="s">
        <v>609</v>
      </c>
      <c r="K1572" s="79" t="s">
        <v>48</v>
      </c>
      <c r="L1572" s="81">
        <v>46186</v>
      </c>
    </row>
    <row r="1573" spans="1:12" hidden="1" x14ac:dyDescent="0.25">
      <c r="A1573" s="77" t="s">
        <v>922</v>
      </c>
      <c r="B1573" s="77" t="s">
        <v>1843</v>
      </c>
      <c r="C1573" s="77" t="s">
        <v>1844</v>
      </c>
      <c r="D1573" s="77">
        <v>3044</v>
      </c>
      <c r="E1573" s="77">
        <v>-1</v>
      </c>
      <c r="F1573" s="78">
        <v>7.6329000000000002</v>
      </c>
      <c r="G1573" s="78">
        <v>22.51</v>
      </c>
      <c r="H1573" s="78">
        <v>-7.6329000000000002</v>
      </c>
      <c r="I1573" s="78">
        <v>-22.51</v>
      </c>
      <c r="J1573" s="77" t="s">
        <v>609</v>
      </c>
      <c r="K1573" s="77" t="s">
        <v>48</v>
      </c>
      <c r="L1573" s="82">
        <v>46186</v>
      </c>
    </row>
    <row r="1574" spans="1:12" hidden="1" x14ac:dyDescent="0.25">
      <c r="A1574" s="79" t="s">
        <v>922</v>
      </c>
      <c r="B1574" s="79" t="s">
        <v>3074</v>
      </c>
      <c r="C1574" s="79" t="s">
        <v>3075</v>
      </c>
      <c r="D1574" s="79">
        <v>3044</v>
      </c>
      <c r="E1574" s="79">
        <v>-1</v>
      </c>
      <c r="F1574" s="80">
        <v>14.7385</v>
      </c>
      <c r="G1574" s="80">
        <v>22.01</v>
      </c>
      <c r="H1574" s="80">
        <v>-14.7385</v>
      </c>
      <c r="I1574" s="80">
        <v>-22.01</v>
      </c>
      <c r="J1574" s="79" t="s">
        <v>609</v>
      </c>
      <c r="K1574" s="79" t="s">
        <v>48</v>
      </c>
      <c r="L1574" s="81">
        <v>46186</v>
      </c>
    </row>
    <row r="1575" spans="1:12" hidden="1" x14ac:dyDescent="0.25">
      <c r="A1575" s="77" t="s">
        <v>922</v>
      </c>
      <c r="B1575" s="77" t="s">
        <v>3076</v>
      </c>
      <c r="C1575" s="77" t="s">
        <v>3077</v>
      </c>
      <c r="D1575" s="77">
        <v>3044</v>
      </c>
      <c r="E1575" s="77">
        <v>-1</v>
      </c>
      <c r="F1575" s="78">
        <v>2.446166666666667</v>
      </c>
      <c r="G1575" s="78">
        <v>14.55</v>
      </c>
      <c r="H1575" s="78">
        <v>-2.446166666666667</v>
      </c>
      <c r="I1575" s="78">
        <v>-14.55</v>
      </c>
      <c r="J1575" s="77" t="s">
        <v>609</v>
      </c>
      <c r="K1575" s="77" t="s">
        <v>48</v>
      </c>
      <c r="L1575" s="82">
        <v>46186</v>
      </c>
    </row>
    <row r="1576" spans="1:12" hidden="1" x14ac:dyDescent="0.25">
      <c r="A1576" s="79" t="s">
        <v>922</v>
      </c>
      <c r="B1576" s="79" t="s">
        <v>1581</v>
      </c>
      <c r="C1576" s="79" t="s">
        <v>1582</v>
      </c>
      <c r="D1576" s="79">
        <v>3044</v>
      </c>
      <c r="E1576" s="79">
        <v>-1</v>
      </c>
      <c r="F1576" s="80">
        <v>2.4739444444444438</v>
      </c>
      <c r="G1576" s="80">
        <v>13.98</v>
      </c>
      <c r="H1576" s="80">
        <v>-2.4739444444444438</v>
      </c>
      <c r="I1576" s="80">
        <v>-13.98</v>
      </c>
      <c r="J1576" s="79" t="s">
        <v>609</v>
      </c>
      <c r="K1576" s="79" t="s">
        <v>48</v>
      </c>
      <c r="L1576" s="81">
        <v>46186</v>
      </c>
    </row>
    <row r="1577" spans="1:12" hidden="1" x14ac:dyDescent="0.25">
      <c r="A1577" s="77" t="s">
        <v>922</v>
      </c>
      <c r="B1577" s="77" t="s">
        <v>3078</v>
      </c>
      <c r="C1577" s="77" t="s">
        <v>3079</v>
      </c>
      <c r="D1577" s="77">
        <v>3044</v>
      </c>
      <c r="E1577" s="77">
        <v>-1</v>
      </c>
      <c r="F1577" s="78">
        <v>8.4173479999999987</v>
      </c>
      <c r="G1577" s="78">
        <v>13.82</v>
      </c>
      <c r="H1577" s="78">
        <v>-8.4173479999999987</v>
      </c>
      <c r="I1577" s="78">
        <v>-13.82</v>
      </c>
      <c r="J1577" s="77" t="s">
        <v>609</v>
      </c>
      <c r="K1577" s="77" t="s">
        <v>48</v>
      </c>
      <c r="L1577" s="82">
        <v>46186</v>
      </c>
    </row>
    <row r="1578" spans="1:12" hidden="1" x14ac:dyDescent="0.25">
      <c r="A1578" s="79" t="s">
        <v>922</v>
      </c>
      <c r="B1578" s="79" t="s">
        <v>1855</v>
      </c>
      <c r="C1578" s="79" t="s">
        <v>1856</v>
      </c>
      <c r="D1578" s="79">
        <v>3044</v>
      </c>
      <c r="E1578" s="79">
        <v>-1</v>
      </c>
      <c r="F1578" s="80">
        <v>4.9190899999999997</v>
      </c>
      <c r="G1578" s="80">
        <v>8.08</v>
      </c>
      <c r="H1578" s="80">
        <v>-4.9190899999999997</v>
      </c>
      <c r="I1578" s="80">
        <v>-8.08</v>
      </c>
      <c r="J1578" s="79" t="s">
        <v>609</v>
      </c>
      <c r="K1578" s="79" t="s">
        <v>48</v>
      </c>
      <c r="L1578" s="81">
        <v>46186</v>
      </c>
    </row>
    <row r="1579" spans="1:12" hidden="1" x14ac:dyDescent="0.25">
      <c r="A1579" s="77" t="s">
        <v>922</v>
      </c>
      <c r="B1579" s="77" t="s">
        <v>1515</v>
      </c>
      <c r="C1579" s="77" t="s">
        <v>1516</v>
      </c>
      <c r="D1579" s="77">
        <v>3044</v>
      </c>
      <c r="E1579" s="77">
        <v>-1</v>
      </c>
      <c r="F1579" s="78">
        <v>3.25</v>
      </c>
      <c r="G1579" s="78">
        <v>7.84</v>
      </c>
      <c r="H1579" s="78">
        <v>-3.25</v>
      </c>
      <c r="I1579" s="78">
        <v>-7.84</v>
      </c>
      <c r="J1579" s="77" t="s">
        <v>609</v>
      </c>
      <c r="K1579" s="77" t="s">
        <v>48</v>
      </c>
      <c r="L1579" s="82">
        <v>46186</v>
      </c>
    </row>
    <row r="1580" spans="1:12" hidden="1" x14ac:dyDescent="0.25">
      <c r="A1580" s="79" t="s">
        <v>922</v>
      </c>
      <c r="B1580" s="79" t="s">
        <v>3080</v>
      </c>
      <c r="C1580" s="79" t="s">
        <v>3081</v>
      </c>
      <c r="D1580" s="79">
        <v>3044</v>
      </c>
      <c r="E1580" s="79">
        <v>-1</v>
      </c>
      <c r="F1580" s="80">
        <v>1.5064</v>
      </c>
      <c r="G1580" s="80">
        <v>6.61</v>
      </c>
      <c r="H1580" s="80">
        <v>-1.5064</v>
      </c>
      <c r="I1580" s="80">
        <v>-6.61</v>
      </c>
      <c r="J1580" s="79" t="s">
        <v>609</v>
      </c>
      <c r="K1580" s="79" t="s">
        <v>48</v>
      </c>
      <c r="L1580" s="81">
        <v>46186</v>
      </c>
    </row>
    <row r="1581" spans="1:12" hidden="1" x14ac:dyDescent="0.25">
      <c r="A1581" s="77" t="s">
        <v>911</v>
      </c>
      <c r="B1581" s="77" t="s">
        <v>1503</v>
      </c>
      <c r="C1581" s="77" t="s">
        <v>1504</v>
      </c>
      <c r="D1581" s="77">
        <v>3044</v>
      </c>
      <c r="E1581" s="77">
        <v>2</v>
      </c>
      <c r="F1581" s="78">
        <v>16.212399999999999</v>
      </c>
      <c r="G1581" s="78">
        <v>26.41</v>
      </c>
      <c r="H1581" s="78">
        <v>32.424799999999998</v>
      </c>
      <c r="I1581" s="78">
        <v>52.82</v>
      </c>
      <c r="J1581" s="77" t="s">
        <v>609</v>
      </c>
      <c r="K1581" s="77" t="s">
        <v>48</v>
      </c>
      <c r="L1581" s="82">
        <v>46186</v>
      </c>
    </row>
    <row r="1582" spans="1:12" hidden="1" x14ac:dyDescent="0.25">
      <c r="A1582" s="79" t="s">
        <v>911</v>
      </c>
      <c r="B1582" s="79" t="s">
        <v>3082</v>
      </c>
      <c r="C1582" s="79" t="s">
        <v>3083</v>
      </c>
      <c r="D1582" s="79">
        <v>3044</v>
      </c>
      <c r="E1582" s="79">
        <v>1</v>
      </c>
      <c r="F1582" s="80">
        <v>30.803333333333331</v>
      </c>
      <c r="G1582" s="80">
        <v>50.61</v>
      </c>
      <c r="H1582" s="80">
        <v>30.803333333333331</v>
      </c>
      <c r="I1582" s="80">
        <v>50.61</v>
      </c>
      <c r="J1582" s="79" t="s">
        <v>609</v>
      </c>
      <c r="K1582" s="79" t="s">
        <v>48</v>
      </c>
      <c r="L1582" s="81">
        <v>46186</v>
      </c>
    </row>
    <row r="1583" spans="1:12" hidden="1" x14ac:dyDescent="0.25">
      <c r="A1583" s="77" t="s">
        <v>911</v>
      </c>
      <c r="B1583" s="77" t="s">
        <v>3084</v>
      </c>
      <c r="C1583" s="77" t="s">
        <v>3085</v>
      </c>
      <c r="D1583" s="77">
        <v>3044</v>
      </c>
      <c r="E1583" s="77">
        <v>1</v>
      </c>
      <c r="F1583" s="78">
        <v>9.1442999999999994</v>
      </c>
      <c r="G1583" s="78">
        <v>43.76</v>
      </c>
      <c r="H1583" s="78">
        <v>9.1442999999999994</v>
      </c>
      <c r="I1583" s="78">
        <v>43.76</v>
      </c>
      <c r="J1583" s="77" t="s">
        <v>609</v>
      </c>
      <c r="K1583" s="77" t="s">
        <v>48</v>
      </c>
      <c r="L1583" s="82">
        <v>46186</v>
      </c>
    </row>
    <row r="1584" spans="1:12" hidden="1" x14ac:dyDescent="0.25">
      <c r="A1584" s="79" t="s">
        <v>911</v>
      </c>
      <c r="B1584" s="79" t="s">
        <v>3086</v>
      </c>
      <c r="C1584" s="79" t="s">
        <v>3087</v>
      </c>
      <c r="D1584" s="79">
        <v>3044</v>
      </c>
      <c r="E1584" s="79">
        <v>1</v>
      </c>
      <c r="F1584" s="80">
        <v>28.703299999999999</v>
      </c>
      <c r="G1584" s="80">
        <v>47.15</v>
      </c>
      <c r="H1584" s="80">
        <v>28.703299999999999</v>
      </c>
      <c r="I1584" s="80">
        <v>47.15</v>
      </c>
      <c r="J1584" s="79" t="s">
        <v>609</v>
      </c>
      <c r="K1584" s="79" t="s">
        <v>48</v>
      </c>
      <c r="L1584" s="81">
        <v>46186</v>
      </c>
    </row>
    <row r="1585" spans="1:12" hidden="1" x14ac:dyDescent="0.25">
      <c r="A1585" s="77" t="s">
        <v>911</v>
      </c>
      <c r="B1585" s="77" t="s">
        <v>3088</v>
      </c>
      <c r="C1585" s="77" t="s">
        <v>3089</v>
      </c>
      <c r="D1585" s="77">
        <v>3044</v>
      </c>
      <c r="E1585" s="77">
        <v>1</v>
      </c>
      <c r="F1585" s="78">
        <v>14.96</v>
      </c>
      <c r="G1585" s="78">
        <v>42.34</v>
      </c>
      <c r="H1585" s="78">
        <v>14.96</v>
      </c>
      <c r="I1585" s="78">
        <v>42.34</v>
      </c>
      <c r="J1585" s="77" t="s">
        <v>609</v>
      </c>
      <c r="K1585" s="77" t="s">
        <v>48</v>
      </c>
      <c r="L1585" s="82">
        <v>46186</v>
      </c>
    </row>
    <row r="1586" spans="1:12" hidden="1" x14ac:dyDescent="0.25">
      <c r="A1586" s="79" t="s">
        <v>911</v>
      </c>
      <c r="B1586" s="79" t="s">
        <v>1609</v>
      </c>
      <c r="C1586" s="79" t="s">
        <v>1610</v>
      </c>
      <c r="D1586" s="79">
        <v>3044</v>
      </c>
      <c r="E1586" s="79">
        <v>1</v>
      </c>
      <c r="F1586" s="80">
        <v>24.861221052631581</v>
      </c>
      <c r="G1586" s="80">
        <v>40.46</v>
      </c>
      <c r="H1586" s="80">
        <v>24.861221052631581</v>
      </c>
      <c r="I1586" s="80">
        <v>40.46</v>
      </c>
      <c r="J1586" s="79" t="s">
        <v>609</v>
      </c>
      <c r="K1586" s="79" t="s">
        <v>48</v>
      </c>
      <c r="L1586" s="81">
        <v>46186</v>
      </c>
    </row>
    <row r="1587" spans="1:12" hidden="1" x14ac:dyDescent="0.25">
      <c r="A1587" s="77" t="s">
        <v>911</v>
      </c>
      <c r="B1587" s="77" t="s">
        <v>3090</v>
      </c>
      <c r="C1587" s="77" t="s">
        <v>3091</v>
      </c>
      <c r="D1587" s="77">
        <v>3044</v>
      </c>
      <c r="E1587" s="77">
        <v>1</v>
      </c>
      <c r="F1587" s="78">
        <v>11.804928571428571</v>
      </c>
      <c r="G1587" s="78">
        <v>43.3</v>
      </c>
      <c r="H1587" s="78">
        <v>11.804928571428571</v>
      </c>
      <c r="I1587" s="78">
        <v>43.3</v>
      </c>
      <c r="J1587" s="77" t="s">
        <v>609</v>
      </c>
      <c r="K1587" s="77" t="s">
        <v>48</v>
      </c>
      <c r="L1587" s="82">
        <v>46186</v>
      </c>
    </row>
    <row r="1588" spans="1:12" hidden="1" x14ac:dyDescent="0.25">
      <c r="A1588" s="79" t="s">
        <v>911</v>
      </c>
      <c r="B1588" s="79" t="s">
        <v>3092</v>
      </c>
      <c r="C1588" s="79" t="s">
        <v>3093</v>
      </c>
      <c r="D1588" s="79">
        <v>3044</v>
      </c>
      <c r="E1588" s="79">
        <v>1</v>
      </c>
      <c r="F1588" s="80">
        <v>19.16</v>
      </c>
      <c r="G1588" s="80">
        <v>29.9</v>
      </c>
      <c r="H1588" s="80">
        <v>19.16</v>
      </c>
      <c r="I1588" s="80">
        <v>29.9</v>
      </c>
      <c r="J1588" s="79" t="s">
        <v>609</v>
      </c>
      <c r="K1588" s="79" t="s">
        <v>48</v>
      </c>
      <c r="L1588" s="81">
        <v>46186</v>
      </c>
    </row>
    <row r="1589" spans="1:12" hidden="1" x14ac:dyDescent="0.25">
      <c r="A1589" s="77" t="s">
        <v>911</v>
      </c>
      <c r="B1589" s="77" t="s">
        <v>3094</v>
      </c>
      <c r="C1589" s="77" t="s">
        <v>3095</v>
      </c>
      <c r="D1589" s="77">
        <v>3044</v>
      </c>
      <c r="E1589" s="77">
        <v>1</v>
      </c>
      <c r="F1589" s="78">
        <v>17.685400000000001</v>
      </c>
      <c r="G1589" s="78">
        <v>26.42</v>
      </c>
      <c r="H1589" s="78">
        <v>17.685400000000001</v>
      </c>
      <c r="I1589" s="78">
        <v>26.42</v>
      </c>
      <c r="J1589" s="77" t="s">
        <v>609</v>
      </c>
      <c r="K1589" s="77" t="s">
        <v>48</v>
      </c>
      <c r="L1589" s="82">
        <v>46186</v>
      </c>
    </row>
    <row r="1590" spans="1:12" hidden="1" x14ac:dyDescent="0.25">
      <c r="A1590" s="79" t="s">
        <v>911</v>
      </c>
      <c r="B1590" s="79" t="s">
        <v>3096</v>
      </c>
      <c r="C1590" s="79" t="s">
        <v>3097</v>
      </c>
      <c r="D1590" s="79">
        <v>3044</v>
      </c>
      <c r="E1590" s="79">
        <v>1</v>
      </c>
      <c r="F1590" s="80">
        <v>15.4017</v>
      </c>
      <c r="G1590" s="80">
        <v>25.3</v>
      </c>
      <c r="H1590" s="80">
        <v>15.4017</v>
      </c>
      <c r="I1590" s="80">
        <v>25.3</v>
      </c>
      <c r="J1590" s="79" t="s">
        <v>609</v>
      </c>
      <c r="K1590" s="79" t="s">
        <v>48</v>
      </c>
      <c r="L1590" s="81">
        <v>46186</v>
      </c>
    </row>
    <row r="1591" spans="1:12" hidden="1" x14ac:dyDescent="0.25">
      <c r="A1591" s="77" t="s">
        <v>911</v>
      </c>
      <c r="B1591" s="77" t="s">
        <v>3098</v>
      </c>
      <c r="C1591" s="77" t="s">
        <v>3099</v>
      </c>
      <c r="D1591" s="77">
        <v>3044</v>
      </c>
      <c r="E1591" s="77">
        <v>1</v>
      </c>
      <c r="F1591" s="78">
        <v>15.40165</v>
      </c>
      <c r="G1591" s="78">
        <v>25.3</v>
      </c>
      <c r="H1591" s="78">
        <v>15.40165</v>
      </c>
      <c r="I1591" s="78">
        <v>25.3</v>
      </c>
      <c r="J1591" s="77" t="s">
        <v>609</v>
      </c>
      <c r="K1591" s="77" t="s">
        <v>48</v>
      </c>
      <c r="L1591" s="82">
        <v>46186</v>
      </c>
    </row>
    <row r="1592" spans="1:12" hidden="1" x14ac:dyDescent="0.25">
      <c r="A1592" s="79" t="s">
        <v>911</v>
      </c>
      <c r="B1592" s="79" t="s">
        <v>3100</v>
      </c>
      <c r="C1592" s="79" t="s">
        <v>3101</v>
      </c>
      <c r="D1592" s="79">
        <v>3044</v>
      </c>
      <c r="E1592" s="79">
        <v>1</v>
      </c>
      <c r="F1592" s="80">
        <v>14</v>
      </c>
      <c r="G1592" s="80">
        <v>23</v>
      </c>
      <c r="H1592" s="80">
        <v>14</v>
      </c>
      <c r="I1592" s="80">
        <v>23</v>
      </c>
      <c r="J1592" s="79" t="s">
        <v>609</v>
      </c>
      <c r="K1592" s="79" t="s">
        <v>48</v>
      </c>
      <c r="L1592" s="81">
        <v>46186</v>
      </c>
    </row>
    <row r="1593" spans="1:12" hidden="1" x14ac:dyDescent="0.25">
      <c r="A1593" s="77" t="s">
        <v>911</v>
      </c>
      <c r="B1593" s="77" t="s">
        <v>3102</v>
      </c>
      <c r="C1593" s="77" t="s">
        <v>3103</v>
      </c>
      <c r="D1593" s="77">
        <v>3044</v>
      </c>
      <c r="E1593" s="77">
        <v>1</v>
      </c>
      <c r="F1593" s="78">
        <v>6.6372</v>
      </c>
      <c r="G1593" s="78">
        <v>19.59</v>
      </c>
      <c r="H1593" s="78">
        <v>6.6372</v>
      </c>
      <c r="I1593" s="78">
        <v>19.59</v>
      </c>
      <c r="J1593" s="77" t="s">
        <v>609</v>
      </c>
      <c r="K1593" s="77" t="s">
        <v>48</v>
      </c>
      <c r="L1593" s="82">
        <v>46186</v>
      </c>
    </row>
    <row r="1594" spans="1:12" hidden="1" x14ac:dyDescent="0.25">
      <c r="A1594" s="79" t="s">
        <v>911</v>
      </c>
      <c r="B1594" s="79" t="s">
        <v>3104</v>
      </c>
      <c r="C1594" s="79" t="s">
        <v>3105</v>
      </c>
      <c r="D1594" s="79">
        <v>3044</v>
      </c>
      <c r="E1594" s="79">
        <v>1</v>
      </c>
      <c r="F1594" s="80">
        <v>14.738149999999999</v>
      </c>
      <c r="G1594" s="80">
        <v>22.01</v>
      </c>
      <c r="H1594" s="80">
        <v>14.738149999999999</v>
      </c>
      <c r="I1594" s="80">
        <v>22.01</v>
      </c>
      <c r="J1594" s="79" t="s">
        <v>609</v>
      </c>
      <c r="K1594" s="79" t="s">
        <v>48</v>
      </c>
      <c r="L1594" s="81">
        <v>46186</v>
      </c>
    </row>
    <row r="1595" spans="1:12" hidden="1" x14ac:dyDescent="0.25">
      <c r="A1595" s="77" t="s">
        <v>911</v>
      </c>
      <c r="B1595" s="77" t="s">
        <v>1519</v>
      </c>
      <c r="C1595" s="77" t="s">
        <v>1520</v>
      </c>
      <c r="D1595" s="77">
        <v>3044</v>
      </c>
      <c r="E1595" s="77">
        <v>1</v>
      </c>
      <c r="F1595" s="78">
        <v>8.8958999999999993</v>
      </c>
      <c r="G1595" s="78">
        <v>38.619999999999997</v>
      </c>
      <c r="H1595" s="78">
        <v>8.8958999999999993</v>
      </c>
      <c r="I1595" s="78">
        <v>38.619999999999997</v>
      </c>
      <c r="J1595" s="77" t="s">
        <v>609</v>
      </c>
      <c r="K1595" s="77" t="s">
        <v>48</v>
      </c>
      <c r="L1595" s="82">
        <v>46186</v>
      </c>
    </row>
    <row r="1596" spans="1:12" hidden="1" x14ac:dyDescent="0.25">
      <c r="A1596" s="79" t="s">
        <v>911</v>
      </c>
      <c r="B1596" s="79" t="s">
        <v>3106</v>
      </c>
      <c r="C1596" s="79" t="s">
        <v>3107</v>
      </c>
      <c r="D1596" s="79">
        <v>3044</v>
      </c>
      <c r="E1596" s="79">
        <v>1</v>
      </c>
      <c r="F1596" s="80">
        <v>1.4767999999999999</v>
      </c>
      <c r="G1596" s="80">
        <v>8.35</v>
      </c>
      <c r="H1596" s="80">
        <v>1.4767999999999999</v>
      </c>
      <c r="I1596" s="80">
        <v>8.35</v>
      </c>
      <c r="J1596" s="79" t="s">
        <v>609</v>
      </c>
      <c r="K1596" s="79" t="s">
        <v>48</v>
      </c>
      <c r="L1596" s="81">
        <v>46186</v>
      </c>
    </row>
    <row r="1597" spans="1:12" hidden="1" x14ac:dyDescent="0.25">
      <c r="A1597" s="77" t="s">
        <v>911</v>
      </c>
      <c r="B1597" s="77" t="s">
        <v>3108</v>
      </c>
      <c r="C1597" s="77" t="s">
        <v>3109</v>
      </c>
      <c r="D1597" s="77">
        <v>3044</v>
      </c>
      <c r="E1597" s="77">
        <v>1</v>
      </c>
      <c r="F1597" s="78">
        <v>8.417346666666667</v>
      </c>
      <c r="G1597" s="78">
        <v>13.83</v>
      </c>
      <c r="H1597" s="78">
        <v>8.417346666666667</v>
      </c>
      <c r="I1597" s="78">
        <v>13.83</v>
      </c>
      <c r="J1597" s="77" t="s">
        <v>609</v>
      </c>
      <c r="K1597" s="77" t="s">
        <v>48</v>
      </c>
      <c r="L1597" s="82">
        <v>46186</v>
      </c>
    </row>
    <row r="1598" spans="1:12" hidden="1" x14ac:dyDescent="0.25">
      <c r="A1598" s="79" t="s">
        <v>911</v>
      </c>
      <c r="B1598" s="79" t="s">
        <v>1851</v>
      </c>
      <c r="C1598" s="79" t="s">
        <v>1852</v>
      </c>
      <c r="D1598" s="79">
        <v>3044</v>
      </c>
      <c r="E1598" s="79">
        <v>1</v>
      </c>
      <c r="F1598" s="80">
        <v>8.4173473684210531</v>
      </c>
      <c r="G1598" s="80">
        <v>13.83</v>
      </c>
      <c r="H1598" s="80">
        <v>8.4173473684210531</v>
      </c>
      <c r="I1598" s="80">
        <v>13.83</v>
      </c>
      <c r="J1598" s="79" t="s">
        <v>609</v>
      </c>
      <c r="K1598" s="79" t="s">
        <v>48</v>
      </c>
      <c r="L1598" s="81">
        <v>46186</v>
      </c>
    </row>
    <row r="1599" spans="1:12" hidden="1" x14ac:dyDescent="0.25">
      <c r="A1599" s="77" t="s">
        <v>911</v>
      </c>
      <c r="B1599" s="77" t="s">
        <v>3110</v>
      </c>
      <c r="C1599" s="77" t="s">
        <v>3111</v>
      </c>
      <c r="D1599" s="77">
        <v>3044</v>
      </c>
      <c r="E1599" s="77">
        <v>1</v>
      </c>
      <c r="F1599" s="78">
        <v>3.25</v>
      </c>
      <c r="G1599" s="78">
        <v>7.84</v>
      </c>
      <c r="H1599" s="78">
        <v>3.25</v>
      </c>
      <c r="I1599" s="78">
        <v>7.84</v>
      </c>
      <c r="J1599" s="77" t="s">
        <v>609</v>
      </c>
      <c r="K1599" s="77" t="s">
        <v>48</v>
      </c>
      <c r="L1599" s="82">
        <v>46186</v>
      </c>
    </row>
    <row r="1600" spans="1:12" hidden="1" x14ac:dyDescent="0.25">
      <c r="A1600" s="79" t="s">
        <v>911</v>
      </c>
      <c r="B1600" s="79" t="s">
        <v>3112</v>
      </c>
      <c r="C1600" s="79" t="s">
        <v>3113</v>
      </c>
      <c r="D1600" s="79">
        <v>3044</v>
      </c>
      <c r="E1600" s="79">
        <v>1</v>
      </c>
      <c r="F1600" s="80">
        <v>1.51</v>
      </c>
      <c r="G1600" s="80">
        <v>6.61</v>
      </c>
      <c r="H1600" s="80">
        <v>1.51</v>
      </c>
      <c r="I1600" s="80">
        <v>6.61</v>
      </c>
      <c r="J1600" s="79" t="s">
        <v>609</v>
      </c>
      <c r="K1600" s="79" t="s">
        <v>48</v>
      </c>
      <c r="L1600" s="81">
        <v>46186</v>
      </c>
    </row>
    <row r="1601" spans="1:12" hidden="1" x14ac:dyDescent="0.25">
      <c r="A1601" s="77" t="s">
        <v>898</v>
      </c>
      <c r="B1601" s="77" t="s">
        <v>3114</v>
      </c>
      <c r="C1601" s="77" t="s">
        <v>3115</v>
      </c>
      <c r="D1601" s="77">
        <v>3044</v>
      </c>
      <c r="E1601" s="77">
        <v>2</v>
      </c>
      <c r="F1601" s="78">
        <v>11.88</v>
      </c>
      <c r="G1601" s="78">
        <v>24.39</v>
      </c>
      <c r="H1601" s="78">
        <v>23.76</v>
      </c>
      <c r="I1601" s="78">
        <v>48.78</v>
      </c>
      <c r="J1601" s="77" t="s">
        <v>609</v>
      </c>
      <c r="K1601" s="77" t="s">
        <v>48</v>
      </c>
      <c r="L1601" s="82">
        <v>46186</v>
      </c>
    </row>
    <row r="1602" spans="1:12" hidden="1" x14ac:dyDescent="0.25">
      <c r="A1602" s="79" t="s">
        <v>898</v>
      </c>
      <c r="B1602" s="79" t="s">
        <v>3116</v>
      </c>
      <c r="C1602" s="79" t="s">
        <v>3117</v>
      </c>
      <c r="D1602" s="79">
        <v>3044</v>
      </c>
      <c r="E1602" s="79">
        <v>1</v>
      </c>
      <c r="F1602" s="80">
        <v>26.603300000000001</v>
      </c>
      <c r="G1602" s="80">
        <v>43.7</v>
      </c>
      <c r="H1602" s="80">
        <v>26.603300000000001</v>
      </c>
      <c r="I1602" s="80">
        <v>43.7</v>
      </c>
      <c r="J1602" s="79" t="s">
        <v>609</v>
      </c>
      <c r="K1602" s="79" t="s">
        <v>48</v>
      </c>
      <c r="L1602" s="81">
        <v>46186</v>
      </c>
    </row>
    <row r="1603" spans="1:12" hidden="1" x14ac:dyDescent="0.25">
      <c r="A1603" s="77" t="s">
        <v>898</v>
      </c>
      <c r="B1603" s="77" t="s">
        <v>3092</v>
      </c>
      <c r="C1603" s="77" t="s">
        <v>3093</v>
      </c>
      <c r="D1603" s="77">
        <v>3044</v>
      </c>
      <c r="E1603" s="77">
        <v>1</v>
      </c>
      <c r="F1603" s="78">
        <v>19.16</v>
      </c>
      <c r="G1603" s="78">
        <v>29.9</v>
      </c>
      <c r="H1603" s="78">
        <v>19.16</v>
      </c>
      <c r="I1603" s="78">
        <v>29.9</v>
      </c>
      <c r="J1603" s="77" t="s">
        <v>609</v>
      </c>
      <c r="K1603" s="77" t="s">
        <v>48</v>
      </c>
      <c r="L1603" s="82">
        <v>46186</v>
      </c>
    </row>
    <row r="1604" spans="1:12" hidden="1" x14ac:dyDescent="0.25">
      <c r="A1604" s="79" t="s">
        <v>898</v>
      </c>
      <c r="B1604" s="79" t="s">
        <v>3118</v>
      </c>
      <c r="C1604" s="79" t="s">
        <v>3119</v>
      </c>
      <c r="D1604" s="79">
        <v>3044</v>
      </c>
      <c r="E1604" s="79">
        <v>1</v>
      </c>
      <c r="F1604" s="80">
        <v>8.4425000000000008</v>
      </c>
      <c r="G1604" s="80">
        <v>21.16</v>
      </c>
      <c r="H1604" s="80">
        <v>8.4425000000000008</v>
      </c>
      <c r="I1604" s="80">
        <v>21.16</v>
      </c>
      <c r="J1604" s="79" t="s">
        <v>609</v>
      </c>
      <c r="K1604" s="79" t="s">
        <v>48</v>
      </c>
      <c r="L1604" s="81">
        <v>46186</v>
      </c>
    </row>
    <row r="1605" spans="1:12" hidden="1" x14ac:dyDescent="0.25">
      <c r="A1605" s="77" t="s">
        <v>898</v>
      </c>
      <c r="B1605" s="77" t="s">
        <v>3120</v>
      </c>
      <c r="C1605" s="77" t="s">
        <v>3121</v>
      </c>
      <c r="D1605" s="77">
        <v>3044</v>
      </c>
      <c r="E1605" s="77">
        <v>1</v>
      </c>
      <c r="F1605" s="78">
        <v>3.0194000000000001</v>
      </c>
      <c r="G1605" s="78">
        <v>16.27</v>
      </c>
      <c r="H1605" s="78">
        <v>3.0194000000000001</v>
      </c>
      <c r="I1605" s="78">
        <v>16.27</v>
      </c>
      <c r="J1605" s="77" t="s">
        <v>609</v>
      </c>
      <c r="K1605" s="77" t="s">
        <v>48</v>
      </c>
      <c r="L1605" s="82">
        <v>46186</v>
      </c>
    </row>
    <row r="1606" spans="1:12" hidden="1" x14ac:dyDescent="0.25">
      <c r="A1606" s="79" t="s">
        <v>898</v>
      </c>
      <c r="B1606" s="79" t="s">
        <v>3122</v>
      </c>
      <c r="C1606" s="79" t="s">
        <v>3123</v>
      </c>
      <c r="D1606" s="79">
        <v>3044</v>
      </c>
      <c r="E1606" s="79">
        <v>1</v>
      </c>
      <c r="F1606" s="80">
        <v>3.923</v>
      </c>
      <c r="G1606" s="80">
        <v>9.74</v>
      </c>
      <c r="H1606" s="80">
        <v>3.923</v>
      </c>
      <c r="I1606" s="80">
        <v>9.74</v>
      </c>
      <c r="J1606" s="79" t="s">
        <v>609</v>
      </c>
      <c r="K1606" s="79" t="s">
        <v>48</v>
      </c>
      <c r="L1606" s="81">
        <v>46186</v>
      </c>
    </row>
    <row r="1607" spans="1:12" hidden="1" x14ac:dyDescent="0.25">
      <c r="A1607" s="77" t="s">
        <v>898</v>
      </c>
      <c r="B1607" s="77" t="s">
        <v>3124</v>
      </c>
      <c r="C1607" s="77" t="s">
        <v>3125</v>
      </c>
      <c r="D1607" s="77">
        <v>3044</v>
      </c>
      <c r="E1607" s="77">
        <v>1</v>
      </c>
      <c r="F1607" s="78">
        <v>3.3814000000000002</v>
      </c>
      <c r="G1607" s="78">
        <v>8.1</v>
      </c>
      <c r="H1607" s="78">
        <v>3.3814000000000002</v>
      </c>
      <c r="I1607" s="78">
        <v>8.1</v>
      </c>
      <c r="J1607" s="77" t="s">
        <v>609</v>
      </c>
      <c r="K1607" s="77" t="s">
        <v>48</v>
      </c>
      <c r="L1607" s="82">
        <v>46186</v>
      </c>
    </row>
    <row r="1608" spans="1:12" hidden="1" x14ac:dyDescent="0.25">
      <c r="A1608" s="79" t="s">
        <v>922</v>
      </c>
      <c r="B1608" s="79" t="s">
        <v>707</v>
      </c>
      <c r="C1608" s="79" t="s">
        <v>708</v>
      </c>
      <c r="D1608" s="79">
        <v>1501</v>
      </c>
      <c r="E1608" s="79">
        <v>-1</v>
      </c>
      <c r="F1608" s="80">
        <v>8.3339999999999996</v>
      </c>
      <c r="G1608" s="80">
        <v>18.25</v>
      </c>
      <c r="H1608" s="80">
        <v>-8.3339999999999996</v>
      </c>
      <c r="I1608" s="80">
        <v>-18.25</v>
      </c>
      <c r="J1608" s="79" t="s">
        <v>612</v>
      </c>
      <c r="K1608" s="79" t="s">
        <v>48</v>
      </c>
      <c r="L1608" s="81">
        <v>46169</v>
      </c>
    </row>
    <row r="1609" spans="1:12" hidden="1" x14ac:dyDescent="0.25">
      <c r="A1609" s="77" t="s">
        <v>911</v>
      </c>
      <c r="B1609" s="77" t="s">
        <v>2317</v>
      </c>
      <c r="C1609" s="77" t="s">
        <v>2318</v>
      </c>
      <c r="D1609" s="77">
        <v>1501</v>
      </c>
      <c r="E1609" s="77">
        <v>1</v>
      </c>
      <c r="F1609" s="78">
        <v>8.3341999999999992</v>
      </c>
      <c r="G1609" s="78">
        <v>19.43</v>
      </c>
      <c r="H1609" s="78">
        <v>8.3341999999999992</v>
      </c>
      <c r="I1609" s="78">
        <v>19.43</v>
      </c>
      <c r="J1609" s="77" t="s">
        <v>612</v>
      </c>
      <c r="K1609" s="77" t="s">
        <v>48</v>
      </c>
      <c r="L1609" s="82">
        <v>46169</v>
      </c>
    </row>
    <row r="1610" spans="1:12" hidden="1" x14ac:dyDescent="0.25">
      <c r="A1610" s="79" t="s">
        <v>898</v>
      </c>
      <c r="B1610" s="79" t="s">
        <v>1959</v>
      </c>
      <c r="C1610" s="79" t="s">
        <v>1960</v>
      </c>
      <c r="D1610" s="79">
        <v>1501</v>
      </c>
      <c r="E1610" s="79">
        <v>1</v>
      </c>
      <c r="F1610" s="80">
        <v>73.508700000000005</v>
      </c>
      <c r="G1610" s="80">
        <v>110.26</v>
      </c>
      <c r="H1610" s="80">
        <v>73.508700000000005</v>
      </c>
      <c r="I1610" s="80">
        <v>110.26</v>
      </c>
      <c r="J1610" s="79" t="s">
        <v>612</v>
      </c>
      <c r="K1610" s="79" t="s">
        <v>48</v>
      </c>
      <c r="L1610" s="81">
        <v>46169</v>
      </c>
    </row>
    <row r="1611" spans="1:12" hidden="1" x14ac:dyDescent="0.25">
      <c r="A1611" s="77" t="s">
        <v>877</v>
      </c>
      <c r="B1611" s="77" t="s">
        <v>3126</v>
      </c>
      <c r="C1611" s="77" t="s">
        <v>3127</v>
      </c>
      <c r="D1611" s="77">
        <v>1501</v>
      </c>
      <c r="E1611" s="77">
        <v>-1</v>
      </c>
      <c r="F1611" s="78">
        <v>39.892200000000003</v>
      </c>
      <c r="G1611" s="78">
        <v>63.25</v>
      </c>
      <c r="H1611" s="78">
        <v>-39.892200000000003</v>
      </c>
      <c r="I1611" s="78">
        <v>-63.25</v>
      </c>
      <c r="J1611" s="77" t="s">
        <v>612</v>
      </c>
      <c r="K1611" s="77" t="s">
        <v>48</v>
      </c>
      <c r="L1611" s="82">
        <v>46169</v>
      </c>
    </row>
    <row r="1612" spans="1:12" hidden="1" x14ac:dyDescent="0.25">
      <c r="A1612" s="79" t="s">
        <v>877</v>
      </c>
      <c r="B1612" s="79" t="s">
        <v>3128</v>
      </c>
      <c r="C1612" s="79" t="s">
        <v>3129</v>
      </c>
      <c r="D1612" s="79">
        <v>1501</v>
      </c>
      <c r="E1612" s="79">
        <v>-1</v>
      </c>
      <c r="F1612" s="80">
        <v>10.368550000000001</v>
      </c>
      <c r="G1612" s="80">
        <v>23.9542</v>
      </c>
      <c r="H1612" s="80">
        <v>-10.368550000000001</v>
      </c>
      <c r="I1612" s="80">
        <v>-23.9542</v>
      </c>
      <c r="J1612" s="79" t="s">
        <v>612</v>
      </c>
      <c r="K1612" s="79" t="s">
        <v>48</v>
      </c>
      <c r="L1612" s="81">
        <v>46169</v>
      </c>
    </row>
    <row r="1613" spans="1:12" hidden="1" x14ac:dyDescent="0.25">
      <c r="A1613" s="77" t="s">
        <v>898</v>
      </c>
      <c r="B1613" s="77" t="s">
        <v>1991</v>
      </c>
      <c r="C1613" s="77" t="s">
        <v>1992</v>
      </c>
      <c r="D1613" s="77">
        <v>1501</v>
      </c>
      <c r="E1613" s="77">
        <v>1</v>
      </c>
      <c r="F1613" s="78">
        <v>43.329700000000003</v>
      </c>
      <c r="G1613" s="78">
        <v>93.42</v>
      </c>
      <c r="H1613" s="78">
        <v>43.329700000000003</v>
      </c>
      <c r="I1613" s="78">
        <v>93.42</v>
      </c>
      <c r="J1613" s="77" t="s">
        <v>612</v>
      </c>
      <c r="K1613" s="77" t="s">
        <v>48</v>
      </c>
      <c r="L1613" s="82">
        <v>46169</v>
      </c>
    </row>
    <row r="1614" spans="1:12" hidden="1" x14ac:dyDescent="0.25">
      <c r="A1614" s="79" t="s">
        <v>898</v>
      </c>
      <c r="B1614" s="79" t="s">
        <v>1801</v>
      </c>
      <c r="C1614" s="79" t="s">
        <v>1802</v>
      </c>
      <c r="D1614" s="79">
        <v>1501</v>
      </c>
      <c r="E1614" s="79">
        <v>2</v>
      </c>
      <c r="F1614" s="80">
        <v>1.7739</v>
      </c>
      <c r="G1614" s="80">
        <v>3.85</v>
      </c>
      <c r="H1614" s="80">
        <v>3.5478000000000001</v>
      </c>
      <c r="I1614" s="80">
        <v>7.7</v>
      </c>
      <c r="J1614" s="79" t="s">
        <v>612</v>
      </c>
      <c r="K1614" s="79" t="s">
        <v>48</v>
      </c>
      <c r="L1614" s="81">
        <v>46169</v>
      </c>
    </row>
    <row r="1615" spans="1:12" hidden="1" x14ac:dyDescent="0.25">
      <c r="A1615" s="77" t="s">
        <v>877</v>
      </c>
      <c r="B1615" s="77" t="s">
        <v>1941</v>
      </c>
      <c r="C1615" s="77" t="s">
        <v>1942</v>
      </c>
      <c r="D1615" s="77">
        <v>1501</v>
      </c>
      <c r="E1615" s="77">
        <v>-1</v>
      </c>
      <c r="F1615" s="78">
        <v>3.5375000000000001</v>
      </c>
      <c r="G1615" s="78">
        <v>7.78</v>
      </c>
      <c r="H1615" s="78">
        <v>-3.5375000000000001</v>
      </c>
      <c r="I1615" s="78">
        <v>-7.78</v>
      </c>
      <c r="J1615" s="77" t="s">
        <v>612</v>
      </c>
      <c r="K1615" s="77" t="s">
        <v>48</v>
      </c>
      <c r="L1615" s="82">
        <v>46169</v>
      </c>
    </row>
    <row r="1616" spans="1:12" hidden="1" x14ac:dyDescent="0.25">
      <c r="A1616" s="79" t="s">
        <v>877</v>
      </c>
      <c r="B1616" s="79" t="s">
        <v>2339</v>
      </c>
      <c r="C1616" s="79" t="s">
        <v>2340</v>
      </c>
      <c r="D1616" s="79">
        <v>1501</v>
      </c>
      <c r="E1616" s="79">
        <v>-2</v>
      </c>
      <c r="F1616" s="80">
        <v>5.8548</v>
      </c>
      <c r="G1616" s="80">
        <v>9.41</v>
      </c>
      <c r="H1616" s="80">
        <v>-11.7096</v>
      </c>
      <c r="I1616" s="80">
        <v>-18.82</v>
      </c>
      <c r="J1616" s="79" t="s">
        <v>612</v>
      </c>
      <c r="K1616" s="79" t="s">
        <v>48</v>
      </c>
      <c r="L1616" s="81">
        <v>46169</v>
      </c>
    </row>
    <row r="1617" spans="1:12" hidden="1" x14ac:dyDescent="0.25">
      <c r="A1617" s="77" t="s">
        <v>877</v>
      </c>
      <c r="B1617" s="77" t="s">
        <v>806</v>
      </c>
      <c r="C1617" s="77" t="s">
        <v>807</v>
      </c>
      <c r="D1617" s="77">
        <v>1501</v>
      </c>
      <c r="E1617" s="77">
        <v>-4</v>
      </c>
      <c r="F1617" s="78">
        <v>2.3004473684210498</v>
      </c>
      <c r="G1617" s="78">
        <v>3.78</v>
      </c>
      <c r="H1617" s="78">
        <v>-9.2017894736841992</v>
      </c>
      <c r="I1617" s="78">
        <v>-15.12</v>
      </c>
      <c r="J1617" s="77" t="s">
        <v>612</v>
      </c>
      <c r="K1617" s="77" t="s">
        <v>48</v>
      </c>
      <c r="L1617" s="82">
        <v>46169</v>
      </c>
    </row>
    <row r="1618" spans="1:12" hidden="1" x14ac:dyDescent="0.25">
      <c r="A1618" s="79" t="s">
        <v>922</v>
      </c>
      <c r="B1618" s="79" t="s">
        <v>713</v>
      </c>
      <c r="C1618" s="79" t="s">
        <v>714</v>
      </c>
      <c r="D1618" s="79">
        <v>1501</v>
      </c>
      <c r="E1618" s="79">
        <v>-1</v>
      </c>
      <c r="F1618" s="80">
        <v>3.5</v>
      </c>
      <c r="G1618" s="80">
        <v>5.75</v>
      </c>
      <c r="H1618" s="80">
        <v>-3.5</v>
      </c>
      <c r="I1618" s="80">
        <v>-5.75</v>
      </c>
      <c r="J1618" s="79" t="s">
        <v>612</v>
      </c>
      <c r="K1618" s="79" t="s">
        <v>48</v>
      </c>
      <c r="L1618" s="81">
        <v>46169</v>
      </c>
    </row>
    <row r="1619" spans="1:12" hidden="1" x14ac:dyDescent="0.25">
      <c r="A1619" s="77" t="s">
        <v>911</v>
      </c>
      <c r="B1619" s="77" t="s">
        <v>804</v>
      </c>
      <c r="C1619" s="77" t="s">
        <v>805</v>
      </c>
      <c r="D1619" s="77">
        <v>1501</v>
      </c>
      <c r="E1619" s="77">
        <v>1</v>
      </c>
      <c r="F1619" s="78">
        <v>3.5</v>
      </c>
      <c r="G1619" s="78">
        <v>5.75</v>
      </c>
      <c r="H1619" s="78">
        <v>3.5</v>
      </c>
      <c r="I1619" s="78">
        <v>5.75</v>
      </c>
      <c r="J1619" s="77" t="s">
        <v>612</v>
      </c>
      <c r="K1619" s="77" t="s">
        <v>48</v>
      </c>
      <c r="L1619" s="82">
        <v>46169</v>
      </c>
    </row>
    <row r="1620" spans="1:12" hidden="1" x14ac:dyDescent="0.25">
      <c r="A1620" s="79" t="s">
        <v>877</v>
      </c>
      <c r="B1620" s="79" t="s">
        <v>3130</v>
      </c>
      <c r="C1620" s="79" t="s">
        <v>3131</v>
      </c>
      <c r="D1620" s="79">
        <v>1501</v>
      </c>
      <c r="E1620" s="79">
        <v>-1</v>
      </c>
      <c r="F1620" s="80">
        <v>14</v>
      </c>
      <c r="G1620" s="80">
        <v>23</v>
      </c>
      <c r="H1620" s="80">
        <v>-14</v>
      </c>
      <c r="I1620" s="80">
        <v>-23</v>
      </c>
      <c r="J1620" s="79" t="s">
        <v>612</v>
      </c>
      <c r="K1620" s="79" t="s">
        <v>48</v>
      </c>
      <c r="L1620" s="81">
        <v>46169</v>
      </c>
    </row>
    <row r="1621" spans="1:12" hidden="1" x14ac:dyDescent="0.25">
      <c r="A1621" s="77" t="s">
        <v>898</v>
      </c>
      <c r="B1621" s="77" t="s">
        <v>3132</v>
      </c>
      <c r="C1621" s="77" t="s">
        <v>3133</v>
      </c>
      <c r="D1621" s="77">
        <v>1501</v>
      </c>
      <c r="E1621" s="77">
        <v>1</v>
      </c>
      <c r="F1621" s="78">
        <v>15</v>
      </c>
      <c r="G1621" s="78">
        <v>24.69</v>
      </c>
      <c r="H1621" s="78">
        <v>15</v>
      </c>
      <c r="I1621" s="78">
        <v>24.69</v>
      </c>
      <c r="J1621" s="77" t="s">
        <v>612</v>
      </c>
      <c r="K1621" s="77" t="s">
        <v>48</v>
      </c>
      <c r="L1621" s="82">
        <v>46169</v>
      </c>
    </row>
    <row r="1622" spans="1:12" hidden="1" x14ac:dyDescent="0.25">
      <c r="A1622" s="79" t="s">
        <v>1724</v>
      </c>
      <c r="B1622" s="79" t="s">
        <v>2349</v>
      </c>
      <c r="C1622" s="79" t="s">
        <v>2350</v>
      </c>
      <c r="D1622" s="79">
        <v>1501</v>
      </c>
      <c r="E1622" s="79">
        <v>-2</v>
      </c>
      <c r="F1622" s="80">
        <v>17.770440000000001</v>
      </c>
      <c r="G1622" s="80">
        <v>28.75</v>
      </c>
      <c r="H1622" s="80">
        <v>-35.540880000000001</v>
      </c>
      <c r="I1622" s="80">
        <v>-57.5</v>
      </c>
      <c r="J1622" s="79" t="s">
        <v>612</v>
      </c>
      <c r="K1622" s="79" t="s">
        <v>48</v>
      </c>
      <c r="L1622" s="81">
        <v>46169</v>
      </c>
    </row>
    <row r="1623" spans="1:12" hidden="1" x14ac:dyDescent="0.25">
      <c r="A1623" s="77" t="s">
        <v>1367</v>
      </c>
      <c r="B1623" s="77" t="s">
        <v>3134</v>
      </c>
      <c r="C1623" s="77" t="s">
        <v>3135</v>
      </c>
      <c r="D1623" s="77">
        <v>1501</v>
      </c>
      <c r="E1623" s="77">
        <v>-1</v>
      </c>
      <c r="F1623" s="78">
        <v>81.165700000000001</v>
      </c>
      <c r="G1623" s="78">
        <v>204.37710000000001</v>
      </c>
      <c r="H1623" s="78">
        <v>-81.165700000000001</v>
      </c>
      <c r="I1623" s="78">
        <v>-204.37710000000001</v>
      </c>
      <c r="J1623" s="77" t="s">
        <v>612</v>
      </c>
      <c r="K1623" s="77" t="s">
        <v>48</v>
      </c>
      <c r="L1623" s="82">
        <v>46169</v>
      </c>
    </row>
    <row r="1624" spans="1:12" hidden="1" x14ac:dyDescent="0.25">
      <c r="A1624" s="79" t="s">
        <v>1367</v>
      </c>
      <c r="B1624" s="79" t="s">
        <v>3136</v>
      </c>
      <c r="C1624" s="79" t="s">
        <v>3137</v>
      </c>
      <c r="D1624" s="79">
        <v>1501</v>
      </c>
      <c r="E1624" s="79">
        <v>-1</v>
      </c>
      <c r="F1624" s="80">
        <v>76.713999999999999</v>
      </c>
      <c r="G1624" s="80">
        <v>193.17</v>
      </c>
      <c r="H1624" s="80">
        <v>-76.713999999999999</v>
      </c>
      <c r="I1624" s="80">
        <v>-193.17</v>
      </c>
      <c r="J1624" s="79" t="s">
        <v>612</v>
      </c>
      <c r="K1624" s="79" t="s">
        <v>48</v>
      </c>
      <c r="L1624" s="81">
        <v>46169</v>
      </c>
    </row>
    <row r="1625" spans="1:12" hidden="1" x14ac:dyDescent="0.25">
      <c r="A1625" s="77" t="s">
        <v>1367</v>
      </c>
      <c r="B1625" s="77" t="s">
        <v>3138</v>
      </c>
      <c r="C1625" s="77" t="s">
        <v>3139</v>
      </c>
      <c r="D1625" s="77">
        <v>1501</v>
      </c>
      <c r="E1625" s="77">
        <v>-1</v>
      </c>
      <c r="F1625" s="78">
        <v>76.713999999999999</v>
      </c>
      <c r="G1625" s="78">
        <v>193.17</v>
      </c>
      <c r="H1625" s="78">
        <v>-76.713999999999999</v>
      </c>
      <c r="I1625" s="78">
        <v>-193.17</v>
      </c>
      <c r="J1625" s="77" t="s">
        <v>612</v>
      </c>
      <c r="K1625" s="77" t="s">
        <v>48</v>
      </c>
      <c r="L1625" s="82">
        <v>46169</v>
      </c>
    </row>
    <row r="1626" spans="1:12" hidden="1" x14ac:dyDescent="0.25">
      <c r="A1626" s="79" t="s">
        <v>1367</v>
      </c>
      <c r="B1626" s="79" t="s">
        <v>3140</v>
      </c>
      <c r="C1626" s="79" t="s">
        <v>3141</v>
      </c>
      <c r="D1626" s="79">
        <v>1501</v>
      </c>
      <c r="E1626" s="79">
        <v>-1</v>
      </c>
      <c r="F1626" s="80">
        <v>86.465400000000002</v>
      </c>
      <c r="G1626" s="80">
        <v>126.6066</v>
      </c>
      <c r="H1626" s="80">
        <v>-86.465400000000002</v>
      </c>
      <c r="I1626" s="80">
        <v>-126.6066</v>
      </c>
      <c r="J1626" s="79" t="s">
        <v>612</v>
      </c>
      <c r="K1626" s="79" t="s">
        <v>48</v>
      </c>
      <c r="L1626" s="81">
        <v>46169</v>
      </c>
    </row>
    <row r="1627" spans="1:12" hidden="1" x14ac:dyDescent="0.25">
      <c r="A1627" s="77" t="s">
        <v>1367</v>
      </c>
      <c r="B1627" s="77" t="s">
        <v>3142</v>
      </c>
      <c r="C1627" s="77" t="s">
        <v>3143</v>
      </c>
      <c r="D1627" s="77">
        <v>1501</v>
      </c>
      <c r="E1627" s="77">
        <v>-1</v>
      </c>
      <c r="F1627" s="78">
        <v>81.558300000000003</v>
      </c>
      <c r="G1627" s="78">
        <v>112.1613</v>
      </c>
      <c r="H1627" s="78">
        <v>-81.558300000000003</v>
      </c>
      <c r="I1627" s="78">
        <v>-112.1613</v>
      </c>
      <c r="J1627" s="77" t="s">
        <v>612</v>
      </c>
      <c r="K1627" s="77" t="s">
        <v>48</v>
      </c>
      <c r="L1627" s="82">
        <v>46169</v>
      </c>
    </row>
    <row r="1628" spans="1:12" hidden="1" x14ac:dyDescent="0.25">
      <c r="A1628" s="79" t="s">
        <v>1367</v>
      </c>
      <c r="B1628" s="79" t="s">
        <v>3144</v>
      </c>
      <c r="C1628" s="79" t="s">
        <v>3145</v>
      </c>
      <c r="D1628" s="79">
        <v>1501</v>
      </c>
      <c r="E1628" s="79">
        <v>-1</v>
      </c>
      <c r="F1628" s="80">
        <v>49.826999999999998</v>
      </c>
      <c r="G1628" s="80">
        <v>80.256699999999995</v>
      </c>
      <c r="H1628" s="80">
        <v>-49.826999999999998</v>
      </c>
      <c r="I1628" s="80">
        <v>-80.256699999999995</v>
      </c>
      <c r="J1628" s="79" t="s">
        <v>612</v>
      </c>
      <c r="K1628" s="79" t="s">
        <v>48</v>
      </c>
      <c r="L1628" s="81">
        <v>46169</v>
      </c>
    </row>
    <row r="1629" spans="1:12" hidden="1" x14ac:dyDescent="0.25">
      <c r="A1629" s="77" t="s">
        <v>1367</v>
      </c>
      <c r="B1629" s="77" t="s">
        <v>3146</v>
      </c>
      <c r="C1629" s="77" t="s">
        <v>3147</v>
      </c>
      <c r="D1629" s="77">
        <v>1501</v>
      </c>
      <c r="E1629" s="77">
        <v>-1</v>
      </c>
      <c r="F1629" s="78">
        <v>49.826999999999998</v>
      </c>
      <c r="G1629" s="78">
        <v>80.256699999999995</v>
      </c>
      <c r="H1629" s="78">
        <v>-49.826999999999998</v>
      </c>
      <c r="I1629" s="78">
        <v>-80.256699999999995</v>
      </c>
      <c r="J1629" s="77" t="s">
        <v>612</v>
      </c>
      <c r="K1629" s="77" t="s">
        <v>48</v>
      </c>
      <c r="L1629" s="82">
        <v>46169</v>
      </c>
    </row>
    <row r="1630" spans="1:12" hidden="1" x14ac:dyDescent="0.25">
      <c r="A1630" s="79" t="s">
        <v>1367</v>
      </c>
      <c r="B1630" s="79" t="s">
        <v>3148</v>
      </c>
      <c r="C1630" s="79" t="s">
        <v>3149</v>
      </c>
      <c r="D1630" s="79">
        <v>1501</v>
      </c>
      <c r="E1630" s="79">
        <v>-1</v>
      </c>
      <c r="F1630" s="80">
        <v>52.162799999999997</v>
      </c>
      <c r="G1630" s="80">
        <v>76.381600000000006</v>
      </c>
      <c r="H1630" s="80">
        <v>-52.162799999999997</v>
      </c>
      <c r="I1630" s="80">
        <v>-76.381600000000006</v>
      </c>
      <c r="J1630" s="79" t="s">
        <v>612</v>
      </c>
      <c r="K1630" s="79" t="s">
        <v>48</v>
      </c>
      <c r="L1630" s="81">
        <v>46169</v>
      </c>
    </row>
    <row r="1631" spans="1:12" hidden="1" x14ac:dyDescent="0.25">
      <c r="A1631" s="77" t="s">
        <v>1367</v>
      </c>
      <c r="B1631" s="77" t="s">
        <v>3150</v>
      </c>
      <c r="C1631" s="77" t="s">
        <v>3151</v>
      </c>
      <c r="D1631" s="77">
        <v>1501</v>
      </c>
      <c r="E1631" s="77">
        <v>-1</v>
      </c>
      <c r="F1631" s="78">
        <v>30.036799999999999</v>
      </c>
      <c r="G1631" s="78">
        <v>73.876499999999993</v>
      </c>
      <c r="H1631" s="78">
        <v>-30.036799999999999</v>
      </c>
      <c r="I1631" s="78">
        <v>-73.876499999999993</v>
      </c>
      <c r="J1631" s="77" t="s">
        <v>612</v>
      </c>
      <c r="K1631" s="77" t="s">
        <v>48</v>
      </c>
      <c r="L1631" s="82">
        <v>46169</v>
      </c>
    </row>
    <row r="1632" spans="1:12" hidden="1" x14ac:dyDescent="0.25">
      <c r="A1632" s="79" t="s">
        <v>1367</v>
      </c>
      <c r="B1632" s="79" t="s">
        <v>2053</v>
      </c>
      <c r="C1632" s="79" t="s">
        <v>2054</v>
      </c>
      <c r="D1632" s="79">
        <v>1501</v>
      </c>
      <c r="E1632" s="79">
        <v>-1</v>
      </c>
      <c r="F1632" s="80">
        <v>21.459099999999999</v>
      </c>
      <c r="G1632" s="80">
        <v>67.760000000000005</v>
      </c>
      <c r="H1632" s="80">
        <v>-21.459099999999999</v>
      </c>
      <c r="I1632" s="80">
        <v>-67.760000000000005</v>
      </c>
      <c r="J1632" s="79" t="s">
        <v>612</v>
      </c>
      <c r="K1632" s="79" t="s">
        <v>48</v>
      </c>
      <c r="L1632" s="81">
        <v>46169</v>
      </c>
    </row>
    <row r="1633" spans="1:12" hidden="1" x14ac:dyDescent="0.25">
      <c r="A1633" s="77" t="s">
        <v>1367</v>
      </c>
      <c r="B1633" s="77" t="s">
        <v>3152</v>
      </c>
      <c r="C1633" s="77" t="s">
        <v>3153</v>
      </c>
      <c r="D1633" s="77">
        <v>1501</v>
      </c>
      <c r="E1633" s="77">
        <v>-1</v>
      </c>
      <c r="F1633" s="78">
        <v>45.663800000000002</v>
      </c>
      <c r="G1633" s="78">
        <v>66.8596</v>
      </c>
      <c r="H1633" s="78">
        <v>-45.663800000000002</v>
      </c>
      <c r="I1633" s="78">
        <v>-66.8596</v>
      </c>
      <c r="J1633" s="77" t="s">
        <v>612</v>
      </c>
      <c r="K1633" s="77" t="s">
        <v>48</v>
      </c>
      <c r="L1633" s="82">
        <v>46169</v>
      </c>
    </row>
    <row r="1634" spans="1:12" hidden="1" x14ac:dyDescent="0.25">
      <c r="A1634" s="79" t="s">
        <v>1367</v>
      </c>
      <c r="B1634" s="79" t="s">
        <v>2969</v>
      </c>
      <c r="C1634" s="79" t="s">
        <v>2970</v>
      </c>
      <c r="D1634" s="79">
        <v>1501</v>
      </c>
      <c r="E1634" s="79">
        <v>-1</v>
      </c>
      <c r="F1634" s="80">
        <v>7.2001999999999997</v>
      </c>
      <c r="G1634" s="80">
        <v>10.8253</v>
      </c>
      <c r="H1634" s="80">
        <v>-7.2001999999999997</v>
      </c>
      <c r="I1634" s="80">
        <v>-10.8253</v>
      </c>
      <c r="J1634" s="79" t="s">
        <v>612</v>
      </c>
      <c r="K1634" s="79" t="s">
        <v>48</v>
      </c>
      <c r="L1634" s="81">
        <v>46169</v>
      </c>
    </row>
    <row r="1635" spans="1:12" hidden="1" x14ac:dyDescent="0.25">
      <c r="A1635" s="77" t="s">
        <v>898</v>
      </c>
      <c r="B1635" s="77" t="s">
        <v>2207</v>
      </c>
      <c r="C1635" s="77" t="s">
        <v>2208</v>
      </c>
      <c r="D1635" s="77">
        <v>1501</v>
      </c>
      <c r="E1635" s="77">
        <v>10</v>
      </c>
      <c r="F1635" s="78">
        <v>16.429200000000002</v>
      </c>
      <c r="G1635" s="78">
        <v>35.886899999999997</v>
      </c>
      <c r="H1635" s="78">
        <v>164.292</v>
      </c>
      <c r="I1635" s="78">
        <v>358.86900000000003</v>
      </c>
      <c r="J1635" s="77" t="s">
        <v>612</v>
      </c>
      <c r="K1635" s="77" t="s">
        <v>48</v>
      </c>
      <c r="L1635" s="82">
        <v>46169</v>
      </c>
    </row>
    <row r="1636" spans="1:12" hidden="1" x14ac:dyDescent="0.25">
      <c r="A1636" s="79" t="s">
        <v>898</v>
      </c>
      <c r="B1636" s="79" t="s">
        <v>2196</v>
      </c>
      <c r="C1636" s="79" t="s">
        <v>3154</v>
      </c>
      <c r="D1636" s="79">
        <v>1501</v>
      </c>
      <c r="E1636" s="79">
        <v>6</v>
      </c>
      <c r="F1636" s="80">
        <v>9.4276999999999997</v>
      </c>
      <c r="G1636" s="80">
        <v>23.886199999999999</v>
      </c>
      <c r="H1636" s="80">
        <v>56.566199999999988</v>
      </c>
      <c r="I1636" s="80">
        <v>143.31720000000001</v>
      </c>
      <c r="J1636" s="79" t="s">
        <v>612</v>
      </c>
      <c r="K1636" s="79" t="s">
        <v>48</v>
      </c>
      <c r="L1636" s="81">
        <v>46169</v>
      </c>
    </row>
    <row r="1637" spans="1:12" hidden="1" x14ac:dyDescent="0.25">
      <c r="A1637" s="77" t="s">
        <v>898</v>
      </c>
      <c r="B1637" s="77" t="s">
        <v>3155</v>
      </c>
      <c r="C1637" s="77" t="s">
        <v>3156</v>
      </c>
      <c r="D1637" s="77">
        <v>1501</v>
      </c>
      <c r="E1637" s="77">
        <v>3</v>
      </c>
      <c r="F1637" s="78">
        <v>19.871300000000002</v>
      </c>
      <c r="G1637" s="78">
        <v>45.206499999999998</v>
      </c>
      <c r="H1637" s="78">
        <v>59.613900000000001</v>
      </c>
      <c r="I1637" s="78">
        <v>135.61949999999999</v>
      </c>
      <c r="J1637" s="77" t="s">
        <v>612</v>
      </c>
      <c r="K1637" s="77" t="s">
        <v>48</v>
      </c>
      <c r="L1637" s="82">
        <v>46169</v>
      </c>
    </row>
    <row r="1638" spans="1:12" hidden="1" x14ac:dyDescent="0.25">
      <c r="A1638" s="79" t="s">
        <v>898</v>
      </c>
      <c r="B1638" s="79" t="s">
        <v>3157</v>
      </c>
      <c r="C1638" s="79" t="s">
        <v>3158</v>
      </c>
      <c r="D1638" s="79">
        <v>1501</v>
      </c>
      <c r="E1638" s="79">
        <v>1</v>
      </c>
      <c r="F1638" s="80">
        <v>41.750300000000003</v>
      </c>
      <c r="G1638" s="80">
        <v>81.514300000000006</v>
      </c>
      <c r="H1638" s="80">
        <v>41.750300000000003</v>
      </c>
      <c r="I1638" s="80">
        <v>81.514300000000006</v>
      </c>
      <c r="J1638" s="79" t="s">
        <v>612</v>
      </c>
      <c r="K1638" s="79" t="s">
        <v>48</v>
      </c>
      <c r="L1638" s="81">
        <v>46169</v>
      </c>
    </row>
    <row r="1639" spans="1:12" hidden="1" x14ac:dyDescent="0.25">
      <c r="A1639" s="77" t="s">
        <v>898</v>
      </c>
      <c r="B1639" s="77" t="s">
        <v>1915</v>
      </c>
      <c r="C1639" s="77" t="s">
        <v>1916</v>
      </c>
      <c r="D1639" s="77">
        <v>1501</v>
      </c>
      <c r="E1639" s="77">
        <v>2</v>
      </c>
      <c r="F1639" s="78">
        <v>4.75</v>
      </c>
      <c r="G1639" s="78">
        <v>11.2409</v>
      </c>
      <c r="H1639" s="78">
        <v>9.5</v>
      </c>
      <c r="I1639" s="78">
        <v>22.4818</v>
      </c>
      <c r="J1639" s="77" t="s">
        <v>612</v>
      </c>
      <c r="K1639" s="77" t="s">
        <v>48</v>
      </c>
      <c r="L1639" s="82">
        <v>46169</v>
      </c>
    </row>
    <row r="1640" spans="1:12" hidden="1" x14ac:dyDescent="0.25">
      <c r="A1640" s="79" t="s">
        <v>1724</v>
      </c>
      <c r="B1640" s="79" t="s">
        <v>2343</v>
      </c>
      <c r="C1640" s="79" t="s">
        <v>2344</v>
      </c>
      <c r="D1640" s="79">
        <v>1501</v>
      </c>
      <c r="E1640" s="79">
        <v>-12</v>
      </c>
      <c r="F1640" s="80">
        <v>3.5</v>
      </c>
      <c r="G1640" s="80">
        <v>5.75</v>
      </c>
      <c r="H1640" s="80">
        <v>-42</v>
      </c>
      <c r="I1640" s="80">
        <v>-69</v>
      </c>
      <c r="J1640" s="79" t="s">
        <v>612</v>
      </c>
      <c r="K1640" s="79" t="s">
        <v>48</v>
      </c>
      <c r="L1640" s="81">
        <v>46169</v>
      </c>
    </row>
    <row r="1641" spans="1:12" hidden="1" x14ac:dyDescent="0.25">
      <c r="A1641" s="77" t="s">
        <v>1724</v>
      </c>
      <c r="B1641" s="77" t="s">
        <v>737</v>
      </c>
      <c r="C1641" s="77" t="s">
        <v>738</v>
      </c>
      <c r="D1641" s="77">
        <v>1501</v>
      </c>
      <c r="E1641" s="77">
        <v>-13</v>
      </c>
      <c r="F1641" s="78">
        <v>3.15</v>
      </c>
      <c r="G1641" s="78">
        <v>5.1749999999999998</v>
      </c>
      <c r="H1641" s="78">
        <v>-40.950000000000003</v>
      </c>
      <c r="I1641" s="78">
        <v>-67.274999999999991</v>
      </c>
      <c r="J1641" s="77" t="s">
        <v>612</v>
      </c>
      <c r="K1641" s="77" t="s">
        <v>48</v>
      </c>
      <c r="L1641" s="82">
        <v>46169</v>
      </c>
    </row>
    <row r="1642" spans="1:12" hidden="1" x14ac:dyDescent="0.25">
      <c r="A1642" s="79"/>
      <c r="B1642" s="79"/>
      <c r="C1642" s="79"/>
      <c r="D1642" s="79">
        <v>1501</v>
      </c>
      <c r="E1642" s="79"/>
      <c r="F1642" s="80"/>
      <c r="G1642" s="80"/>
      <c r="H1642" s="80"/>
      <c r="I1642" s="80"/>
      <c r="J1642" s="79" t="s">
        <v>612</v>
      </c>
      <c r="K1642" s="79" t="s">
        <v>48</v>
      </c>
      <c r="L1642" s="81">
        <v>46169</v>
      </c>
    </row>
    <row r="1643" spans="1:12" hidden="1" x14ac:dyDescent="0.25">
      <c r="A1643" s="77"/>
      <c r="B1643" s="77"/>
      <c r="C1643" s="77"/>
      <c r="D1643" s="77">
        <v>1501</v>
      </c>
      <c r="E1643" s="77"/>
      <c r="F1643" s="78"/>
      <c r="G1643" s="78"/>
      <c r="H1643" s="78"/>
      <c r="I1643" s="78"/>
      <c r="J1643" s="77" t="s">
        <v>612</v>
      </c>
      <c r="K1643" s="77" t="s">
        <v>48</v>
      </c>
      <c r="L1643" s="82">
        <v>46169</v>
      </c>
    </row>
    <row r="1644" spans="1:12" hidden="1" x14ac:dyDescent="0.25">
      <c r="A1644" s="79"/>
      <c r="B1644" s="79"/>
      <c r="C1644" s="79"/>
      <c r="D1644" s="79">
        <v>1501</v>
      </c>
      <c r="E1644" s="79"/>
      <c r="F1644" s="80"/>
      <c r="G1644" s="80"/>
      <c r="H1644" s="80"/>
      <c r="I1644" s="80"/>
      <c r="J1644" s="79" t="s">
        <v>612</v>
      </c>
      <c r="K1644" s="79" t="s">
        <v>48</v>
      </c>
      <c r="L1644" s="81">
        <v>46169</v>
      </c>
    </row>
    <row r="1645" spans="1:12" hidden="1" x14ac:dyDescent="0.25">
      <c r="A1645" s="77"/>
      <c r="B1645" s="77"/>
      <c r="C1645" s="77"/>
      <c r="D1645" s="77">
        <v>1501</v>
      </c>
      <c r="E1645" s="77"/>
      <c r="F1645" s="78"/>
      <c r="G1645" s="78"/>
      <c r="H1645" s="78"/>
      <c r="I1645" s="78"/>
      <c r="J1645" s="77" t="s">
        <v>612</v>
      </c>
      <c r="K1645" s="77" t="s">
        <v>48</v>
      </c>
      <c r="L1645" s="82">
        <v>46169</v>
      </c>
    </row>
    <row r="1646" spans="1:12" hidden="1" x14ac:dyDescent="0.25">
      <c r="A1646" s="79"/>
      <c r="B1646" s="79"/>
      <c r="C1646" s="79"/>
      <c r="D1646" s="79">
        <v>1501</v>
      </c>
      <c r="E1646" s="79"/>
      <c r="F1646" s="80"/>
      <c r="G1646" s="80"/>
      <c r="H1646" s="80"/>
      <c r="I1646" s="80"/>
      <c r="J1646" s="79" t="s">
        <v>612</v>
      </c>
      <c r="K1646" s="79" t="s">
        <v>48</v>
      </c>
      <c r="L1646" s="81">
        <v>46169</v>
      </c>
    </row>
    <row r="1647" spans="1:12" hidden="1" x14ac:dyDescent="0.25">
      <c r="A1647" s="77"/>
      <c r="B1647" s="77"/>
      <c r="C1647" s="77"/>
      <c r="D1647" s="77">
        <v>1501</v>
      </c>
      <c r="E1647" s="77"/>
      <c r="F1647" s="78"/>
      <c r="G1647" s="78"/>
      <c r="H1647" s="78"/>
      <c r="I1647" s="78"/>
      <c r="J1647" s="77" t="s">
        <v>612</v>
      </c>
      <c r="K1647" s="77" t="s">
        <v>48</v>
      </c>
      <c r="L1647" s="82">
        <v>46169</v>
      </c>
    </row>
    <row r="1648" spans="1:12" hidden="1" x14ac:dyDescent="0.25">
      <c r="A1648" s="79"/>
      <c r="B1648" s="79"/>
      <c r="C1648" s="79"/>
      <c r="D1648" s="79">
        <v>1501</v>
      </c>
      <c r="E1648" s="79"/>
      <c r="F1648" s="80"/>
      <c r="G1648" s="80"/>
      <c r="H1648" s="80"/>
      <c r="I1648" s="80"/>
      <c r="J1648" s="79" t="s">
        <v>612</v>
      </c>
      <c r="K1648" s="79" t="s">
        <v>48</v>
      </c>
      <c r="L1648" s="81">
        <v>46169</v>
      </c>
    </row>
    <row r="1649" spans="1:12" hidden="1" x14ac:dyDescent="0.25">
      <c r="A1649" s="77"/>
      <c r="B1649" s="77"/>
      <c r="C1649" s="77"/>
      <c r="D1649" s="77">
        <v>1501</v>
      </c>
      <c r="E1649" s="77"/>
      <c r="F1649" s="78"/>
      <c r="G1649" s="78"/>
      <c r="H1649" s="78"/>
      <c r="I1649" s="78"/>
      <c r="J1649" s="77" t="s">
        <v>612</v>
      </c>
      <c r="K1649" s="77" t="s">
        <v>48</v>
      </c>
      <c r="L1649" s="82">
        <v>46169</v>
      </c>
    </row>
    <row r="1650" spans="1:12" hidden="1" x14ac:dyDescent="0.25">
      <c r="A1650" s="79"/>
      <c r="B1650" s="79"/>
      <c r="C1650" s="79"/>
      <c r="D1650" s="79">
        <v>1501</v>
      </c>
      <c r="E1650" s="79"/>
      <c r="F1650" s="80"/>
      <c r="G1650" s="80"/>
      <c r="H1650" s="80"/>
      <c r="I1650" s="80"/>
      <c r="J1650" s="79" t="s">
        <v>612</v>
      </c>
      <c r="K1650" s="79" t="s">
        <v>48</v>
      </c>
      <c r="L1650" s="81">
        <v>46169</v>
      </c>
    </row>
    <row r="1651" spans="1:12" hidden="1" x14ac:dyDescent="0.25">
      <c r="A1651" s="77"/>
      <c r="B1651" s="77"/>
      <c r="C1651" s="77"/>
      <c r="D1651" s="77">
        <v>1501</v>
      </c>
      <c r="E1651" s="77"/>
      <c r="F1651" s="78"/>
      <c r="G1651" s="78"/>
      <c r="H1651" s="78"/>
      <c r="I1651" s="78"/>
      <c r="J1651" s="77" t="s">
        <v>612</v>
      </c>
      <c r="K1651" s="77" t="s">
        <v>48</v>
      </c>
      <c r="L1651" s="82">
        <v>46169</v>
      </c>
    </row>
    <row r="1652" spans="1:12" hidden="1" x14ac:dyDescent="0.25">
      <c r="A1652" s="79"/>
      <c r="B1652" s="79"/>
      <c r="C1652" s="79"/>
      <c r="D1652" s="79">
        <v>1501</v>
      </c>
      <c r="E1652" s="79"/>
      <c r="F1652" s="80"/>
      <c r="G1652" s="80"/>
      <c r="H1652" s="80"/>
      <c r="I1652" s="80"/>
      <c r="J1652" s="79" t="s">
        <v>612</v>
      </c>
      <c r="K1652" s="79" t="s">
        <v>48</v>
      </c>
      <c r="L1652" s="81">
        <v>46169</v>
      </c>
    </row>
    <row r="1653" spans="1:12" hidden="1" x14ac:dyDescent="0.25">
      <c r="A1653" s="77"/>
      <c r="B1653" s="77"/>
      <c r="C1653" s="77"/>
      <c r="D1653" s="77">
        <v>1501</v>
      </c>
      <c r="E1653" s="77"/>
      <c r="F1653" s="78"/>
      <c r="G1653" s="78"/>
      <c r="H1653" s="78"/>
      <c r="I1653" s="78"/>
      <c r="J1653" s="77" t="s">
        <v>612</v>
      </c>
      <c r="K1653" s="77" t="s">
        <v>48</v>
      </c>
      <c r="L1653" s="82">
        <v>46169</v>
      </c>
    </row>
    <row r="1654" spans="1:12" hidden="1" x14ac:dyDescent="0.25">
      <c r="A1654" s="79"/>
      <c r="B1654" s="79"/>
      <c r="C1654" s="79"/>
      <c r="D1654" s="79">
        <v>1501</v>
      </c>
      <c r="E1654" s="79"/>
      <c r="F1654" s="80"/>
      <c r="G1654" s="80"/>
      <c r="H1654" s="80"/>
      <c r="I1654" s="80"/>
      <c r="J1654" s="79" t="s">
        <v>612</v>
      </c>
      <c r="K1654" s="79" t="s">
        <v>48</v>
      </c>
      <c r="L1654" s="81">
        <v>46169</v>
      </c>
    </row>
    <row r="1655" spans="1:12" hidden="1" x14ac:dyDescent="0.25">
      <c r="A1655" s="77"/>
      <c r="B1655" s="77"/>
      <c r="C1655" s="77"/>
      <c r="D1655" s="77">
        <v>1501</v>
      </c>
      <c r="E1655" s="77"/>
      <c r="F1655" s="78"/>
      <c r="G1655" s="78"/>
      <c r="H1655" s="78"/>
      <c r="I1655" s="78"/>
      <c r="J1655" s="77" t="s">
        <v>612</v>
      </c>
      <c r="K1655" s="77" t="s">
        <v>48</v>
      </c>
      <c r="L1655" s="82">
        <v>46169</v>
      </c>
    </row>
    <row r="1656" spans="1:12" hidden="1" x14ac:dyDescent="0.25">
      <c r="A1656" s="79"/>
      <c r="B1656" s="79"/>
      <c r="C1656" s="79"/>
      <c r="D1656" s="79">
        <v>1501</v>
      </c>
      <c r="E1656" s="79"/>
      <c r="F1656" s="80"/>
      <c r="G1656" s="80"/>
      <c r="H1656" s="80"/>
      <c r="I1656" s="80"/>
      <c r="J1656" s="79" t="s">
        <v>612</v>
      </c>
      <c r="K1656" s="79" t="s">
        <v>48</v>
      </c>
      <c r="L1656" s="81">
        <v>46169</v>
      </c>
    </row>
    <row r="1657" spans="1:12" hidden="1" x14ac:dyDescent="0.25">
      <c r="A1657" s="77"/>
      <c r="B1657" s="77"/>
      <c r="C1657" s="77"/>
      <c r="D1657" s="77">
        <v>1501</v>
      </c>
      <c r="E1657" s="77"/>
      <c r="F1657" s="78"/>
      <c r="G1657" s="78"/>
      <c r="H1657" s="78"/>
      <c r="I1657" s="78"/>
      <c r="J1657" s="77" t="s">
        <v>612</v>
      </c>
      <c r="K1657" s="77" t="s">
        <v>48</v>
      </c>
      <c r="L1657" s="82">
        <v>46169</v>
      </c>
    </row>
    <row r="1658" spans="1:12" hidden="1" x14ac:dyDescent="0.25">
      <c r="A1658" s="79"/>
      <c r="B1658" s="79"/>
      <c r="C1658" s="79"/>
      <c r="D1658" s="79">
        <v>1501</v>
      </c>
      <c r="E1658" s="79"/>
      <c r="F1658" s="80"/>
      <c r="G1658" s="80"/>
      <c r="H1658" s="80"/>
      <c r="I1658" s="80"/>
      <c r="J1658" s="79" t="s">
        <v>612</v>
      </c>
      <c r="K1658" s="79" t="s">
        <v>48</v>
      </c>
      <c r="L1658" s="81">
        <v>46169</v>
      </c>
    </row>
    <row r="1659" spans="1:12" hidden="1" x14ac:dyDescent="0.25">
      <c r="A1659" s="77"/>
      <c r="B1659" s="77"/>
      <c r="C1659" s="77"/>
      <c r="D1659" s="77">
        <v>1501</v>
      </c>
      <c r="E1659" s="77"/>
      <c r="F1659" s="78"/>
      <c r="G1659" s="78"/>
      <c r="H1659" s="78"/>
      <c r="I1659" s="78"/>
      <c r="J1659" s="77" t="s">
        <v>612</v>
      </c>
      <c r="K1659" s="77" t="s">
        <v>48</v>
      </c>
      <c r="L1659" s="82">
        <v>46169</v>
      </c>
    </row>
    <row r="1660" spans="1:12" hidden="1" x14ac:dyDescent="0.25">
      <c r="A1660" s="79"/>
      <c r="B1660" s="79"/>
      <c r="C1660" s="79"/>
      <c r="D1660" s="79">
        <v>1501</v>
      </c>
      <c r="E1660" s="79"/>
      <c r="F1660" s="80"/>
      <c r="G1660" s="80"/>
      <c r="H1660" s="80"/>
      <c r="I1660" s="80"/>
      <c r="J1660" s="79" t="s">
        <v>612</v>
      </c>
      <c r="K1660" s="79" t="s">
        <v>48</v>
      </c>
      <c r="L1660" s="81">
        <v>46169</v>
      </c>
    </row>
    <row r="1661" spans="1:12" hidden="1" x14ac:dyDescent="0.25">
      <c r="A1661" s="77"/>
      <c r="B1661" s="77"/>
      <c r="C1661" s="77"/>
      <c r="D1661" s="77">
        <v>1501</v>
      </c>
      <c r="E1661" s="77"/>
      <c r="F1661" s="78"/>
      <c r="G1661" s="78"/>
      <c r="H1661" s="78"/>
      <c r="I1661" s="78"/>
      <c r="J1661" s="77" t="s">
        <v>612</v>
      </c>
      <c r="K1661" s="77" t="s">
        <v>48</v>
      </c>
      <c r="L1661" s="82">
        <v>46169</v>
      </c>
    </row>
    <row r="1662" spans="1:12" hidden="1" x14ac:dyDescent="0.25">
      <c r="A1662" s="79"/>
      <c r="B1662" s="79"/>
      <c r="C1662" s="79"/>
      <c r="D1662" s="79">
        <v>1501</v>
      </c>
      <c r="E1662" s="79"/>
      <c r="F1662" s="80"/>
      <c r="G1662" s="80"/>
      <c r="H1662" s="80"/>
      <c r="I1662" s="80"/>
      <c r="J1662" s="79" t="s">
        <v>612</v>
      </c>
      <c r="K1662" s="79" t="s">
        <v>48</v>
      </c>
      <c r="L1662" s="81">
        <v>46169</v>
      </c>
    </row>
    <row r="1663" spans="1:12" hidden="1" x14ac:dyDescent="0.25">
      <c r="A1663" s="77"/>
      <c r="B1663" s="77"/>
      <c r="C1663" s="77"/>
      <c r="D1663" s="77">
        <v>1501</v>
      </c>
      <c r="E1663" s="77"/>
      <c r="F1663" s="78"/>
      <c r="G1663" s="78"/>
      <c r="H1663" s="78"/>
      <c r="I1663" s="78"/>
      <c r="J1663" s="77" t="s">
        <v>612</v>
      </c>
      <c r="K1663" s="77" t="s">
        <v>48</v>
      </c>
      <c r="L1663" s="82">
        <v>46169</v>
      </c>
    </row>
    <row r="1664" spans="1:12" hidden="1" x14ac:dyDescent="0.25">
      <c r="A1664" s="79"/>
      <c r="B1664" s="79"/>
      <c r="C1664" s="79"/>
      <c r="D1664" s="79">
        <v>1501</v>
      </c>
      <c r="E1664" s="79"/>
      <c r="F1664" s="80"/>
      <c r="G1664" s="80"/>
      <c r="H1664" s="80"/>
      <c r="I1664" s="80"/>
      <c r="J1664" s="79" t="s">
        <v>612</v>
      </c>
      <c r="K1664" s="79" t="s">
        <v>48</v>
      </c>
      <c r="L1664" s="81">
        <v>46169</v>
      </c>
    </row>
    <row r="1665" spans="1:12" hidden="1" x14ac:dyDescent="0.25">
      <c r="A1665" s="77"/>
      <c r="B1665" s="77"/>
      <c r="C1665" s="77"/>
      <c r="D1665" s="77">
        <v>1501</v>
      </c>
      <c r="E1665" s="77"/>
      <c r="F1665" s="78"/>
      <c r="G1665" s="78"/>
      <c r="H1665" s="78"/>
      <c r="I1665" s="78"/>
      <c r="J1665" s="77" t="s">
        <v>612</v>
      </c>
      <c r="K1665" s="77" t="s">
        <v>48</v>
      </c>
      <c r="L1665" s="82">
        <v>46169</v>
      </c>
    </row>
    <row r="1666" spans="1:12" hidden="1" x14ac:dyDescent="0.25">
      <c r="A1666" s="79"/>
      <c r="B1666" s="79"/>
      <c r="C1666" s="79"/>
      <c r="D1666" s="79">
        <v>1501</v>
      </c>
      <c r="E1666" s="79"/>
      <c r="F1666" s="80"/>
      <c r="G1666" s="80"/>
      <c r="H1666" s="80"/>
      <c r="I1666" s="80"/>
      <c r="J1666" s="79" t="s">
        <v>612</v>
      </c>
      <c r="K1666" s="79" t="s">
        <v>48</v>
      </c>
      <c r="L1666" s="81">
        <v>46169</v>
      </c>
    </row>
    <row r="1667" spans="1:12" hidden="1" x14ac:dyDescent="0.25">
      <c r="A1667" s="77"/>
      <c r="B1667" s="77"/>
      <c r="C1667" s="77"/>
      <c r="D1667" s="77">
        <v>1501</v>
      </c>
      <c r="E1667" s="77"/>
      <c r="F1667" s="78"/>
      <c r="G1667" s="78"/>
      <c r="H1667" s="78"/>
      <c r="I1667" s="78"/>
      <c r="J1667" s="77" t="s">
        <v>612</v>
      </c>
      <c r="K1667" s="77" t="s">
        <v>48</v>
      </c>
      <c r="L1667" s="82">
        <v>46169</v>
      </c>
    </row>
    <row r="1668" spans="1:12" hidden="1" x14ac:dyDescent="0.25">
      <c r="A1668" s="79"/>
      <c r="B1668" s="79"/>
      <c r="C1668" s="79"/>
      <c r="D1668" s="79">
        <v>1501</v>
      </c>
      <c r="E1668" s="79"/>
      <c r="F1668" s="80"/>
      <c r="G1668" s="80"/>
      <c r="H1668" s="80"/>
      <c r="I1668" s="80"/>
      <c r="J1668" s="79" t="s">
        <v>612</v>
      </c>
      <c r="K1668" s="79" t="s">
        <v>48</v>
      </c>
      <c r="L1668" s="81">
        <v>46169</v>
      </c>
    </row>
    <row r="1669" spans="1:12" hidden="1" x14ac:dyDescent="0.25">
      <c r="A1669" s="77"/>
      <c r="B1669" s="77"/>
      <c r="C1669" s="77"/>
      <c r="D1669" s="77">
        <v>1501</v>
      </c>
      <c r="E1669" s="77"/>
      <c r="F1669" s="78"/>
      <c r="G1669" s="78"/>
      <c r="H1669" s="78"/>
      <c r="I1669" s="78"/>
      <c r="J1669" s="77" t="s">
        <v>612</v>
      </c>
      <c r="K1669" s="77" t="s">
        <v>48</v>
      </c>
      <c r="L1669" s="82">
        <v>46169</v>
      </c>
    </row>
    <row r="1670" spans="1:12" hidden="1" x14ac:dyDescent="0.25">
      <c r="A1670" s="79"/>
      <c r="B1670" s="79"/>
      <c r="C1670" s="79"/>
      <c r="D1670" s="79">
        <v>1501</v>
      </c>
      <c r="E1670" s="79"/>
      <c r="F1670" s="80"/>
      <c r="G1670" s="80"/>
      <c r="H1670" s="80"/>
      <c r="I1670" s="80"/>
      <c r="J1670" s="79" t="s">
        <v>612</v>
      </c>
      <c r="K1670" s="79" t="s">
        <v>48</v>
      </c>
      <c r="L1670" s="81">
        <v>46169</v>
      </c>
    </row>
    <row r="1671" spans="1:12" hidden="1" x14ac:dyDescent="0.25">
      <c r="A1671" s="77"/>
      <c r="B1671" s="77"/>
      <c r="C1671" s="77"/>
      <c r="D1671" s="77">
        <v>1501</v>
      </c>
      <c r="E1671" s="77"/>
      <c r="F1671" s="78"/>
      <c r="G1671" s="78"/>
      <c r="H1671" s="78"/>
      <c r="I1671" s="78"/>
      <c r="J1671" s="77" t="s">
        <v>612</v>
      </c>
      <c r="K1671" s="77" t="s">
        <v>48</v>
      </c>
      <c r="L1671" s="82">
        <v>46169</v>
      </c>
    </row>
    <row r="1672" spans="1:12" hidden="1" x14ac:dyDescent="0.25">
      <c r="A1672" s="79"/>
      <c r="B1672" s="79"/>
      <c r="C1672" s="79"/>
      <c r="D1672" s="79">
        <v>1501</v>
      </c>
      <c r="E1672" s="79"/>
      <c r="F1672" s="80"/>
      <c r="G1672" s="80"/>
      <c r="H1672" s="80"/>
      <c r="I1672" s="80"/>
      <c r="J1672" s="79" t="s">
        <v>612</v>
      </c>
      <c r="K1672" s="79" t="s">
        <v>48</v>
      </c>
      <c r="L1672" s="81">
        <v>46169</v>
      </c>
    </row>
    <row r="1673" spans="1:12" hidden="1" x14ac:dyDescent="0.25">
      <c r="A1673" s="77"/>
      <c r="B1673" s="77"/>
      <c r="C1673" s="77"/>
      <c r="D1673" s="77">
        <v>1501</v>
      </c>
      <c r="E1673" s="77"/>
      <c r="F1673" s="78"/>
      <c r="G1673" s="78"/>
      <c r="H1673" s="78"/>
      <c r="I1673" s="78"/>
      <c r="J1673" s="77" t="s">
        <v>612</v>
      </c>
      <c r="K1673" s="77" t="s">
        <v>48</v>
      </c>
      <c r="L1673" s="82">
        <v>46169</v>
      </c>
    </row>
    <row r="1674" spans="1:12" hidden="1" x14ac:dyDescent="0.25">
      <c r="A1674" s="79"/>
      <c r="B1674" s="79"/>
      <c r="C1674" s="79"/>
      <c r="D1674" s="79">
        <v>1501</v>
      </c>
      <c r="E1674" s="79"/>
      <c r="F1674" s="80"/>
      <c r="G1674" s="80"/>
      <c r="H1674" s="80"/>
      <c r="I1674" s="80"/>
      <c r="J1674" s="79" t="s">
        <v>612</v>
      </c>
      <c r="K1674" s="79" t="s">
        <v>48</v>
      </c>
      <c r="L1674" s="81">
        <v>46169</v>
      </c>
    </row>
    <row r="1675" spans="1:12" hidden="1" x14ac:dyDescent="0.25">
      <c r="A1675" s="77"/>
      <c r="B1675" s="77"/>
      <c r="C1675" s="77"/>
      <c r="D1675" s="77">
        <v>1501</v>
      </c>
      <c r="E1675" s="77"/>
      <c r="F1675" s="78"/>
      <c r="G1675" s="78"/>
      <c r="H1675" s="78"/>
      <c r="I1675" s="78"/>
      <c r="J1675" s="77" t="s">
        <v>612</v>
      </c>
      <c r="K1675" s="77" t="s">
        <v>48</v>
      </c>
      <c r="L1675" s="82">
        <v>46169</v>
      </c>
    </row>
    <row r="1676" spans="1:12" hidden="1" x14ac:dyDescent="0.25">
      <c r="A1676" s="79"/>
      <c r="B1676" s="79"/>
      <c r="C1676" s="79"/>
      <c r="D1676" s="79">
        <v>1501</v>
      </c>
      <c r="E1676" s="79"/>
      <c r="F1676" s="80"/>
      <c r="G1676" s="80"/>
      <c r="H1676" s="80"/>
      <c r="I1676" s="80"/>
      <c r="J1676" s="79" t="s">
        <v>612</v>
      </c>
      <c r="K1676" s="79" t="s">
        <v>48</v>
      </c>
      <c r="L1676" s="81">
        <v>46169</v>
      </c>
    </row>
    <row r="1677" spans="1:12" hidden="1" x14ac:dyDescent="0.25">
      <c r="A1677" s="77"/>
      <c r="B1677" s="77"/>
      <c r="C1677" s="77"/>
      <c r="D1677" s="77">
        <v>1501</v>
      </c>
      <c r="E1677" s="77"/>
      <c r="F1677" s="78"/>
      <c r="G1677" s="78"/>
      <c r="H1677" s="78"/>
      <c r="I1677" s="78"/>
      <c r="J1677" s="77" t="s">
        <v>612</v>
      </c>
      <c r="K1677" s="77" t="s">
        <v>48</v>
      </c>
      <c r="L1677" s="82">
        <v>46169</v>
      </c>
    </row>
    <row r="1678" spans="1:12" hidden="1" x14ac:dyDescent="0.25">
      <c r="A1678" s="79"/>
      <c r="B1678" s="79"/>
      <c r="C1678" s="79"/>
      <c r="D1678" s="79">
        <v>1501</v>
      </c>
      <c r="E1678" s="79"/>
      <c r="F1678" s="80"/>
      <c r="G1678" s="80"/>
      <c r="H1678" s="80"/>
      <c r="I1678" s="80"/>
      <c r="J1678" s="79" t="s">
        <v>612</v>
      </c>
      <c r="K1678" s="79" t="s">
        <v>48</v>
      </c>
      <c r="L1678" s="81">
        <v>46169</v>
      </c>
    </row>
    <row r="1679" spans="1:12" hidden="1" x14ac:dyDescent="0.25">
      <c r="A1679" s="77"/>
      <c r="B1679" s="77"/>
      <c r="C1679" s="77"/>
      <c r="D1679" s="77">
        <v>1501</v>
      </c>
      <c r="E1679" s="77"/>
      <c r="F1679" s="78"/>
      <c r="G1679" s="78"/>
      <c r="H1679" s="78"/>
      <c r="I1679" s="78"/>
      <c r="J1679" s="77" t="s">
        <v>612</v>
      </c>
      <c r="K1679" s="77" t="s">
        <v>48</v>
      </c>
      <c r="L1679" s="82">
        <v>46169</v>
      </c>
    </row>
    <row r="1680" spans="1:12" hidden="1" x14ac:dyDescent="0.25">
      <c r="A1680" s="79"/>
      <c r="B1680" s="79"/>
      <c r="C1680" s="79"/>
      <c r="D1680" s="79">
        <v>1501</v>
      </c>
      <c r="E1680" s="79"/>
      <c r="F1680" s="80"/>
      <c r="G1680" s="80"/>
      <c r="H1680" s="80"/>
      <c r="I1680" s="80"/>
      <c r="J1680" s="79" t="s">
        <v>612</v>
      </c>
      <c r="K1680" s="79" t="s">
        <v>48</v>
      </c>
      <c r="L1680" s="81">
        <v>46169</v>
      </c>
    </row>
    <row r="1681" spans="1:12" hidden="1" x14ac:dyDescent="0.25">
      <c r="A1681" s="77"/>
      <c r="B1681" s="77"/>
      <c r="C1681" s="77"/>
      <c r="D1681" s="77">
        <v>1501</v>
      </c>
      <c r="E1681" s="77"/>
      <c r="F1681" s="78"/>
      <c r="G1681" s="78"/>
      <c r="H1681" s="78"/>
      <c r="I1681" s="78"/>
      <c r="J1681" s="77" t="s">
        <v>612</v>
      </c>
      <c r="K1681" s="77" t="s">
        <v>48</v>
      </c>
      <c r="L1681" s="82">
        <v>46169</v>
      </c>
    </row>
    <row r="1682" spans="1:12" hidden="1" x14ac:dyDescent="0.25">
      <c r="A1682" s="79"/>
      <c r="B1682" s="79"/>
      <c r="C1682" s="79"/>
      <c r="D1682" s="79">
        <v>1501</v>
      </c>
      <c r="E1682" s="79"/>
      <c r="F1682" s="80"/>
      <c r="G1682" s="80"/>
      <c r="H1682" s="80"/>
      <c r="I1682" s="80"/>
      <c r="J1682" s="79" t="s">
        <v>612</v>
      </c>
      <c r="K1682" s="79" t="s">
        <v>48</v>
      </c>
      <c r="L1682" s="81">
        <v>46169</v>
      </c>
    </row>
    <row r="1683" spans="1:12" hidden="1" x14ac:dyDescent="0.25">
      <c r="A1683" s="77"/>
      <c r="B1683" s="77"/>
      <c r="C1683" s="77"/>
      <c r="D1683" s="77">
        <v>1501</v>
      </c>
      <c r="E1683" s="77"/>
      <c r="F1683" s="78"/>
      <c r="G1683" s="78"/>
      <c r="H1683" s="78"/>
      <c r="I1683" s="78"/>
      <c r="J1683" s="77" t="s">
        <v>612</v>
      </c>
      <c r="K1683" s="77" t="s">
        <v>48</v>
      </c>
      <c r="L1683" s="82">
        <v>46169</v>
      </c>
    </row>
    <row r="1684" spans="1:12" hidden="1" x14ac:dyDescent="0.25">
      <c r="A1684" s="79"/>
      <c r="B1684" s="79"/>
      <c r="C1684" s="79"/>
      <c r="D1684" s="79">
        <v>1501</v>
      </c>
      <c r="E1684" s="79"/>
      <c r="F1684" s="80"/>
      <c r="G1684" s="80"/>
      <c r="H1684" s="80"/>
      <c r="I1684" s="80"/>
      <c r="J1684" s="79" t="s">
        <v>612</v>
      </c>
      <c r="K1684" s="79" t="s">
        <v>48</v>
      </c>
      <c r="L1684" s="81">
        <v>46169</v>
      </c>
    </row>
    <row r="1685" spans="1:12" hidden="1" x14ac:dyDescent="0.25">
      <c r="A1685" s="77"/>
      <c r="B1685" s="77"/>
      <c r="C1685" s="77"/>
      <c r="D1685" s="77">
        <v>1501</v>
      </c>
      <c r="E1685" s="77"/>
      <c r="F1685" s="78"/>
      <c r="G1685" s="78"/>
      <c r="H1685" s="78"/>
      <c r="I1685" s="78"/>
      <c r="J1685" s="77" t="s">
        <v>612</v>
      </c>
      <c r="K1685" s="77" t="s">
        <v>48</v>
      </c>
      <c r="L1685" s="82">
        <v>46169</v>
      </c>
    </row>
    <row r="1686" spans="1:12" hidden="1" x14ac:dyDescent="0.25">
      <c r="A1686" s="79"/>
      <c r="B1686" s="79"/>
      <c r="C1686" s="79"/>
      <c r="D1686" s="79">
        <v>1501</v>
      </c>
      <c r="E1686" s="79"/>
      <c r="F1686" s="80"/>
      <c r="G1686" s="80"/>
      <c r="H1686" s="80"/>
      <c r="I1686" s="80"/>
      <c r="J1686" s="79" t="s">
        <v>612</v>
      </c>
      <c r="K1686" s="79" t="s">
        <v>48</v>
      </c>
      <c r="L1686" s="81">
        <v>46169</v>
      </c>
    </row>
    <row r="1687" spans="1:12" hidden="1" x14ac:dyDescent="0.25">
      <c r="A1687" s="77"/>
      <c r="B1687" s="77"/>
      <c r="C1687" s="77"/>
      <c r="D1687" s="77">
        <v>1501</v>
      </c>
      <c r="E1687" s="77"/>
      <c r="F1687" s="78"/>
      <c r="G1687" s="78"/>
      <c r="H1687" s="78"/>
      <c r="I1687" s="78"/>
      <c r="J1687" s="77" t="s">
        <v>612</v>
      </c>
      <c r="K1687" s="77" t="s">
        <v>48</v>
      </c>
      <c r="L1687" s="82">
        <v>46169</v>
      </c>
    </row>
    <row r="1688" spans="1:12" hidden="1" x14ac:dyDescent="0.25">
      <c r="A1688" s="79"/>
      <c r="B1688" s="79"/>
      <c r="C1688" s="79"/>
      <c r="D1688" s="79">
        <v>1501</v>
      </c>
      <c r="E1688" s="79"/>
      <c r="F1688" s="80"/>
      <c r="G1688" s="80"/>
      <c r="H1688" s="80"/>
      <c r="I1688" s="80"/>
      <c r="J1688" s="79" t="s">
        <v>612</v>
      </c>
      <c r="K1688" s="79" t="s">
        <v>48</v>
      </c>
      <c r="L1688" s="81">
        <v>46169</v>
      </c>
    </row>
    <row r="1689" spans="1:12" hidden="1" x14ac:dyDescent="0.25">
      <c r="A1689" s="77"/>
      <c r="B1689" s="77"/>
      <c r="C1689" s="77"/>
      <c r="D1689" s="77">
        <v>1501</v>
      </c>
      <c r="E1689" s="77"/>
      <c r="F1689" s="78"/>
      <c r="G1689" s="78"/>
      <c r="H1689" s="78"/>
      <c r="I1689" s="78"/>
      <c r="J1689" s="77" t="s">
        <v>612</v>
      </c>
      <c r="K1689" s="77" t="s">
        <v>48</v>
      </c>
      <c r="L1689" s="82">
        <v>46169</v>
      </c>
    </row>
    <row r="1690" spans="1:12" hidden="1" x14ac:dyDescent="0.25">
      <c r="A1690" s="87" t="s">
        <v>877</v>
      </c>
      <c r="B1690" s="87" t="s">
        <v>3159</v>
      </c>
      <c r="C1690" s="87" t="s">
        <v>3160</v>
      </c>
      <c r="D1690" s="87">
        <v>1704</v>
      </c>
      <c r="E1690" s="87">
        <v>-1</v>
      </c>
      <c r="F1690" s="88">
        <v>4.702</v>
      </c>
      <c r="G1690" s="88">
        <v>6.23</v>
      </c>
      <c r="H1690" s="88">
        <v>-4.702</v>
      </c>
      <c r="I1690" s="88">
        <v>-6.23</v>
      </c>
      <c r="J1690" s="87" t="s">
        <v>614</v>
      </c>
      <c r="K1690" s="87" t="s">
        <v>48</v>
      </c>
      <c r="L1690" s="89">
        <v>46188</v>
      </c>
    </row>
    <row r="1691" spans="1:12" hidden="1" x14ac:dyDescent="0.25">
      <c r="A1691" s="85" t="s">
        <v>877</v>
      </c>
      <c r="B1691" s="85" t="s">
        <v>3161</v>
      </c>
      <c r="C1691" s="85" t="s">
        <v>3162</v>
      </c>
      <c r="D1691" s="85">
        <v>1704</v>
      </c>
      <c r="E1691" s="85">
        <v>-1</v>
      </c>
      <c r="F1691" s="86">
        <v>0.61</v>
      </c>
      <c r="G1691" s="86">
        <v>0.85</v>
      </c>
      <c r="H1691" s="86">
        <v>-0.61</v>
      </c>
      <c r="I1691" s="86">
        <v>-0.85</v>
      </c>
      <c r="J1691" s="85" t="s">
        <v>614</v>
      </c>
      <c r="K1691" s="85" t="s">
        <v>48</v>
      </c>
      <c r="L1691" s="90">
        <v>46188</v>
      </c>
    </row>
    <row r="1692" spans="1:12" hidden="1" x14ac:dyDescent="0.25">
      <c r="A1692" s="87" t="s">
        <v>877</v>
      </c>
      <c r="B1692" s="87" t="s">
        <v>1410</v>
      </c>
      <c r="C1692" s="87" t="s">
        <v>1411</v>
      </c>
      <c r="D1692" s="87">
        <v>1704</v>
      </c>
      <c r="E1692" s="87">
        <v>-1</v>
      </c>
      <c r="F1692" s="88">
        <v>3.3767499999999999</v>
      </c>
      <c r="G1692" s="88">
        <v>4.96</v>
      </c>
      <c r="H1692" s="88">
        <v>-3.3767499999999999</v>
      </c>
      <c r="I1692" s="88">
        <v>-4.96</v>
      </c>
      <c r="J1692" s="87" t="s">
        <v>614</v>
      </c>
      <c r="K1692" s="87" t="s">
        <v>48</v>
      </c>
      <c r="L1692" s="89">
        <v>46188</v>
      </c>
    </row>
    <row r="1693" spans="1:12" hidden="1" x14ac:dyDescent="0.25">
      <c r="A1693" s="85" t="s">
        <v>877</v>
      </c>
      <c r="B1693" s="85" t="s">
        <v>2684</v>
      </c>
      <c r="C1693" s="85" t="s">
        <v>2685</v>
      </c>
      <c r="D1693" s="85">
        <v>1704</v>
      </c>
      <c r="E1693" s="85">
        <v>-1</v>
      </c>
      <c r="F1693" s="86">
        <v>3.9680499999999999</v>
      </c>
      <c r="G1693" s="86">
        <v>5.07</v>
      </c>
      <c r="H1693" s="86">
        <v>-3.9680499999999999</v>
      </c>
      <c r="I1693" s="86">
        <v>-5.07</v>
      </c>
      <c r="J1693" s="85" t="s">
        <v>614</v>
      </c>
      <c r="K1693" s="85" t="s">
        <v>48</v>
      </c>
      <c r="L1693" s="90">
        <v>46188</v>
      </c>
    </row>
    <row r="1694" spans="1:12" hidden="1" x14ac:dyDescent="0.25">
      <c r="A1694" s="87" t="s">
        <v>877</v>
      </c>
      <c r="B1694" s="87" t="s">
        <v>2751</v>
      </c>
      <c r="C1694" s="87" t="s">
        <v>2752</v>
      </c>
      <c r="D1694" s="87">
        <v>1704</v>
      </c>
      <c r="E1694" s="87">
        <v>-1</v>
      </c>
      <c r="F1694" s="88">
        <v>7.4979583333333304</v>
      </c>
      <c r="G1694" s="88">
        <v>19.73</v>
      </c>
      <c r="H1694" s="88">
        <v>-7.4979583333333304</v>
      </c>
      <c r="I1694" s="88">
        <v>-19.73</v>
      </c>
      <c r="J1694" s="87" t="s">
        <v>614</v>
      </c>
      <c r="K1694" s="87" t="s">
        <v>48</v>
      </c>
      <c r="L1694" s="89">
        <v>46188</v>
      </c>
    </row>
    <row r="1695" spans="1:12" hidden="1" x14ac:dyDescent="0.25">
      <c r="A1695" s="85" t="s">
        <v>911</v>
      </c>
      <c r="B1695" s="85" t="s">
        <v>1418</v>
      </c>
      <c r="C1695" s="85" t="s">
        <v>1419</v>
      </c>
      <c r="D1695" s="85">
        <v>1704</v>
      </c>
      <c r="E1695" s="85">
        <v>1</v>
      </c>
      <c r="F1695" s="86">
        <v>28.848299999999998</v>
      </c>
      <c r="G1695" s="86">
        <v>79.97</v>
      </c>
      <c r="H1695" s="86">
        <v>28.848299999999998</v>
      </c>
      <c r="I1695" s="86">
        <v>79.97</v>
      </c>
      <c r="J1695" s="85" t="s">
        <v>614</v>
      </c>
      <c r="K1695" s="85" t="s">
        <v>48</v>
      </c>
      <c r="L1695" s="90">
        <v>46188</v>
      </c>
    </row>
    <row r="1696" spans="1:12" hidden="1" x14ac:dyDescent="0.25">
      <c r="A1696" s="87" t="s">
        <v>922</v>
      </c>
      <c r="B1696" s="87" t="s">
        <v>1372</v>
      </c>
      <c r="C1696" s="87" t="s">
        <v>1373</v>
      </c>
      <c r="D1696" s="87">
        <v>1704</v>
      </c>
      <c r="E1696" s="87">
        <v>-1</v>
      </c>
      <c r="F1696" s="88">
        <v>39.082500000000003</v>
      </c>
      <c r="G1696" s="88">
        <v>107.39</v>
      </c>
      <c r="H1696" s="88">
        <v>-39.082500000000003</v>
      </c>
      <c r="I1696" s="88">
        <v>-107.39</v>
      </c>
      <c r="J1696" s="87" t="s">
        <v>614</v>
      </c>
      <c r="K1696" s="87" t="s">
        <v>48</v>
      </c>
      <c r="L1696" s="89">
        <v>46188</v>
      </c>
    </row>
    <row r="1697" spans="1:12" hidden="1" x14ac:dyDescent="0.25">
      <c r="A1697" s="85" t="s">
        <v>877</v>
      </c>
      <c r="B1697" s="85" t="s">
        <v>1412</v>
      </c>
      <c r="C1697" s="85" t="s">
        <v>1413</v>
      </c>
      <c r="D1697" s="85">
        <v>1704</v>
      </c>
      <c r="E1697" s="85">
        <v>-1</v>
      </c>
      <c r="F1697" s="86">
        <v>2.1726999999999999</v>
      </c>
      <c r="G1697" s="86">
        <v>3</v>
      </c>
      <c r="H1697" s="86">
        <v>-2.1726999999999999</v>
      </c>
      <c r="I1697" s="86">
        <v>-3</v>
      </c>
      <c r="J1697" s="85" t="s">
        <v>614</v>
      </c>
      <c r="K1697" s="85" t="s">
        <v>48</v>
      </c>
      <c r="L1697" s="90">
        <v>46188</v>
      </c>
    </row>
    <row r="1698" spans="1:12" hidden="1" x14ac:dyDescent="0.25">
      <c r="A1698" s="87" t="s">
        <v>877</v>
      </c>
      <c r="B1698" s="87" t="s">
        <v>1404</v>
      </c>
      <c r="C1698" s="87" t="s">
        <v>1405</v>
      </c>
      <c r="D1698" s="87">
        <v>1704</v>
      </c>
      <c r="E1698" s="87">
        <v>-1</v>
      </c>
      <c r="F1698" s="88">
        <v>15.461600000000001</v>
      </c>
      <c r="G1698" s="88">
        <v>37.18</v>
      </c>
      <c r="H1698" s="88">
        <v>-15.461600000000001</v>
      </c>
      <c r="I1698" s="88">
        <v>-37.18</v>
      </c>
      <c r="J1698" s="87" t="s">
        <v>614</v>
      </c>
      <c r="K1698" s="87" t="s">
        <v>48</v>
      </c>
      <c r="L1698" s="89">
        <v>46188</v>
      </c>
    </row>
    <row r="1699" spans="1:12" hidden="1" x14ac:dyDescent="0.25">
      <c r="A1699" s="85" t="s">
        <v>877</v>
      </c>
      <c r="B1699" s="85" t="s">
        <v>1406</v>
      </c>
      <c r="C1699" s="85" t="s">
        <v>1407</v>
      </c>
      <c r="D1699" s="85">
        <v>1704</v>
      </c>
      <c r="E1699" s="85">
        <v>-1</v>
      </c>
      <c r="F1699" s="86">
        <v>5.1281400000000001</v>
      </c>
      <c r="G1699" s="86">
        <v>8.43</v>
      </c>
      <c r="H1699" s="86">
        <v>-5.1281400000000001</v>
      </c>
      <c r="I1699" s="86">
        <v>-8.43</v>
      </c>
      <c r="J1699" s="85" t="s">
        <v>614</v>
      </c>
      <c r="K1699" s="85" t="s">
        <v>48</v>
      </c>
      <c r="L1699" s="90">
        <v>46188</v>
      </c>
    </row>
    <row r="1700" spans="1:12" hidden="1" x14ac:dyDescent="0.25">
      <c r="A1700" s="87" t="s">
        <v>911</v>
      </c>
      <c r="B1700" s="87" t="s">
        <v>1420</v>
      </c>
      <c r="C1700" s="87" t="s">
        <v>1421</v>
      </c>
      <c r="D1700" s="87">
        <v>1704</v>
      </c>
      <c r="E1700" s="87">
        <v>1</v>
      </c>
      <c r="F1700" s="88">
        <v>6.6719999999999997</v>
      </c>
      <c r="G1700" s="88">
        <v>11.65</v>
      </c>
      <c r="H1700" s="88">
        <v>6.6719999999999997</v>
      </c>
      <c r="I1700" s="88">
        <v>11.65</v>
      </c>
      <c r="J1700" s="87" t="s">
        <v>614</v>
      </c>
      <c r="K1700" s="87" t="s">
        <v>48</v>
      </c>
      <c r="L1700" s="89">
        <v>46188</v>
      </c>
    </row>
    <row r="1701" spans="1:12" hidden="1" x14ac:dyDescent="0.25">
      <c r="A1701" s="85" t="s">
        <v>922</v>
      </c>
      <c r="B1701" s="85" t="s">
        <v>1422</v>
      </c>
      <c r="C1701" s="85" t="s">
        <v>1423</v>
      </c>
      <c r="D1701" s="85">
        <v>1704</v>
      </c>
      <c r="E1701" s="85">
        <v>-1</v>
      </c>
      <c r="F1701" s="86">
        <v>6.6719999999999997</v>
      </c>
      <c r="G1701" s="86">
        <v>11.65</v>
      </c>
      <c r="H1701" s="86">
        <v>-6.6719999999999997</v>
      </c>
      <c r="I1701" s="86">
        <v>-11.65</v>
      </c>
      <c r="J1701" s="85" t="s">
        <v>614</v>
      </c>
      <c r="K1701" s="85" t="s">
        <v>48</v>
      </c>
      <c r="L1701" s="90">
        <v>46188</v>
      </c>
    </row>
    <row r="1702" spans="1:12" hidden="1" x14ac:dyDescent="0.25">
      <c r="A1702" s="87" t="s">
        <v>898</v>
      </c>
      <c r="B1702" s="87" t="s">
        <v>3163</v>
      </c>
      <c r="C1702" s="87" t="s">
        <v>3164</v>
      </c>
      <c r="D1702" s="87">
        <v>1704</v>
      </c>
      <c r="E1702" s="87">
        <v>1</v>
      </c>
      <c r="F1702" s="88">
        <v>13.6625</v>
      </c>
      <c r="G1702" s="88">
        <v>19.39</v>
      </c>
      <c r="H1702" s="88">
        <v>13.6625</v>
      </c>
      <c r="I1702" s="88">
        <v>19.39</v>
      </c>
      <c r="J1702" s="87" t="s">
        <v>614</v>
      </c>
      <c r="K1702" s="87" t="s">
        <v>48</v>
      </c>
      <c r="L1702" s="89">
        <v>46188</v>
      </c>
    </row>
    <row r="1703" spans="1:12" hidden="1" x14ac:dyDescent="0.25">
      <c r="A1703" s="85" t="s">
        <v>911</v>
      </c>
      <c r="B1703" s="85" t="s">
        <v>1428</v>
      </c>
      <c r="C1703" s="85" t="s">
        <v>3165</v>
      </c>
      <c r="D1703" s="85">
        <v>1704</v>
      </c>
      <c r="E1703" s="85">
        <v>1</v>
      </c>
      <c r="F1703" s="86">
        <v>99.159499999999994</v>
      </c>
      <c r="G1703" s="86">
        <v>145.69999999999999</v>
      </c>
      <c r="H1703" s="86">
        <v>99.159499999999994</v>
      </c>
      <c r="I1703" s="86">
        <v>145.69999999999999</v>
      </c>
      <c r="J1703" s="85" t="s">
        <v>614</v>
      </c>
      <c r="K1703" s="85" t="s">
        <v>48</v>
      </c>
      <c r="L1703" s="90">
        <v>46188</v>
      </c>
    </row>
    <row r="1704" spans="1:12" hidden="1" x14ac:dyDescent="0.25">
      <c r="A1704" s="87" t="s">
        <v>922</v>
      </c>
      <c r="B1704" s="87" t="s">
        <v>1430</v>
      </c>
      <c r="C1704" s="87" t="s">
        <v>3166</v>
      </c>
      <c r="D1704" s="87">
        <v>1704</v>
      </c>
      <c r="E1704" s="87">
        <v>-1</v>
      </c>
      <c r="F1704" s="88">
        <v>102.83320000000001</v>
      </c>
      <c r="G1704" s="88">
        <v>137.03</v>
      </c>
      <c r="H1704" s="88">
        <v>-102.83320000000001</v>
      </c>
      <c r="I1704" s="88">
        <v>-137.03</v>
      </c>
      <c r="J1704" s="87" t="s">
        <v>614</v>
      </c>
      <c r="K1704" s="87" t="s">
        <v>48</v>
      </c>
      <c r="L1704" s="89">
        <v>46188</v>
      </c>
    </row>
    <row r="1705" spans="1:12" hidden="1" x14ac:dyDescent="0.25">
      <c r="A1705" s="85" t="s">
        <v>877</v>
      </c>
      <c r="B1705" s="85" t="s">
        <v>3167</v>
      </c>
      <c r="C1705" s="85" t="s">
        <v>3168</v>
      </c>
      <c r="D1705" s="85">
        <v>1704</v>
      </c>
      <c r="E1705" s="85">
        <v>-1</v>
      </c>
      <c r="F1705" s="86">
        <v>39.872500000000002</v>
      </c>
      <c r="G1705" s="86">
        <v>59.54</v>
      </c>
      <c r="H1705" s="86">
        <v>-39.872500000000002</v>
      </c>
      <c r="I1705" s="86">
        <v>-59.54</v>
      </c>
      <c r="J1705" s="85" t="s">
        <v>614</v>
      </c>
      <c r="K1705" s="85" t="s">
        <v>48</v>
      </c>
      <c r="L1705" s="90">
        <v>46188</v>
      </c>
    </row>
    <row r="1706" spans="1:12" hidden="1" x14ac:dyDescent="0.25">
      <c r="A1706" s="87" t="s">
        <v>877</v>
      </c>
      <c r="B1706" s="87" t="s">
        <v>1414</v>
      </c>
      <c r="C1706" s="87" t="s">
        <v>1415</v>
      </c>
      <c r="D1706" s="87">
        <v>1704</v>
      </c>
      <c r="E1706" s="87">
        <v>-1</v>
      </c>
      <c r="F1706" s="88">
        <v>0.70250000000000001</v>
      </c>
      <c r="G1706" s="88">
        <v>1</v>
      </c>
      <c r="H1706" s="88">
        <v>-0.70250000000000001</v>
      </c>
      <c r="I1706" s="88">
        <v>-1</v>
      </c>
      <c r="J1706" s="87" t="s">
        <v>614</v>
      </c>
      <c r="K1706" s="87" t="s">
        <v>48</v>
      </c>
      <c r="L1706" s="89">
        <v>46188</v>
      </c>
    </row>
    <row r="1707" spans="1:12" hidden="1" x14ac:dyDescent="0.25">
      <c r="A1707" s="85" t="s">
        <v>922</v>
      </c>
      <c r="B1707" s="85" t="s">
        <v>1426</v>
      </c>
      <c r="C1707" s="85" t="s">
        <v>1427</v>
      </c>
      <c r="D1707" s="85">
        <v>1704</v>
      </c>
      <c r="E1707" s="85">
        <v>-1</v>
      </c>
      <c r="F1707" s="86">
        <v>2.93</v>
      </c>
      <c r="G1707" s="86">
        <v>4.5</v>
      </c>
      <c r="H1707" s="86">
        <v>-2.93</v>
      </c>
      <c r="I1707" s="86">
        <v>-4.5</v>
      </c>
      <c r="J1707" s="85" t="s">
        <v>614</v>
      </c>
      <c r="K1707" s="85" t="s">
        <v>48</v>
      </c>
      <c r="L1707" s="90">
        <v>46188</v>
      </c>
    </row>
    <row r="1708" spans="1:12" hidden="1" x14ac:dyDescent="0.25">
      <c r="A1708" s="87" t="s">
        <v>911</v>
      </c>
      <c r="B1708" s="87" t="s">
        <v>1424</v>
      </c>
      <c r="C1708" s="87" t="s">
        <v>1425</v>
      </c>
      <c r="D1708" s="87">
        <v>1704</v>
      </c>
      <c r="E1708" s="87">
        <v>1</v>
      </c>
      <c r="F1708" s="88">
        <v>-3.89</v>
      </c>
      <c r="G1708" s="88">
        <v>5.97</v>
      </c>
      <c r="H1708" s="88">
        <v>-3.89</v>
      </c>
      <c r="I1708" s="88">
        <v>5.97</v>
      </c>
      <c r="J1708" s="87" t="s">
        <v>614</v>
      </c>
      <c r="K1708" s="87" t="s">
        <v>48</v>
      </c>
      <c r="L1708" s="89">
        <v>46188</v>
      </c>
    </row>
    <row r="1709" spans="1:12" hidden="1" x14ac:dyDescent="0.25">
      <c r="A1709" s="85" t="s">
        <v>922</v>
      </c>
      <c r="B1709" s="85" t="s">
        <v>3169</v>
      </c>
      <c r="C1709" s="85" t="s">
        <v>3170</v>
      </c>
      <c r="D1709" s="85">
        <v>1705</v>
      </c>
      <c r="E1709" s="85">
        <v>-1</v>
      </c>
      <c r="F1709" s="86">
        <v>614.20642499999997</v>
      </c>
      <c r="G1709" s="86">
        <v>872.2</v>
      </c>
      <c r="H1709" s="86">
        <v>-614.20642499999997</v>
      </c>
      <c r="I1709" s="86">
        <v>-872.2</v>
      </c>
      <c r="J1709" s="85" t="s">
        <v>616</v>
      </c>
      <c r="K1709" s="85" t="s">
        <v>48</v>
      </c>
      <c r="L1709" s="90">
        <v>46188</v>
      </c>
    </row>
    <row r="1710" spans="1:12" hidden="1" x14ac:dyDescent="0.25">
      <c r="A1710" s="87" t="s">
        <v>911</v>
      </c>
      <c r="B1710" s="87" t="s">
        <v>3171</v>
      </c>
      <c r="C1710" s="87" t="s">
        <v>3172</v>
      </c>
      <c r="D1710" s="87">
        <v>1705</v>
      </c>
      <c r="E1710" s="87">
        <v>1</v>
      </c>
      <c r="F1710" s="88">
        <v>573.11</v>
      </c>
      <c r="G1710" s="88">
        <v>827.09</v>
      </c>
      <c r="H1710" s="88">
        <v>573.11</v>
      </c>
      <c r="I1710" s="88">
        <v>827.09</v>
      </c>
      <c r="J1710" s="87" t="s">
        <v>616</v>
      </c>
      <c r="K1710" s="87" t="s">
        <v>48</v>
      </c>
      <c r="L1710" s="89">
        <v>46188</v>
      </c>
    </row>
    <row r="1711" spans="1:12" hidden="1" x14ac:dyDescent="0.25">
      <c r="A1711" s="85" t="s">
        <v>1724</v>
      </c>
      <c r="B1711" s="85" t="s">
        <v>705</v>
      </c>
      <c r="C1711" s="85" t="s">
        <v>706</v>
      </c>
      <c r="D1711" s="85">
        <v>1514</v>
      </c>
      <c r="E1711" s="85">
        <v>-3</v>
      </c>
      <c r="F1711" s="86">
        <v>2.4</v>
      </c>
      <c r="G1711" s="86">
        <v>3.94</v>
      </c>
      <c r="H1711" s="86">
        <v>-7.1999999999999993</v>
      </c>
      <c r="I1711" s="86">
        <v>-11.82</v>
      </c>
      <c r="J1711" s="85" t="s">
        <v>617</v>
      </c>
      <c r="K1711" s="85" t="s">
        <v>48</v>
      </c>
      <c r="L1711" s="90">
        <v>46190</v>
      </c>
    </row>
    <row r="1712" spans="1:12" hidden="1" x14ac:dyDescent="0.25">
      <c r="A1712" s="87" t="s">
        <v>1724</v>
      </c>
      <c r="B1712" s="87" t="s">
        <v>994</v>
      </c>
      <c r="C1712" s="87" t="s">
        <v>995</v>
      </c>
      <c r="D1712" s="87">
        <v>1514</v>
      </c>
      <c r="E1712" s="87">
        <v>-3</v>
      </c>
      <c r="F1712" s="88">
        <v>2.4</v>
      </c>
      <c r="G1712" s="88">
        <v>3.94</v>
      </c>
      <c r="H1712" s="88">
        <v>-7.1999999999999993</v>
      </c>
      <c r="I1712" s="88">
        <v>-11.82</v>
      </c>
      <c r="J1712" s="87" t="s">
        <v>617</v>
      </c>
      <c r="K1712" s="87" t="s">
        <v>48</v>
      </c>
      <c r="L1712" s="89">
        <v>46190</v>
      </c>
    </row>
    <row r="1713" spans="1:12" hidden="1" x14ac:dyDescent="0.25">
      <c r="A1713" s="85" t="s">
        <v>877</v>
      </c>
      <c r="B1713" s="85" t="s">
        <v>3173</v>
      </c>
      <c r="C1713" s="85" t="s">
        <v>3174</v>
      </c>
      <c r="D1713" s="85">
        <v>1514</v>
      </c>
      <c r="E1713" s="85">
        <v>-1</v>
      </c>
      <c r="F1713" s="86">
        <v>19.645499999999998</v>
      </c>
      <c r="G1713" s="86">
        <v>28.76</v>
      </c>
      <c r="H1713" s="86">
        <v>-19.645499999999998</v>
      </c>
      <c r="I1713" s="86">
        <v>-28.76</v>
      </c>
      <c r="J1713" s="85" t="s">
        <v>617</v>
      </c>
      <c r="K1713" s="85" t="s">
        <v>48</v>
      </c>
      <c r="L1713" s="90">
        <v>46190</v>
      </c>
    </row>
    <row r="1714" spans="1:12" hidden="1" x14ac:dyDescent="0.25">
      <c r="A1714" s="87" t="s">
        <v>922</v>
      </c>
      <c r="B1714" s="87" t="s">
        <v>689</v>
      </c>
      <c r="C1714" s="87" t="s">
        <v>2880</v>
      </c>
      <c r="D1714" s="87">
        <v>1514</v>
      </c>
      <c r="E1714" s="87">
        <v>-1</v>
      </c>
      <c r="F1714" s="88">
        <v>21.1307333333333</v>
      </c>
      <c r="G1714" s="88">
        <v>46.42</v>
      </c>
      <c r="H1714" s="88">
        <v>-21.1307333333333</v>
      </c>
      <c r="I1714" s="88">
        <v>-46.42</v>
      </c>
      <c r="J1714" s="87" t="s">
        <v>617</v>
      </c>
      <c r="K1714" s="87" t="s">
        <v>48</v>
      </c>
      <c r="L1714" s="89">
        <v>46190</v>
      </c>
    </row>
    <row r="1715" spans="1:12" hidden="1" x14ac:dyDescent="0.25">
      <c r="A1715" s="85" t="s">
        <v>911</v>
      </c>
      <c r="B1715" s="85" t="s">
        <v>964</v>
      </c>
      <c r="C1715" s="85" t="s">
        <v>965</v>
      </c>
      <c r="D1715" s="85">
        <v>1514</v>
      </c>
      <c r="E1715" s="85">
        <v>1</v>
      </c>
      <c r="F1715" s="86">
        <v>24.370650000000001</v>
      </c>
      <c r="G1715" s="86">
        <v>46.42</v>
      </c>
      <c r="H1715" s="86">
        <v>24.370650000000001</v>
      </c>
      <c r="I1715" s="86">
        <v>46.42</v>
      </c>
      <c r="J1715" s="85" t="s">
        <v>617</v>
      </c>
      <c r="K1715" s="85" t="s">
        <v>48</v>
      </c>
      <c r="L1715" s="90">
        <v>46190</v>
      </c>
    </row>
    <row r="1716" spans="1:12" hidden="1" x14ac:dyDescent="0.25">
      <c r="A1716" s="87" t="s">
        <v>898</v>
      </c>
      <c r="B1716" s="87" t="s">
        <v>3175</v>
      </c>
      <c r="C1716" s="87" t="s">
        <v>3176</v>
      </c>
      <c r="D1716" s="87">
        <v>1514</v>
      </c>
      <c r="E1716" s="87">
        <v>1</v>
      </c>
      <c r="F1716" s="88">
        <v>15.150399999999999</v>
      </c>
      <c r="G1716" s="88">
        <v>32.450000000000003</v>
      </c>
      <c r="H1716" s="88">
        <v>15.150399999999999</v>
      </c>
      <c r="I1716" s="88">
        <v>32.450000000000003</v>
      </c>
      <c r="J1716" s="87" t="s">
        <v>617</v>
      </c>
      <c r="K1716" s="87" t="s">
        <v>48</v>
      </c>
      <c r="L1716" s="89">
        <v>46190</v>
      </c>
    </row>
    <row r="1717" spans="1:12" hidden="1" x14ac:dyDescent="0.25">
      <c r="A1717" s="85" t="s">
        <v>877</v>
      </c>
      <c r="B1717" s="85" t="s">
        <v>3177</v>
      </c>
      <c r="C1717" s="85" t="s">
        <v>3178</v>
      </c>
      <c r="D1717" s="85">
        <v>1514</v>
      </c>
      <c r="E1717" s="85">
        <v>-1</v>
      </c>
      <c r="F1717" s="86">
        <v>9.8646499999999993</v>
      </c>
      <c r="G1717" s="86">
        <v>20.93</v>
      </c>
      <c r="H1717" s="86">
        <v>-9.8646499999999993</v>
      </c>
      <c r="I1717" s="86">
        <v>-20.93</v>
      </c>
      <c r="J1717" s="85" t="s">
        <v>617</v>
      </c>
      <c r="K1717" s="85" t="s">
        <v>48</v>
      </c>
      <c r="L1717" s="90">
        <v>46190</v>
      </c>
    </row>
    <row r="1718" spans="1:12" hidden="1" x14ac:dyDescent="0.25">
      <c r="A1718" s="87" t="s">
        <v>922</v>
      </c>
      <c r="B1718" s="87" t="s">
        <v>3179</v>
      </c>
      <c r="C1718" s="87" t="s">
        <v>3180</v>
      </c>
      <c r="D1718" s="87">
        <v>1514</v>
      </c>
      <c r="E1718" s="87">
        <v>-1</v>
      </c>
      <c r="F1718" s="88">
        <v>7.7789000000000001</v>
      </c>
      <c r="G1718" s="88">
        <v>16.48</v>
      </c>
      <c r="H1718" s="88">
        <v>-7.7789000000000001</v>
      </c>
      <c r="I1718" s="88">
        <v>-16.48</v>
      </c>
      <c r="J1718" s="87" t="s">
        <v>617</v>
      </c>
      <c r="K1718" s="87" t="s">
        <v>48</v>
      </c>
      <c r="L1718" s="89">
        <v>46190</v>
      </c>
    </row>
    <row r="1719" spans="1:12" hidden="1" x14ac:dyDescent="0.25">
      <c r="A1719" s="85" t="s">
        <v>911</v>
      </c>
      <c r="B1719" s="85" t="s">
        <v>1817</v>
      </c>
      <c r="C1719" s="85" t="s">
        <v>1818</v>
      </c>
      <c r="D1719" s="85">
        <v>1514</v>
      </c>
      <c r="E1719" s="85">
        <v>1</v>
      </c>
      <c r="F1719" s="86">
        <v>9.2681000000000004</v>
      </c>
      <c r="G1719" s="86">
        <v>20.93</v>
      </c>
      <c r="H1719" s="86">
        <v>9.2681000000000004</v>
      </c>
      <c r="I1719" s="86">
        <v>20.93</v>
      </c>
      <c r="J1719" s="85" t="s">
        <v>617</v>
      </c>
      <c r="K1719" s="85" t="s">
        <v>48</v>
      </c>
      <c r="L1719" s="90">
        <v>46190</v>
      </c>
    </row>
    <row r="1720" spans="1:12" hidden="1" x14ac:dyDescent="0.25">
      <c r="A1720" s="87" t="s">
        <v>922</v>
      </c>
      <c r="B1720" s="87" t="s">
        <v>1148</v>
      </c>
      <c r="C1720" s="87" t="s">
        <v>1149</v>
      </c>
      <c r="D1720" s="87">
        <v>1514</v>
      </c>
      <c r="E1720" s="87">
        <v>-1</v>
      </c>
      <c r="F1720" s="88">
        <v>9.6600999999999999</v>
      </c>
      <c r="G1720" s="88">
        <v>20.93</v>
      </c>
      <c r="H1720" s="88">
        <v>-9.6600999999999999</v>
      </c>
      <c r="I1720" s="88">
        <v>-20.93</v>
      </c>
      <c r="J1720" s="87" t="s">
        <v>617</v>
      </c>
      <c r="K1720" s="87" t="s">
        <v>48</v>
      </c>
      <c r="L1720" s="89">
        <v>46190</v>
      </c>
    </row>
    <row r="1721" spans="1:12" hidden="1" x14ac:dyDescent="0.25">
      <c r="A1721" s="85" t="s">
        <v>877</v>
      </c>
      <c r="B1721" s="85" t="s">
        <v>3181</v>
      </c>
      <c r="C1721" s="85" t="s">
        <v>3182</v>
      </c>
      <c r="D1721" s="85">
        <v>1514</v>
      </c>
      <c r="E1721" s="85">
        <v>-1</v>
      </c>
      <c r="F1721" s="86">
        <v>25.591799999999999</v>
      </c>
      <c r="G1721" s="86">
        <v>37.47</v>
      </c>
      <c r="H1721" s="86">
        <v>-25.591799999999999</v>
      </c>
      <c r="I1721" s="86">
        <v>-37.47</v>
      </c>
      <c r="J1721" s="85" t="s">
        <v>617</v>
      </c>
      <c r="K1721" s="85" t="s">
        <v>48</v>
      </c>
      <c r="L1721" s="90">
        <v>46190</v>
      </c>
    </row>
    <row r="1722" spans="1:12" hidden="1" x14ac:dyDescent="0.25">
      <c r="A1722" s="87" t="s">
        <v>922</v>
      </c>
      <c r="B1722" s="87" t="s">
        <v>2460</v>
      </c>
      <c r="C1722" s="87" t="s">
        <v>2461</v>
      </c>
      <c r="D1722" s="87">
        <v>1514</v>
      </c>
      <c r="E1722" s="87">
        <v>-1</v>
      </c>
      <c r="F1722" s="88">
        <v>2.4</v>
      </c>
      <c r="G1722" s="88">
        <v>5.42</v>
      </c>
      <c r="H1722" s="88">
        <v>-2.4</v>
      </c>
      <c r="I1722" s="88">
        <v>-5.42</v>
      </c>
      <c r="J1722" s="87" t="s">
        <v>617</v>
      </c>
      <c r="K1722" s="87" t="s">
        <v>48</v>
      </c>
      <c r="L1722" s="89">
        <v>46190</v>
      </c>
    </row>
    <row r="1723" spans="1:12" hidden="1" x14ac:dyDescent="0.25">
      <c r="A1723" s="85" t="s">
        <v>922</v>
      </c>
      <c r="B1723" s="85" t="s">
        <v>2542</v>
      </c>
      <c r="C1723" s="85" t="s">
        <v>2543</v>
      </c>
      <c r="D1723" s="85">
        <v>1514</v>
      </c>
      <c r="E1723" s="85">
        <v>1</v>
      </c>
      <c r="F1723" s="86">
        <v>0.8387</v>
      </c>
      <c r="G1723" s="86">
        <v>1.99</v>
      </c>
      <c r="H1723" s="86">
        <v>0.8387</v>
      </c>
      <c r="I1723" s="86">
        <v>1.99</v>
      </c>
      <c r="J1723" s="85" t="s">
        <v>617</v>
      </c>
      <c r="K1723" s="85" t="s">
        <v>48</v>
      </c>
      <c r="L1723" s="90">
        <v>46190</v>
      </c>
    </row>
    <row r="1724" spans="1:12" hidden="1" x14ac:dyDescent="0.25">
      <c r="A1724" s="87" t="s">
        <v>877</v>
      </c>
      <c r="B1724" s="87" t="s">
        <v>2462</v>
      </c>
      <c r="C1724" s="87" t="s">
        <v>2463</v>
      </c>
      <c r="D1724" s="87">
        <v>1514</v>
      </c>
      <c r="E1724" s="87">
        <v>-5</v>
      </c>
      <c r="F1724" s="88">
        <v>0.99409999999999998</v>
      </c>
      <c r="G1724" s="88">
        <v>2.94</v>
      </c>
      <c r="H1724" s="88">
        <v>-4.9704999999999986</v>
      </c>
      <c r="I1724" s="88">
        <v>-14.7</v>
      </c>
      <c r="J1724" s="87" t="s">
        <v>617</v>
      </c>
      <c r="K1724" s="87" t="s">
        <v>48</v>
      </c>
      <c r="L1724" s="89">
        <v>46190</v>
      </c>
    </row>
    <row r="1725" spans="1:12" hidden="1" x14ac:dyDescent="0.25">
      <c r="A1725" s="85" t="s">
        <v>922</v>
      </c>
      <c r="B1725" s="85" t="s">
        <v>1833</v>
      </c>
      <c r="C1725" s="85" t="s">
        <v>3183</v>
      </c>
      <c r="D1725" s="85">
        <v>1514</v>
      </c>
      <c r="E1725" s="85">
        <v>-1</v>
      </c>
      <c r="F1725" s="86">
        <v>82.755300000000005</v>
      </c>
      <c r="G1725" s="86">
        <v>207.56</v>
      </c>
      <c r="H1725" s="86">
        <v>-82.755300000000005</v>
      </c>
      <c r="I1725" s="86">
        <v>-207.56</v>
      </c>
      <c r="J1725" s="85" t="s">
        <v>617</v>
      </c>
      <c r="K1725" s="85" t="s">
        <v>48</v>
      </c>
      <c r="L1725" s="90">
        <v>46190</v>
      </c>
    </row>
    <row r="1726" spans="1:12" hidden="1" x14ac:dyDescent="0.25">
      <c r="A1726" s="87" t="s">
        <v>911</v>
      </c>
      <c r="B1726" s="87" t="s">
        <v>3184</v>
      </c>
      <c r="C1726" s="87" t="s">
        <v>3185</v>
      </c>
      <c r="D1726" s="87">
        <v>1514</v>
      </c>
      <c r="E1726" s="87">
        <v>1</v>
      </c>
      <c r="F1726" s="88">
        <v>67.091149999999999</v>
      </c>
      <c r="G1726" s="88">
        <v>169.43</v>
      </c>
      <c r="H1726" s="88">
        <v>67.091149999999999</v>
      </c>
      <c r="I1726" s="88">
        <v>169.43</v>
      </c>
      <c r="J1726" s="87" t="s">
        <v>617</v>
      </c>
      <c r="K1726" s="87" t="s">
        <v>48</v>
      </c>
      <c r="L1726" s="89">
        <v>46190</v>
      </c>
    </row>
    <row r="1727" spans="1:12" hidden="1" x14ac:dyDescent="0.25">
      <c r="A1727" s="85" t="s">
        <v>911</v>
      </c>
      <c r="B1727" s="85" t="s">
        <v>3186</v>
      </c>
      <c r="C1727" s="85" t="s">
        <v>3187</v>
      </c>
      <c r="D1727" s="85">
        <v>1514</v>
      </c>
      <c r="E1727" s="85">
        <v>1</v>
      </c>
      <c r="F1727" s="86">
        <v>21.57855</v>
      </c>
      <c r="G1727" s="86">
        <v>55.66</v>
      </c>
      <c r="H1727" s="86">
        <v>21.57855</v>
      </c>
      <c r="I1727" s="86">
        <v>55.66</v>
      </c>
      <c r="J1727" s="85" t="s">
        <v>617</v>
      </c>
      <c r="K1727" s="85" t="s">
        <v>48</v>
      </c>
      <c r="L1727" s="90">
        <v>46190</v>
      </c>
    </row>
    <row r="1728" spans="1:12" hidden="1" x14ac:dyDescent="0.25">
      <c r="A1728" s="87" t="s">
        <v>922</v>
      </c>
      <c r="B1728" s="87" t="s">
        <v>1100</v>
      </c>
      <c r="C1728" s="87" t="s">
        <v>1101</v>
      </c>
      <c r="D1728" s="87">
        <v>1514</v>
      </c>
      <c r="E1728" s="87">
        <v>-1</v>
      </c>
      <c r="F1728" s="88">
        <v>21.522670000000002</v>
      </c>
      <c r="G1728" s="88">
        <v>55.73</v>
      </c>
      <c r="H1728" s="88">
        <v>-21.522670000000002</v>
      </c>
      <c r="I1728" s="88">
        <v>-55.73</v>
      </c>
      <c r="J1728" s="87" t="s">
        <v>617</v>
      </c>
      <c r="K1728" s="87" t="s">
        <v>48</v>
      </c>
      <c r="L1728" s="89">
        <v>46190</v>
      </c>
    </row>
    <row r="1729" spans="1:12" hidden="1" x14ac:dyDescent="0.25">
      <c r="A1729" s="85" t="s">
        <v>922</v>
      </c>
      <c r="B1729" s="85" t="s">
        <v>2907</v>
      </c>
      <c r="C1729" s="85" t="s">
        <v>2908</v>
      </c>
      <c r="D1729" s="85">
        <v>1514</v>
      </c>
      <c r="E1729" s="85">
        <v>-1</v>
      </c>
      <c r="F1729" s="86">
        <v>35.181049999999999</v>
      </c>
      <c r="G1729" s="86">
        <v>87.93</v>
      </c>
      <c r="H1729" s="86">
        <v>-35.181049999999999</v>
      </c>
      <c r="I1729" s="86">
        <v>-87.93</v>
      </c>
      <c r="J1729" s="85" t="s">
        <v>617</v>
      </c>
      <c r="K1729" s="85" t="s">
        <v>48</v>
      </c>
      <c r="L1729" s="90">
        <v>46190</v>
      </c>
    </row>
    <row r="1730" spans="1:12" hidden="1" x14ac:dyDescent="0.25">
      <c r="A1730" s="87" t="s">
        <v>922</v>
      </c>
      <c r="B1730" s="87" t="s">
        <v>3188</v>
      </c>
      <c r="C1730" s="87" t="s">
        <v>3189</v>
      </c>
      <c r="D1730" s="87">
        <v>1514</v>
      </c>
      <c r="E1730" s="87">
        <v>-1</v>
      </c>
      <c r="F1730" s="88">
        <v>50.235599999999998</v>
      </c>
      <c r="G1730" s="88">
        <v>68.48</v>
      </c>
      <c r="H1730" s="88">
        <v>-50.235599999999998</v>
      </c>
      <c r="I1730" s="88">
        <v>-68.48</v>
      </c>
      <c r="J1730" s="87" t="s">
        <v>617</v>
      </c>
      <c r="K1730" s="87" t="s">
        <v>48</v>
      </c>
      <c r="L1730" s="89">
        <v>46190</v>
      </c>
    </row>
    <row r="1731" spans="1:12" hidden="1" x14ac:dyDescent="0.25">
      <c r="A1731" s="85" t="s">
        <v>898</v>
      </c>
      <c r="B1731" s="85" t="s">
        <v>733</v>
      </c>
      <c r="C1731" s="85" t="s">
        <v>734</v>
      </c>
      <c r="D1731" s="85">
        <v>1514</v>
      </c>
      <c r="E1731" s="85">
        <v>1</v>
      </c>
      <c r="F1731" s="86">
        <v>1.8</v>
      </c>
      <c r="G1731" s="86">
        <v>2.96</v>
      </c>
      <c r="H1731" s="86">
        <v>1.8</v>
      </c>
      <c r="I1731" s="86">
        <v>2.96</v>
      </c>
      <c r="J1731" s="85" t="s">
        <v>617</v>
      </c>
      <c r="K1731" s="85" t="s">
        <v>48</v>
      </c>
      <c r="L1731" s="90">
        <v>46190</v>
      </c>
    </row>
    <row r="1732" spans="1:12" hidden="1" x14ac:dyDescent="0.25">
      <c r="A1732" s="87" t="s">
        <v>877</v>
      </c>
      <c r="B1732" s="87" t="s">
        <v>794</v>
      </c>
      <c r="C1732" s="87" t="s">
        <v>795</v>
      </c>
      <c r="D1732" s="87">
        <v>1514</v>
      </c>
      <c r="E1732" s="87">
        <v>-1</v>
      </c>
      <c r="F1732" s="88">
        <v>2.2999999999999998</v>
      </c>
      <c r="G1732" s="88">
        <v>3.77</v>
      </c>
      <c r="H1732" s="88">
        <v>-2.2999999999999998</v>
      </c>
      <c r="I1732" s="88">
        <v>-3.77</v>
      </c>
      <c r="J1732" s="87" t="s">
        <v>617</v>
      </c>
      <c r="K1732" s="87" t="s">
        <v>48</v>
      </c>
      <c r="L1732" s="89">
        <v>46190</v>
      </c>
    </row>
    <row r="1733" spans="1:12" hidden="1" x14ac:dyDescent="0.25">
      <c r="A1733" s="85" t="s">
        <v>898</v>
      </c>
      <c r="B1733" s="85" t="s">
        <v>3130</v>
      </c>
      <c r="C1733" s="85" t="s">
        <v>3131</v>
      </c>
      <c r="D1733" s="85">
        <v>1514</v>
      </c>
      <c r="E1733" s="85">
        <v>1</v>
      </c>
      <c r="F1733" s="86">
        <v>14</v>
      </c>
      <c r="G1733" s="86">
        <v>23</v>
      </c>
      <c r="H1733" s="86">
        <v>14</v>
      </c>
      <c r="I1733" s="86">
        <v>23</v>
      </c>
      <c r="J1733" s="85" t="s">
        <v>617</v>
      </c>
      <c r="K1733" s="85" t="s">
        <v>48</v>
      </c>
      <c r="L1733" s="90">
        <v>46190</v>
      </c>
    </row>
    <row r="1734" spans="1:12" hidden="1" x14ac:dyDescent="0.25">
      <c r="A1734" s="87" t="s">
        <v>911</v>
      </c>
      <c r="B1734" s="87" t="s">
        <v>1815</v>
      </c>
      <c r="C1734" s="87" t="s">
        <v>1816</v>
      </c>
      <c r="D1734" s="87">
        <v>1514</v>
      </c>
      <c r="E1734" s="87">
        <v>1</v>
      </c>
      <c r="F1734" s="88">
        <v>9.2757000000000005</v>
      </c>
      <c r="G1734" s="88">
        <v>20.93</v>
      </c>
      <c r="H1734" s="88">
        <v>9.2757000000000005</v>
      </c>
      <c r="I1734" s="88">
        <v>20.93</v>
      </c>
      <c r="J1734" s="87" t="s">
        <v>617</v>
      </c>
      <c r="K1734" s="87" t="s">
        <v>48</v>
      </c>
      <c r="L1734" s="89">
        <v>46190</v>
      </c>
    </row>
    <row r="1735" spans="1:12" hidden="1" x14ac:dyDescent="0.25">
      <c r="A1735" s="85" t="s">
        <v>911</v>
      </c>
      <c r="B1735" s="85" t="s">
        <v>838</v>
      </c>
      <c r="C1735" s="85" t="s">
        <v>839</v>
      </c>
      <c r="D1735" s="85">
        <v>1514</v>
      </c>
      <c r="E1735" s="85">
        <v>1</v>
      </c>
      <c r="F1735" s="86">
        <v>31.953900000000001</v>
      </c>
      <c r="G1735" s="86">
        <v>88.51</v>
      </c>
      <c r="H1735" s="86">
        <v>31.953900000000001</v>
      </c>
      <c r="I1735" s="86">
        <v>88.51</v>
      </c>
      <c r="J1735" s="85" t="s">
        <v>617</v>
      </c>
      <c r="K1735" s="85" t="s">
        <v>48</v>
      </c>
      <c r="L1735" s="90">
        <v>46190</v>
      </c>
    </row>
    <row r="1736" spans="1:12" hidden="1" x14ac:dyDescent="0.25">
      <c r="A1736" s="87" t="s">
        <v>898</v>
      </c>
      <c r="B1736" s="87" t="s">
        <v>1803</v>
      </c>
      <c r="C1736" s="87" t="s">
        <v>1804</v>
      </c>
      <c r="D1736" s="87">
        <v>1514</v>
      </c>
      <c r="E1736" s="87">
        <v>2</v>
      </c>
      <c r="F1736" s="88">
        <v>0.41489999999999999</v>
      </c>
      <c r="G1736" s="88">
        <v>1.28</v>
      </c>
      <c r="H1736" s="88">
        <v>0.82979999999999998</v>
      </c>
      <c r="I1736" s="88">
        <v>2.56</v>
      </c>
      <c r="J1736" s="87" t="s">
        <v>617</v>
      </c>
      <c r="K1736" s="87" t="s">
        <v>48</v>
      </c>
      <c r="L1736" s="89">
        <v>46190</v>
      </c>
    </row>
    <row r="1737" spans="1:12" hidden="1" x14ac:dyDescent="0.25">
      <c r="A1737" s="85" t="s">
        <v>911</v>
      </c>
      <c r="B1737" s="85" t="s">
        <v>3190</v>
      </c>
      <c r="C1737" s="85" t="s">
        <v>3191</v>
      </c>
      <c r="D1737" s="85">
        <v>1514</v>
      </c>
      <c r="E1737" s="85">
        <v>1</v>
      </c>
      <c r="F1737" s="86">
        <v>39.728999999999999</v>
      </c>
      <c r="G1737" s="86">
        <v>55.3</v>
      </c>
      <c r="H1737" s="86">
        <v>39.728999999999999</v>
      </c>
      <c r="I1737" s="86">
        <v>55.3</v>
      </c>
      <c r="J1737" s="85" t="s">
        <v>617</v>
      </c>
      <c r="K1737" s="85" t="s">
        <v>48</v>
      </c>
      <c r="L1737" s="90">
        <v>46190</v>
      </c>
    </row>
    <row r="1738" spans="1:12" hidden="1" x14ac:dyDescent="0.25">
      <c r="A1738" s="87"/>
      <c r="B1738" s="87"/>
      <c r="C1738" s="87"/>
      <c r="D1738" s="87">
        <v>1514</v>
      </c>
      <c r="E1738" s="87"/>
      <c r="F1738" s="88"/>
      <c r="G1738" s="88"/>
      <c r="H1738" s="88"/>
      <c r="I1738" s="88"/>
      <c r="J1738" s="87" t="s">
        <v>617</v>
      </c>
      <c r="K1738" s="87" t="s">
        <v>48</v>
      </c>
      <c r="L1738" s="89">
        <v>46190</v>
      </c>
    </row>
    <row r="1739" spans="1:12" hidden="1" x14ac:dyDescent="0.25">
      <c r="A1739" s="85"/>
      <c r="B1739" s="85"/>
      <c r="C1739" s="85"/>
      <c r="D1739" s="85">
        <v>1514</v>
      </c>
      <c r="E1739" s="85"/>
      <c r="F1739" s="86"/>
      <c r="G1739" s="86"/>
      <c r="H1739" s="86"/>
      <c r="I1739" s="86"/>
      <c r="J1739" s="85" t="s">
        <v>617</v>
      </c>
      <c r="K1739" s="85" t="s">
        <v>48</v>
      </c>
      <c r="L1739" s="90">
        <v>46190</v>
      </c>
    </row>
    <row r="1740" spans="1:12" hidden="1" x14ac:dyDescent="0.25">
      <c r="A1740" s="87"/>
      <c r="B1740" s="87"/>
      <c r="C1740" s="87"/>
      <c r="D1740" s="87">
        <v>1514</v>
      </c>
      <c r="E1740" s="87"/>
      <c r="F1740" s="88"/>
      <c r="G1740" s="88"/>
      <c r="H1740" s="88"/>
      <c r="I1740" s="88"/>
      <c r="J1740" s="87" t="s">
        <v>617</v>
      </c>
      <c r="K1740" s="87" t="s">
        <v>48</v>
      </c>
      <c r="L1740" s="89">
        <v>46190</v>
      </c>
    </row>
    <row r="1741" spans="1:12" hidden="1" x14ac:dyDescent="0.25">
      <c r="A1741" s="85"/>
      <c r="B1741" s="85"/>
      <c r="C1741" s="85"/>
      <c r="D1741" s="85">
        <v>1514</v>
      </c>
      <c r="E1741" s="85"/>
      <c r="F1741" s="86"/>
      <c r="G1741" s="86"/>
      <c r="H1741" s="86"/>
      <c r="I1741" s="86"/>
      <c r="J1741" s="85" t="s">
        <v>617</v>
      </c>
      <c r="K1741" s="85" t="s">
        <v>48</v>
      </c>
      <c r="L1741" s="90">
        <v>46190</v>
      </c>
    </row>
    <row r="1742" spans="1:12" hidden="1" x14ac:dyDescent="0.25">
      <c r="A1742" s="87"/>
      <c r="B1742" s="87"/>
      <c r="C1742" s="87"/>
      <c r="D1742" s="87">
        <v>1514</v>
      </c>
      <c r="E1742" s="87"/>
      <c r="F1742" s="88"/>
      <c r="G1742" s="88"/>
      <c r="H1742" s="88"/>
      <c r="I1742" s="88"/>
      <c r="J1742" s="87" t="s">
        <v>617</v>
      </c>
      <c r="K1742" s="87" t="s">
        <v>48</v>
      </c>
      <c r="L1742" s="89">
        <v>46190</v>
      </c>
    </row>
    <row r="1743" spans="1:12" hidden="1" x14ac:dyDescent="0.25">
      <c r="A1743" s="85"/>
      <c r="B1743" s="85"/>
      <c r="C1743" s="85"/>
      <c r="D1743" s="85">
        <v>1514</v>
      </c>
      <c r="E1743" s="85"/>
      <c r="F1743" s="86"/>
      <c r="G1743" s="86"/>
      <c r="H1743" s="86"/>
      <c r="I1743" s="86"/>
      <c r="J1743" s="85" t="s">
        <v>617</v>
      </c>
      <c r="K1743" s="85" t="s">
        <v>48</v>
      </c>
      <c r="L1743" s="90">
        <v>46190</v>
      </c>
    </row>
    <row r="1744" spans="1:12" hidden="1" x14ac:dyDescent="0.25">
      <c r="A1744" s="87"/>
      <c r="B1744" s="87"/>
      <c r="C1744" s="87"/>
      <c r="D1744" s="87">
        <v>1514</v>
      </c>
      <c r="E1744" s="87"/>
      <c r="F1744" s="88"/>
      <c r="G1744" s="88"/>
      <c r="H1744" s="88"/>
      <c r="I1744" s="88"/>
      <c r="J1744" s="87" t="s">
        <v>617</v>
      </c>
      <c r="K1744" s="87" t="s">
        <v>48</v>
      </c>
      <c r="L1744" s="89">
        <v>46190</v>
      </c>
    </row>
    <row r="1745" spans="1:12" hidden="1" x14ac:dyDescent="0.25">
      <c r="A1745" s="85"/>
      <c r="B1745" s="85"/>
      <c r="C1745" s="85"/>
      <c r="D1745" s="85">
        <v>1514</v>
      </c>
      <c r="E1745" s="85"/>
      <c r="F1745" s="86"/>
      <c r="G1745" s="86"/>
      <c r="H1745" s="86"/>
      <c r="I1745" s="86"/>
      <c r="J1745" s="85" t="s">
        <v>617</v>
      </c>
      <c r="K1745" s="85" t="s">
        <v>48</v>
      </c>
      <c r="L1745" s="90">
        <v>46190</v>
      </c>
    </row>
    <row r="1746" spans="1:12" hidden="1" x14ac:dyDescent="0.25">
      <c r="A1746" s="87"/>
      <c r="B1746" s="87"/>
      <c r="C1746" s="87"/>
      <c r="D1746" s="87">
        <v>1514</v>
      </c>
      <c r="E1746" s="87"/>
      <c r="F1746" s="88"/>
      <c r="G1746" s="88"/>
      <c r="H1746" s="88"/>
      <c r="I1746" s="88"/>
      <c r="J1746" s="87" t="s">
        <v>617</v>
      </c>
      <c r="K1746" s="87" t="s">
        <v>48</v>
      </c>
      <c r="L1746" s="89">
        <v>46190</v>
      </c>
    </row>
    <row r="1747" spans="1:12" hidden="1" x14ac:dyDescent="0.25">
      <c r="A1747" s="85" t="s">
        <v>911</v>
      </c>
      <c r="B1747" s="85" t="s">
        <v>1501</v>
      </c>
      <c r="C1747" s="85" t="s">
        <v>1502</v>
      </c>
      <c r="D1747" s="85">
        <v>3040</v>
      </c>
      <c r="E1747" s="85">
        <v>1</v>
      </c>
      <c r="F1747" s="86">
        <v>30.214099999999998</v>
      </c>
      <c r="G1747" s="86">
        <v>47.15</v>
      </c>
      <c r="H1747" s="86">
        <v>30.214099999999998</v>
      </c>
      <c r="I1747" s="86">
        <v>47.15</v>
      </c>
      <c r="J1747" s="85" t="s">
        <v>619</v>
      </c>
      <c r="K1747" s="85" t="s">
        <v>48</v>
      </c>
      <c r="L1747" s="90">
        <v>46192</v>
      </c>
    </row>
    <row r="1748" spans="1:12" hidden="1" x14ac:dyDescent="0.25">
      <c r="A1748" s="87" t="s">
        <v>922</v>
      </c>
      <c r="B1748" s="87" t="s">
        <v>3056</v>
      </c>
      <c r="C1748" s="87" t="s">
        <v>3057</v>
      </c>
      <c r="D1748" s="87">
        <v>3040</v>
      </c>
      <c r="E1748" s="87">
        <v>-1</v>
      </c>
      <c r="F1748" s="88">
        <v>28.703299999999999</v>
      </c>
      <c r="G1748" s="88">
        <v>47.15</v>
      </c>
      <c r="H1748" s="88">
        <v>-28.703299999999999</v>
      </c>
      <c r="I1748" s="88">
        <v>-47.15</v>
      </c>
      <c r="J1748" s="87" t="s">
        <v>619</v>
      </c>
      <c r="K1748" s="87" t="s">
        <v>48</v>
      </c>
      <c r="L1748" s="89">
        <v>46192</v>
      </c>
    </row>
    <row r="1749" spans="1:12" hidden="1" x14ac:dyDescent="0.25">
      <c r="A1749" s="85" t="s">
        <v>922</v>
      </c>
      <c r="B1749" s="85" t="s">
        <v>1503</v>
      </c>
      <c r="C1749" s="85" t="s">
        <v>1504</v>
      </c>
      <c r="D1749" s="85">
        <v>3040</v>
      </c>
      <c r="E1749" s="85">
        <v>-1</v>
      </c>
      <c r="F1749" s="86">
        <v>16.212499999999999</v>
      </c>
      <c r="G1749" s="86">
        <v>26.4</v>
      </c>
      <c r="H1749" s="86">
        <v>-16.212499999999999</v>
      </c>
      <c r="I1749" s="86">
        <v>-26.4</v>
      </c>
      <c r="J1749" s="85" t="s">
        <v>619</v>
      </c>
      <c r="K1749" s="85" t="s">
        <v>48</v>
      </c>
      <c r="L1749" s="90">
        <v>46192</v>
      </c>
    </row>
    <row r="1750" spans="1:12" hidden="1" x14ac:dyDescent="0.25">
      <c r="A1750" s="87" t="s">
        <v>911</v>
      </c>
      <c r="B1750" s="87" t="s">
        <v>1593</v>
      </c>
      <c r="C1750" s="87" t="s">
        <v>1594</v>
      </c>
      <c r="D1750" s="87">
        <v>3040</v>
      </c>
      <c r="E1750" s="87">
        <v>1</v>
      </c>
      <c r="F1750" s="88">
        <v>17.6861</v>
      </c>
      <c r="G1750" s="88">
        <v>26.42</v>
      </c>
      <c r="H1750" s="88">
        <v>17.6861</v>
      </c>
      <c r="I1750" s="88">
        <v>26.42</v>
      </c>
      <c r="J1750" s="87" t="s">
        <v>619</v>
      </c>
      <c r="K1750" s="87" t="s">
        <v>48</v>
      </c>
      <c r="L1750" s="89">
        <v>46192</v>
      </c>
    </row>
    <row r="1751" spans="1:12" hidden="1" x14ac:dyDescent="0.25">
      <c r="A1751" s="85" t="s">
        <v>922</v>
      </c>
      <c r="B1751" s="85" t="s">
        <v>3192</v>
      </c>
      <c r="C1751" s="85" t="s">
        <v>3193</v>
      </c>
      <c r="D1751" s="85">
        <v>3040</v>
      </c>
      <c r="E1751" s="85">
        <v>-1</v>
      </c>
      <c r="F1751" s="86">
        <v>16.805</v>
      </c>
      <c r="G1751" s="86">
        <v>27.61</v>
      </c>
      <c r="H1751" s="86">
        <v>-16.805</v>
      </c>
      <c r="I1751" s="86">
        <v>-27.61</v>
      </c>
      <c r="J1751" s="85" t="s">
        <v>619</v>
      </c>
      <c r="K1751" s="85" t="s">
        <v>48</v>
      </c>
      <c r="L1751" s="90">
        <v>46192</v>
      </c>
    </row>
    <row r="1752" spans="1:12" hidden="1" x14ac:dyDescent="0.25">
      <c r="A1752" s="87" t="s">
        <v>911</v>
      </c>
      <c r="B1752" s="87" t="s">
        <v>1573</v>
      </c>
      <c r="C1752" s="87" t="s">
        <v>1574</v>
      </c>
      <c r="D1752" s="87">
        <v>3040</v>
      </c>
      <c r="E1752" s="87">
        <v>1</v>
      </c>
      <c r="F1752" s="88">
        <v>16.212499999999999</v>
      </c>
      <c r="G1752" s="88">
        <v>25.3</v>
      </c>
      <c r="H1752" s="88">
        <v>16.212499999999999</v>
      </c>
      <c r="I1752" s="88">
        <v>25.3</v>
      </c>
      <c r="J1752" s="87" t="s">
        <v>619</v>
      </c>
      <c r="K1752" s="87" t="s">
        <v>48</v>
      </c>
      <c r="L1752" s="89">
        <v>46192</v>
      </c>
    </row>
    <row r="1753" spans="1:12" hidden="1" x14ac:dyDescent="0.25">
      <c r="A1753" s="85" t="s">
        <v>922</v>
      </c>
      <c r="B1753" s="85" t="s">
        <v>3194</v>
      </c>
      <c r="C1753" s="85" t="s">
        <v>3195</v>
      </c>
      <c r="D1753" s="85">
        <v>3040</v>
      </c>
      <c r="E1753" s="85">
        <v>-1</v>
      </c>
      <c r="F1753" s="86">
        <v>73.738150000000005</v>
      </c>
      <c r="G1753" s="86">
        <v>343.3</v>
      </c>
      <c r="H1753" s="86">
        <v>-73.738150000000005</v>
      </c>
      <c r="I1753" s="86">
        <v>-343.3</v>
      </c>
      <c r="J1753" s="85" t="s">
        <v>619</v>
      </c>
      <c r="K1753" s="85" t="s">
        <v>48</v>
      </c>
      <c r="L1753" s="90">
        <v>46192</v>
      </c>
    </row>
    <row r="1754" spans="1:12" hidden="1" x14ac:dyDescent="0.25">
      <c r="A1754" s="87" t="s">
        <v>911</v>
      </c>
      <c r="B1754" s="87" t="s">
        <v>3196</v>
      </c>
      <c r="C1754" s="87" t="s">
        <v>3197</v>
      </c>
      <c r="D1754" s="87">
        <v>3040</v>
      </c>
      <c r="E1754" s="87">
        <v>1</v>
      </c>
      <c r="F1754" s="88">
        <v>74.354699999999994</v>
      </c>
      <c r="G1754" s="88">
        <v>343.3</v>
      </c>
      <c r="H1754" s="88">
        <v>74.354699999999994</v>
      </c>
      <c r="I1754" s="88">
        <v>343.3</v>
      </c>
      <c r="J1754" s="87" t="s">
        <v>619</v>
      </c>
      <c r="K1754" s="87" t="s">
        <v>48</v>
      </c>
      <c r="L1754" s="89">
        <v>46192</v>
      </c>
    </row>
    <row r="1755" spans="1:12" hidden="1" x14ac:dyDescent="0.25">
      <c r="A1755" s="85" t="s">
        <v>911</v>
      </c>
      <c r="B1755" s="85" t="s">
        <v>3058</v>
      </c>
      <c r="C1755" s="85" t="s">
        <v>3059</v>
      </c>
      <c r="D1755" s="85">
        <v>3040</v>
      </c>
      <c r="E1755" s="85">
        <v>1</v>
      </c>
      <c r="F1755" s="86">
        <v>14.285299999999999</v>
      </c>
      <c r="G1755" s="86">
        <v>40.92</v>
      </c>
      <c r="H1755" s="86">
        <v>14.285299999999999</v>
      </c>
      <c r="I1755" s="86">
        <v>40.92</v>
      </c>
      <c r="J1755" s="85" t="s">
        <v>619</v>
      </c>
      <c r="K1755" s="85" t="s">
        <v>48</v>
      </c>
      <c r="L1755" s="90">
        <v>46192</v>
      </c>
    </row>
    <row r="1756" spans="1:12" hidden="1" x14ac:dyDescent="0.25">
      <c r="A1756" s="87" t="s">
        <v>922</v>
      </c>
      <c r="B1756" s="87" t="s">
        <v>3198</v>
      </c>
      <c r="C1756" s="87" t="s">
        <v>3199</v>
      </c>
      <c r="D1756" s="87">
        <v>3040</v>
      </c>
      <c r="E1756" s="87">
        <v>-1</v>
      </c>
      <c r="F1756" s="88">
        <v>14.4558</v>
      </c>
      <c r="G1756" s="88">
        <v>40.92</v>
      </c>
      <c r="H1756" s="88">
        <v>-14.4558</v>
      </c>
      <c r="I1756" s="88">
        <v>-40.92</v>
      </c>
      <c r="J1756" s="87" t="s">
        <v>619</v>
      </c>
      <c r="K1756" s="87" t="s">
        <v>48</v>
      </c>
      <c r="L1756" s="89">
        <v>46192</v>
      </c>
    </row>
    <row r="1757" spans="1:12" hidden="1" x14ac:dyDescent="0.25">
      <c r="A1757" s="85" t="s">
        <v>898</v>
      </c>
      <c r="B1757" s="85" t="s">
        <v>3046</v>
      </c>
      <c r="C1757" s="85" t="s">
        <v>3047</v>
      </c>
      <c r="D1757" s="85">
        <v>3040</v>
      </c>
      <c r="E1757" s="85">
        <v>1</v>
      </c>
      <c r="F1757" s="86">
        <v>2.34</v>
      </c>
      <c r="G1757" s="86">
        <v>9.34</v>
      </c>
      <c r="H1757" s="86">
        <v>2.34</v>
      </c>
      <c r="I1757" s="86">
        <v>9.34</v>
      </c>
      <c r="J1757" s="85" t="s">
        <v>619</v>
      </c>
      <c r="K1757" s="85" t="s">
        <v>48</v>
      </c>
      <c r="L1757" s="90">
        <v>46192</v>
      </c>
    </row>
    <row r="1758" spans="1:12" hidden="1" x14ac:dyDescent="0.25">
      <c r="A1758" s="87" t="s">
        <v>898</v>
      </c>
      <c r="B1758" s="87" t="s">
        <v>1509</v>
      </c>
      <c r="C1758" s="87" t="s">
        <v>1510</v>
      </c>
      <c r="D1758" s="87">
        <v>3040</v>
      </c>
      <c r="E1758" s="87">
        <v>1</v>
      </c>
      <c r="F1758" s="88">
        <v>1.77</v>
      </c>
      <c r="G1758" s="88">
        <v>7.1</v>
      </c>
      <c r="H1758" s="88">
        <v>1.77</v>
      </c>
      <c r="I1758" s="88">
        <v>7.1</v>
      </c>
      <c r="J1758" s="87" t="s">
        <v>619</v>
      </c>
      <c r="K1758" s="87" t="s">
        <v>48</v>
      </c>
      <c r="L1758" s="89">
        <v>46192</v>
      </c>
    </row>
    <row r="1759" spans="1:12" hidden="1" x14ac:dyDescent="0.25">
      <c r="A1759" s="85" t="s">
        <v>877</v>
      </c>
      <c r="B1759" s="85" t="s">
        <v>1847</v>
      </c>
      <c r="C1759" s="85" t="s">
        <v>1848</v>
      </c>
      <c r="D1759" s="85">
        <v>3040</v>
      </c>
      <c r="E1759" s="85">
        <v>-1</v>
      </c>
      <c r="F1759" s="86">
        <v>1.7</v>
      </c>
      <c r="G1759" s="86">
        <v>6.81</v>
      </c>
      <c r="H1759" s="86">
        <v>-1.7</v>
      </c>
      <c r="I1759" s="86">
        <v>-6.81</v>
      </c>
      <c r="J1759" s="85" t="s">
        <v>619</v>
      </c>
      <c r="K1759" s="85" t="s">
        <v>48</v>
      </c>
      <c r="L1759" s="90">
        <v>46192</v>
      </c>
    </row>
    <row r="1760" spans="1:12" hidden="1" x14ac:dyDescent="0.25">
      <c r="A1760" s="87" t="s">
        <v>877</v>
      </c>
      <c r="B1760" s="87" t="s">
        <v>1533</v>
      </c>
      <c r="C1760" s="87" t="s">
        <v>1534</v>
      </c>
      <c r="D1760" s="87">
        <v>3040</v>
      </c>
      <c r="E1760" s="87">
        <v>-1</v>
      </c>
      <c r="F1760" s="88">
        <v>11.88</v>
      </c>
      <c r="G1760" s="88">
        <v>24.39</v>
      </c>
      <c r="H1760" s="88">
        <v>-11.88</v>
      </c>
      <c r="I1760" s="88">
        <v>-24.39</v>
      </c>
      <c r="J1760" s="87" t="s">
        <v>619</v>
      </c>
      <c r="K1760" s="87" t="s">
        <v>48</v>
      </c>
      <c r="L1760" s="89">
        <v>46192</v>
      </c>
    </row>
    <row r="1761" spans="1:12" hidden="1" x14ac:dyDescent="0.25">
      <c r="A1761" s="95" t="s">
        <v>877</v>
      </c>
      <c r="B1761" s="95" t="s">
        <v>3200</v>
      </c>
      <c r="C1761" s="95" t="s">
        <v>3201</v>
      </c>
      <c r="D1761" s="95">
        <v>1719</v>
      </c>
      <c r="E1761" s="95">
        <v>-1</v>
      </c>
      <c r="F1761" s="96">
        <v>7.24</v>
      </c>
      <c r="G1761" s="96">
        <v>8.33</v>
      </c>
      <c r="H1761" s="96">
        <v>-7.24</v>
      </c>
      <c r="I1761" s="96">
        <v>-8.33</v>
      </c>
      <c r="J1761" s="95" t="s">
        <v>623</v>
      </c>
      <c r="K1761" s="95" t="s">
        <v>48</v>
      </c>
      <c r="L1761" s="97">
        <v>46183</v>
      </c>
    </row>
    <row r="1762" spans="1:12" hidden="1" x14ac:dyDescent="0.25">
      <c r="A1762" s="98" t="s">
        <v>877</v>
      </c>
      <c r="B1762" s="98" t="s">
        <v>3202</v>
      </c>
      <c r="C1762" s="98" t="s">
        <v>3203</v>
      </c>
      <c r="D1762" s="98">
        <v>1719</v>
      </c>
      <c r="E1762" s="98">
        <v>-3</v>
      </c>
      <c r="F1762" s="99">
        <v>26.67</v>
      </c>
      <c r="G1762" s="99">
        <v>30.67</v>
      </c>
      <c r="H1762" s="99">
        <v>-80.010000000000005</v>
      </c>
      <c r="I1762" s="99">
        <v>-92.01</v>
      </c>
      <c r="J1762" s="98" t="s">
        <v>623</v>
      </c>
      <c r="K1762" s="98" t="s">
        <v>48</v>
      </c>
      <c r="L1762" s="100">
        <v>46183</v>
      </c>
    </row>
    <row r="1763" spans="1:12" x14ac:dyDescent="0.25">
      <c r="A1763" s="95" t="s">
        <v>877</v>
      </c>
      <c r="B1763" s="95" t="s">
        <v>2682</v>
      </c>
      <c r="C1763" s="95" t="s">
        <v>2683</v>
      </c>
      <c r="D1763" s="95">
        <v>1749</v>
      </c>
      <c r="E1763" s="95">
        <v>-2</v>
      </c>
      <c r="F1763" s="96">
        <v>4.4666055555555557</v>
      </c>
      <c r="G1763" s="96">
        <v>6.24</v>
      </c>
      <c r="H1763" s="96">
        <f>+Tabla_SKUs[[#This Row],[CANTIDAD]]*Tabla_SKUs[[#This Row],[COSTO
UNITARIO]]</f>
        <v>-8.9332111111111114</v>
      </c>
      <c r="I1763" s="96">
        <f>+Tabla_SKUs[[#This Row],[CANTIDAD]]*Tabla_SKUs[[#This Row],[PVP
UNITARIO]]</f>
        <v>-12.48</v>
      </c>
      <c r="J1763" s="95" t="s">
        <v>626</v>
      </c>
      <c r="K1763" s="95" t="s">
        <v>48</v>
      </c>
      <c r="L1763" s="97">
        <v>46198</v>
      </c>
    </row>
    <row r="1764" spans="1:12" x14ac:dyDescent="0.25">
      <c r="A1764" s="98" t="s">
        <v>922</v>
      </c>
      <c r="B1764" s="98" t="s">
        <v>3204</v>
      </c>
      <c r="C1764" s="98" t="s">
        <v>3205</v>
      </c>
      <c r="D1764" s="98">
        <v>1749</v>
      </c>
      <c r="E1764" s="98">
        <v>-1</v>
      </c>
      <c r="F1764" s="99">
        <v>230.09716</v>
      </c>
      <c r="G1764" s="99">
        <v>585.79999999999995</v>
      </c>
      <c r="H1764" s="96">
        <f>+Tabla_SKUs[[#This Row],[CANTIDAD]]*Tabla_SKUs[[#This Row],[COSTO
UNITARIO]]</f>
        <v>-230.09716</v>
      </c>
      <c r="I1764" s="96">
        <f>+Tabla_SKUs[[#This Row],[CANTIDAD]]*Tabla_SKUs[[#This Row],[PVP
UNITARIO]]</f>
        <v>-585.79999999999995</v>
      </c>
      <c r="J1764" s="98" t="s">
        <v>626</v>
      </c>
      <c r="K1764" s="98" t="s">
        <v>48</v>
      </c>
      <c r="L1764" s="100">
        <v>46198</v>
      </c>
    </row>
    <row r="1765" spans="1:12" x14ac:dyDescent="0.25">
      <c r="A1765" s="95" t="s">
        <v>922</v>
      </c>
      <c r="B1765" s="95" t="s">
        <v>2749</v>
      </c>
      <c r="C1765" s="95" t="s">
        <v>2750</v>
      </c>
      <c r="D1765" s="95">
        <v>1749</v>
      </c>
      <c r="E1765" s="95">
        <v>-20</v>
      </c>
      <c r="F1765" s="96">
        <v>7.5744999999999996</v>
      </c>
      <c r="G1765" s="96">
        <v>19.36</v>
      </c>
      <c r="H1765" s="96">
        <f>+Tabla_SKUs[[#This Row],[CANTIDAD]]*Tabla_SKUs[[#This Row],[COSTO
UNITARIO]]</f>
        <v>-151.48999999999998</v>
      </c>
      <c r="I1765" s="96">
        <f>+Tabla_SKUs[[#This Row],[CANTIDAD]]*Tabla_SKUs[[#This Row],[PVP
UNITARIO]]</f>
        <v>-387.2</v>
      </c>
      <c r="J1765" s="95" t="s">
        <v>626</v>
      </c>
      <c r="K1765" s="95" t="s">
        <v>48</v>
      </c>
      <c r="L1765" s="97">
        <v>46198</v>
      </c>
    </row>
    <row r="1766" spans="1:12" x14ac:dyDescent="0.25">
      <c r="A1766" s="98" t="s">
        <v>922</v>
      </c>
      <c r="B1766" s="98" t="s">
        <v>2682</v>
      </c>
      <c r="C1766" s="98" t="s">
        <v>2683</v>
      </c>
      <c r="D1766" s="98">
        <v>1749</v>
      </c>
      <c r="E1766" s="98">
        <v>-6</v>
      </c>
      <c r="F1766" s="99">
        <v>4.4666055555555557</v>
      </c>
      <c r="G1766" s="99">
        <v>6.24</v>
      </c>
      <c r="H1766" s="96">
        <f>+Tabla_SKUs[[#This Row],[CANTIDAD]]*Tabla_SKUs[[#This Row],[COSTO
UNITARIO]]</f>
        <v>-26.799633333333333</v>
      </c>
      <c r="I1766" s="96">
        <f>+Tabla_SKUs[[#This Row],[CANTIDAD]]*Tabla_SKUs[[#This Row],[PVP
UNITARIO]]</f>
        <v>-37.44</v>
      </c>
      <c r="J1766" s="98" t="s">
        <v>626</v>
      </c>
      <c r="K1766" s="98" t="s">
        <v>48</v>
      </c>
      <c r="L1766" s="100">
        <v>46198</v>
      </c>
    </row>
    <row r="1767" spans="1:12" x14ac:dyDescent="0.25">
      <c r="A1767" s="95" t="s">
        <v>922</v>
      </c>
      <c r="B1767" s="95" t="s">
        <v>3206</v>
      </c>
      <c r="C1767" s="95" t="s">
        <v>3207</v>
      </c>
      <c r="D1767" s="95">
        <v>1749</v>
      </c>
      <c r="E1767" s="95">
        <v>-1</v>
      </c>
      <c r="F1767" s="96">
        <v>6.4268000000000001</v>
      </c>
      <c r="G1767" s="96">
        <v>15.61</v>
      </c>
      <c r="H1767" s="96">
        <f>+Tabla_SKUs[[#This Row],[CANTIDAD]]*Tabla_SKUs[[#This Row],[COSTO
UNITARIO]]</f>
        <v>-6.4268000000000001</v>
      </c>
      <c r="I1767" s="96">
        <f>+Tabla_SKUs[[#This Row],[CANTIDAD]]*Tabla_SKUs[[#This Row],[PVP
UNITARIO]]</f>
        <v>-15.61</v>
      </c>
      <c r="J1767" s="95" t="s">
        <v>626</v>
      </c>
      <c r="K1767" s="95" t="s">
        <v>48</v>
      </c>
      <c r="L1767" s="97">
        <v>46198</v>
      </c>
    </row>
    <row r="1768" spans="1:12" x14ac:dyDescent="0.25">
      <c r="A1768" s="98" t="s">
        <v>911</v>
      </c>
      <c r="B1768" s="98" t="s">
        <v>3208</v>
      </c>
      <c r="C1768" s="98" t="s">
        <v>3209</v>
      </c>
      <c r="D1768" s="98">
        <v>1749</v>
      </c>
      <c r="E1768" s="98">
        <v>1</v>
      </c>
      <c r="F1768" s="99">
        <v>366.03210000000001</v>
      </c>
      <c r="G1768" s="99">
        <v>520</v>
      </c>
      <c r="H1768" s="96">
        <f>+Tabla_SKUs[[#This Row],[CANTIDAD]]*Tabla_SKUs[[#This Row],[COSTO
UNITARIO]]</f>
        <v>366.03210000000001</v>
      </c>
      <c r="I1768" s="96">
        <f>+Tabla_SKUs[[#This Row],[CANTIDAD]]*Tabla_SKUs[[#This Row],[PVP
UNITARIO]]</f>
        <v>520</v>
      </c>
      <c r="J1768" s="98" t="s">
        <v>626</v>
      </c>
      <c r="K1768" s="98" t="s">
        <v>48</v>
      </c>
      <c r="L1768" s="100">
        <v>46198</v>
      </c>
    </row>
    <row r="1769" spans="1:12" x14ac:dyDescent="0.25">
      <c r="A1769" s="95" t="s">
        <v>911</v>
      </c>
      <c r="B1769" s="95" t="s">
        <v>2747</v>
      </c>
      <c r="C1769" s="95" t="s">
        <v>2748</v>
      </c>
      <c r="D1769" s="95">
        <v>1749</v>
      </c>
      <c r="E1769" s="95">
        <v>20</v>
      </c>
      <c r="F1769" s="96">
        <v>12.96</v>
      </c>
      <c r="G1769" s="96">
        <v>18.399999999999999</v>
      </c>
      <c r="H1769" s="96">
        <f>+Tabla_SKUs[[#This Row],[CANTIDAD]]*Tabla_SKUs[[#This Row],[COSTO
UNITARIO]]</f>
        <v>259.20000000000005</v>
      </c>
      <c r="I1769" s="96">
        <f>+Tabla_SKUs[[#This Row],[CANTIDAD]]*Tabla_SKUs[[#This Row],[PVP
UNITARIO]]</f>
        <v>368</v>
      </c>
      <c r="J1769" s="95" t="s">
        <v>626</v>
      </c>
      <c r="K1769" s="95" t="s">
        <v>48</v>
      </c>
      <c r="L1769" s="97">
        <v>46198</v>
      </c>
    </row>
    <row r="1770" spans="1:12" x14ac:dyDescent="0.25">
      <c r="A1770" s="98" t="s">
        <v>911</v>
      </c>
      <c r="B1770" s="98" t="s">
        <v>2700</v>
      </c>
      <c r="C1770" s="98" t="s">
        <v>2701</v>
      </c>
      <c r="D1770" s="98">
        <v>1749</v>
      </c>
      <c r="E1770" s="98">
        <v>6</v>
      </c>
      <c r="F1770" s="99">
        <v>11.495900000000001</v>
      </c>
      <c r="G1770" s="99">
        <v>26.49</v>
      </c>
      <c r="H1770" s="96">
        <f>+Tabla_SKUs[[#This Row],[CANTIDAD]]*Tabla_SKUs[[#This Row],[COSTO
UNITARIO]]</f>
        <v>68.975400000000008</v>
      </c>
      <c r="I1770" s="96">
        <f>+Tabla_SKUs[[#This Row],[CANTIDAD]]*Tabla_SKUs[[#This Row],[PVP
UNITARIO]]</f>
        <v>158.94</v>
      </c>
      <c r="J1770" s="98" t="s">
        <v>626</v>
      </c>
      <c r="K1770" s="98" t="s">
        <v>48</v>
      </c>
      <c r="L1770" s="100">
        <v>46198</v>
      </c>
    </row>
    <row r="1771" spans="1:12" x14ac:dyDescent="0.25">
      <c r="A1771" s="95" t="s">
        <v>911</v>
      </c>
      <c r="B1771" s="95" t="s">
        <v>3210</v>
      </c>
      <c r="C1771" s="95" t="s">
        <v>3211</v>
      </c>
      <c r="D1771" s="95">
        <v>1749</v>
      </c>
      <c r="E1771" s="95">
        <v>1</v>
      </c>
      <c r="F1771" s="96">
        <v>12.6425</v>
      </c>
      <c r="G1771" s="96">
        <v>17.940000000000001</v>
      </c>
      <c r="H1771" s="96">
        <f>+Tabla_SKUs[[#This Row],[CANTIDAD]]*Tabla_SKUs[[#This Row],[COSTO
UNITARIO]]</f>
        <v>12.6425</v>
      </c>
      <c r="I1771" s="96">
        <f>+Tabla_SKUs[[#This Row],[CANTIDAD]]*Tabla_SKUs[[#This Row],[PVP
UNITARIO]]</f>
        <v>17.940000000000001</v>
      </c>
      <c r="J1771" s="95" t="s">
        <v>626</v>
      </c>
      <c r="K1771" s="95" t="s">
        <v>48</v>
      </c>
      <c r="L1771" s="97">
        <v>46198</v>
      </c>
    </row>
    <row r="1772" spans="1:12" hidden="1" x14ac:dyDescent="0.25">
      <c r="A1772" s="101" t="s">
        <v>877</v>
      </c>
      <c r="B1772" s="101" t="s">
        <v>2939</v>
      </c>
      <c r="C1772" s="101" t="s">
        <v>2940</v>
      </c>
      <c r="D1772" s="101">
        <v>1516</v>
      </c>
      <c r="E1772" s="101">
        <v>-1</v>
      </c>
      <c r="F1772" s="102">
        <v>29.9543</v>
      </c>
      <c r="G1772" s="102">
        <v>44.643599999999999</v>
      </c>
      <c r="H1772" s="102">
        <v>-29.9543</v>
      </c>
      <c r="I1772" s="102">
        <v>-44.643599999999999</v>
      </c>
      <c r="J1772" s="101" t="s">
        <v>628</v>
      </c>
      <c r="K1772" s="101" t="s">
        <v>48</v>
      </c>
      <c r="L1772" s="103">
        <v>46202</v>
      </c>
    </row>
    <row r="1773" spans="1:12" hidden="1" x14ac:dyDescent="0.25">
      <c r="A1773" s="104" t="s">
        <v>922</v>
      </c>
      <c r="B1773" s="104" t="s">
        <v>3212</v>
      </c>
      <c r="C1773" s="104" t="s">
        <v>3213</v>
      </c>
      <c r="D1773" s="104">
        <v>1516</v>
      </c>
      <c r="E1773" s="104">
        <v>-1</v>
      </c>
      <c r="F1773" s="105">
        <v>48.103650000000002</v>
      </c>
      <c r="G1773" s="105">
        <v>126.6306</v>
      </c>
      <c r="H1773" s="105">
        <v>-48.103650000000002</v>
      </c>
      <c r="I1773" s="105">
        <v>-126.6306</v>
      </c>
      <c r="J1773" s="104" t="s">
        <v>628</v>
      </c>
      <c r="K1773" s="104" t="s">
        <v>48</v>
      </c>
      <c r="L1773" s="106">
        <v>46202</v>
      </c>
    </row>
    <row r="1774" spans="1:12" hidden="1" x14ac:dyDescent="0.25">
      <c r="A1774" s="101" t="s">
        <v>922</v>
      </c>
      <c r="B1774" s="101" t="s">
        <v>3214</v>
      </c>
      <c r="C1774" s="101" t="s">
        <v>3215</v>
      </c>
      <c r="D1774" s="101">
        <v>1516</v>
      </c>
      <c r="E1774" s="101">
        <v>-1</v>
      </c>
      <c r="F1774" s="102">
        <v>40.638800000000003</v>
      </c>
      <c r="G1774" s="102">
        <v>105.34820000000001</v>
      </c>
      <c r="H1774" s="102">
        <v>-40.638800000000003</v>
      </c>
      <c r="I1774" s="102">
        <v>-105.34820000000001</v>
      </c>
      <c r="J1774" s="101" t="s">
        <v>628</v>
      </c>
      <c r="K1774" s="101" t="s">
        <v>48</v>
      </c>
      <c r="L1774" s="103">
        <v>46202</v>
      </c>
    </row>
    <row r="1775" spans="1:12" hidden="1" x14ac:dyDescent="0.25">
      <c r="A1775" s="104" t="s">
        <v>911</v>
      </c>
      <c r="B1775" s="104" t="s">
        <v>3216</v>
      </c>
      <c r="C1775" s="104" t="s">
        <v>3217</v>
      </c>
      <c r="D1775" s="104">
        <v>1516</v>
      </c>
      <c r="E1775" s="104">
        <v>1</v>
      </c>
      <c r="F1775" s="105">
        <v>48.051600000000001</v>
      </c>
      <c r="G1775" s="105">
        <v>126.6306</v>
      </c>
      <c r="H1775" s="105">
        <v>48.051600000000001</v>
      </c>
      <c r="I1775" s="105">
        <v>126.6306</v>
      </c>
      <c r="J1775" s="104" t="s">
        <v>628</v>
      </c>
      <c r="K1775" s="104" t="s">
        <v>48</v>
      </c>
      <c r="L1775" s="106">
        <v>46202</v>
      </c>
    </row>
    <row r="1776" spans="1:12" hidden="1" x14ac:dyDescent="0.25">
      <c r="A1776" s="101" t="s">
        <v>911</v>
      </c>
      <c r="B1776" s="101" t="s">
        <v>2947</v>
      </c>
      <c r="C1776" s="101" t="s">
        <v>2948</v>
      </c>
      <c r="D1776" s="101">
        <v>1516</v>
      </c>
      <c r="E1776" s="101">
        <v>1</v>
      </c>
      <c r="F1776" s="102">
        <v>40.638849999999998</v>
      </c>
      <c r="G1776" s="102">
        <v>105.34820000000001</v>
      </c>
      <c r="H1776" s="102">
        <v>40.638849999999998</v>
      </c>
      <c r="I1776" s="102">
        <v>105.34820000000001</v>
      </c>
      <c r="J1776" s="101" t="s">
        <v>628</v>
      </c>
      <c r="K1776" s="101" t="s">
        <v>48</v>
      </c>
      <c r="L1776" s="103">
        <v>46202</v>
      </c>
    </row>
    <row r="1777" spans="1:12" hidden="1" x14ac:dyDescent="0.25">
      <c r="A1777" s="112" t="s">
        <v>877</v>
      </c>
      <c r="B1777" s="112" t="s">
        <v>2725</v>
      </c>
      <c r="C1777" s="112" t="s">
        <v>2726</v>
      </c>
      <c r="D1777" s="112">
        <v>1736</v>
      </c>
      <c r="E1777" s="112">
        <v>-10</v>
      </c>
      <c r="F1777" s="113">
        <v>0.1105</v>
      </c>
      <c r="G1777" s="113">
        <v>0</v>
      </c>
      <c r="H1777" s="113">
        <v>-1.105</v>
      </c>
      <c r="I1777" s="113">
        <v>0</v>
      </c>
      <c r="J1777" s="112" t="s">
        <v>632</v>
      </c>
      <c r="K1777" s="112" t="s">
        <v>48</v>
      </c>
      <c r="L1777" s="114">
        <v>46202</v>
      </c>
    </row>
    <row r="1778" spans="1:12" hidden="1" x14ac:dyDescent="0.25">
      <c r="A1778" s="110" t="s">
        <v>898</v>
      </c>
      <c r="B1778" s="110" t="s">
        <v>3218</v>
      </c>
      <c r="C1778" s="110" t="s">
        <v>3219</v>
      </c>
      <c r="D1778" s="110">
        <v>1736</v>
      </c>
      <c r="E1778" s="110">
        <v>8</v>
      </c>
      <c r="F1778" s="111">
        <v>0.17</v>
      </c>
      <c r="G1778" s="111">
        <v>0</v>
      </c>
      <c r="H1778" s="111">
        <v>1.36</v>
      </c>
      <c r="I1778" s="111">
        <v>0</v>
      </c>
      <c r="J1778" s="110" t="s">
        <v>632</v>
      </c>
      <c r="K1778" s="110" t="s">
        <v>48</v>
      </c>
      <c r="L1778" s="115">
        <v>46202</v>
      </c>
    </row>
    <row r="1779" spans="1:12" hidden="1" x14ac:dyDescent="0.25">
      <c r="A1779" s="112" t="s">
        <v>898</v>
      </c>
      <c r="B1779" s="112" t="s">
        <v>1269</v>
      </c>
      <c r="C1779" s="112" t="s">
        <v>1270</v>
      </c>
      <c r="D1779" s="112">
        <v>1736</v>
      </c>
      <c r="E1779" s="112">
        <v>4.23160493827175</v>
      </c>
      <c r="F1779" s="113">
        <v>1.7519497569904701</v>
      </c>
      <c r="G1779" s="113">
        <v>0</v>
      </c>
      <c r="H1779" s="113">
        <v>7.4135592432848654</v>
      </c>
      <c r="I1779" s="113">
        <v>0</v>
      </c>
      <c r="J1779" s="112" t="s">
        <v>632</v>
      </c>
      <c r="K1779" s="112" t="s">
        <v>48</v>
      </c>
      <c r="L1779" s="114">
        <v>46202</v>
      </c>
    </row>
    <row r="1780" spans="1:12" hidden="1" x14ac:dyDescent="0.25">
      <c r="A1780" s="110" t="s">
        <v>898</v>
      </c>
      <c r="B1780" s="110" t="s">
        <v>1277</v>
      </c>
      <c r="C1780" s="110" t="s">
        <v>1278</v>
      </c>
      <c r="D1780" s="110">
        <v>1736</v>
      </c>
      <c r="E1780" s="110">
        <v>0.45776280000001002</v>
      </c>
      <c r="F1780" s="111">
        <v>1.722</v>
      </c>
      <c r="G1780" s="111">
        <v>0</v>
      </c>
      <c r="H1780" s="111">
        <v>0.78826754160001722</v>
      </c>
      <c r="I1780" s="111">
        <v>0</v>
      </c>
      <c r="J1780" s="110" t="s">
        <v>632</v>
      </c>
      <c r="K1780" s="110" t="s">
        <v>48</v>
      </c>
      <c r="L1780" s="115">
        <v>46202</v>
      </c>
    </row>
    <row r="1781" spans="1:12" hidden="1" x14ac:dyDescent="0.25">
      <c r="A1781" s="112" t="s">
        <v>898</v>
      </c>
      <c r="B1781" s="112" t="s">
        <v>3220</v>
      </c>
      <c r="C1781" s="112" t="s">
        <v>3221</v>
      </c>
      <c r="D1781" s="112">
        <v>1736</v>
      </c>
      <c r="E1781" s="112">
        <v>1</v>
      </c>
      <c r="F1781" s="113">
        <v>2.3250565217391301</v>
      </c>
      <c r="G1781" s="113">
        <v>0</v>
      </c>
      <c r="H1781" s="113">
        <v>2.3250565217391301</v>
      </c>
      <c r="I1781" s="113">
        <v>0</v>
      </c>
      <c r="J1781" s="112" t="s">
        <v>632</v>
      </c>
      <c r="K1781" s="112" t="s">
        <v>48</v>
      </c>
      <c r="L1781" s="114">
        <v>46202</v>
      </c>
    </row>
    <row r="1782" spans="1:12" hidden="1" x14ac:dyDescent="0.25">
      <c r="A1782" s="110" t="s">
        <v>877</v>
      </c>
      <c r="B1782" s="110" t="s">
        <v>1271</v>
      </c>
      <c r="C1782" s="110" t="s">
        <v>1272</v>
      </c>
      <c r="D1782" s="110">
        <v>1736</v>
      </c>
      <c r="E1782" s="110">
        <v>-1.6370370370373299</v>
      </c>
      <c r="F1782" s="111">
        <v>3.5262303980699601</v>
      </c>
      <c r="G1782" s="111">
        <v>0</v>
      </c>
      <c r="H1782" s="111">
        <v>-5.7725697627674117</v>
      </c>
      <c r="I1782" s="111">
        <v>0</v>
      </c>
      <c r="J1782" s="110" t="s">
        <v>632</v>
      </c>
      <c r="K1782" s="110" t="s">
        <v>48</v>
      </c>
      <c r="L1782" s="115">
        <v>46202</v>
      </c>
    </row>
    <row r="1783" spans="1:12" hidden="1" x14ac:dyDescent="0.25">
      <c r="A1783" s="112" t="s">
        <v>898</v>
      </c>
      <c r="B1783" s="112" t="s">
        <v>1355</v>
      </c>
      <c r="C1783" s="112" t="s">
        <v>1356</v>
      </c>
      <c r="D1783" s="112">
        <v>1736</v>
      </c>
      <c r="E1783" s="112">
        <v>3.1296296296296</v>
      </c>
      <c r="F1783" s="113">
        <v>3.62779792746114</v>
      </c>
      <c r="G1783" s="113">
        <v>0</v>
      </c>
      <c r="H1783" s="113">
        <v>11.35366388409124</v>
      </c>
      <c r="I1783" s="113">
        <v>0</v>
      </c>
      <c r="J1783" s="112" t="s">
        <v>632</v>
      </c>
      <c r="K1783" s="112" t="s">
        <v>48</v>
      </c>
      <c r="L1783" s="114">
        <v>46202</v>
      </c>
    </row>
    <row r="1784" spans="1:12" hidden="1" x14ac:dyDescent="0.25">
      <c r="A1784" s="110" t="s">
        <v>877</v>
      </c>
      <c r="B1784" s="110" t="s">
        <v>1357</v>
      </c>
      <c r="C1784" s="110" t="s">
        <v>1358</v>
      </c>
      <c r="D1784" s="110">
        <v>1736</v>
      </c>
      <c r="E1784" s="110">
        <v>-1</v>
      </c>
      <c r="F1784" s="111">
        <v>4.84</v>
      </c>
      <c r="G1784" s="111">
        <v>0</v>
      </c>
      <c r="H1784" s="111">
        <v>-4.84</v>
      </c>
      <c r="I1784" s="111">
        <v>0</v>
      </c>
      <c r="J1784" s="110" t="s">
        <v>632</v>
      </c>
      <c r="K1784" s="110" t="s">
        <v>48</v>
      </c>
      <c r="L1784" s="115">
        <v>46202</v>
      </c>
    </row>
    <row r="1785" spans="1:12" hidden="1" x14ac:dyDescent="0.25">
      <c r="A1785" s="112" t="s">
        <v>898</v>
      </c>
      <c r="B1785" s="112" t="s">
        <v>3222</v>
      </c>
      <c r="C1785" s="112" t="s">
        <v>3223</v>
      </c>
      <c r="D1785" s="112">
        <v>1736</v>
      </c>
      <c r="E1785" s="112">
        <v>1</v>
      </c>
      <c r="F1785" s="113">
        <v>4.33</v>
      </c>
      <c r="G1785" s="113">
        <v>0</v>
      </c>
      <c r="H1785" s="113">
        <v>4.33</v>
      </c>
      <c r="I1785" s="113">
        <v>0</v>
      </c>
      <c r="J1785" s="112" t="s">
        <v>632</v>
      </c>
      <c r="K1785" s="112" t="s">
        <v>48</v>
      </c>
      <c r="L1785" s="114">
        <v>46202</v>
      </c>
    </row>
    <row r="1786" spans="1:12" hidden="1" x14ac:dyDescent="0.25">
      <c r="A1786" s="110" t="s">
        <v>898</v>
      </c>
      <c r="B1786" s="110" t="s">
        <v>2721</v>
      </c>
      <c r="C1786" s="110" t="s">
        <v>2722</v>
      </c>
      <c r="D1786" s="110">
        <v>1736</v>
      </c>
      <c r="E1786" s="110">
        <v>1</v>
      </c>
      <c r="F1786" s="111">
        <v>3.29</v>
      </c>
      <c r="G1786" s="111">
        <v>0</v>
      </c>
      <c r="H1786" s="111">
        <v>3.29</v>
      </c>
      <c r="I1786" s="111">
        <v>0</v>
      </c>
      <c r="J1786" s="110" t="s">
        <v>632</v>
      </c>
      <c r="K1786" s="110" t="s">
        <v>48</v>
      </c>
      <c r="L1786" s="115">
        <v>46202</v>
      </c>
    </row>
    <row r="1787" spans="1:12" hidden="1" x14ac:dyDescent="0.25">
      <c r="A1787" s="112"/>
      <c r="B1787" s="112"/>
      <c r="C1787" s="112"/>
      <c r="D1787" s="112">
        <v>1736</v>
      </c>
      <c r="E1787" s="112"/>
      <c r="F1787" s="113"/>
      <c r="G1787" s="113">
        <v>0</v>
      </c>
      <c r="H1787" s="113"/>
      <c r="I1787" s="113"/>
      <c r="J1787" s="112" t="s">
        <v>632</v>
      </c>
      <c r="K1787" s="112" t="s">
        <v>48</v>
      </c>
      <c r="L1787" s="114">
        <v>46202</v>
      </c>
    </row>
    <row r="1788" spans="1:12" hidden="1" x14ac:dyDescent="0.25">
      <c r="A1788" s="110"/>
      <c r="B1788" s="110"/>
      <c r="C1788" s="110"/>
      <c r="D1788" s="110">
        <v>1736</v>
      </c>
      <c r="E1788" s="110"/>
      <c r="F1788" s="111"/>
      <c r="G1788" s="111">
        <v>0</v>
      </c>
      <c r="H1788" s="111"/>
      <c r="I1788" s="111"/>
      <c r="J1788" s="110" t="s">
        <v>632</v>
      </c>
      <c r="K1788" s="110" t="s">
        <v>48</v>
      </c>
      <c r="L1788" s="115">
        <v>46202</v>
      </c>
    </row>
    <row r="1789" spans="1:12" hidden="1" x14ac:dyDescent="0.25">
      <c r="A1789" s="112"/>
      <c r="B1789" s="112"/>
      <c r="C1789" s="112"/>
      <c r="D1789" s="112">
        <v>1736</v>
      </c>
      <c r="E1789" s="112"/>
      <c r="F1789" s="113"/>
      <c r="G1789" s="113">
        <v>0</v>
      </c>
      <c r="H1789" s="113"/>
      <c r="I1789" s="113"/>
      <c r="J1789" s="112" t="s">
        <v>632</v>
      </c>
      <c r="K1789" s="112" t="s">
        <v>48</v>
      </c>
      <c r="L1789" s="114">
        <v>46202</v>
      </c>
    </row>
    <row r="1790" spans="1:12" hidden="1" x14ac:dyDescent="0.25">
      <c r="A1790" s="110"/>
      <c r="B1790" s="110"/>
      <c r="C1790" s="110"/>
      <c r="D1790" s="110">
        <v>1736</v>
      </c>
      <c r="E1790" s="110"/>
      <c r="F1790" s="111"/>
      <c r="G1790" s="111">
        <v>0</v>
      </c>
      <c r="H1790" s="111"/>
      <c r="I1790" s="111"/>
      <c r="J1790" s="110" t="s">
        <v>632</v>
      </c>
      <c r="K1790" s="110" t="s">
        <v>48</v>
      </c>
      <c r="L1790" s="115">
        <v>46202</v>
      </c>
    </row>
    <row r="1791" spans="1:12" hidden="1" x14ac:dyDescent="0.25">
      <c r="A1791" s="112"/>
      <c r="B1791" s="112"/>
      <c r="C1791" s="112"/>
      <c r="D1791" s="112">
        <v>1736</v>
      </c>
      <c r="E1791" s="112"/>
      <c r="F1791" s="113"/>
      <c r="G1791" s="113">
        <v>0</v>
      </c>
      <c r="H1791" s="113"/>
      <c r="I1791" s="113"/>
      <c r="J1791" s="112" t="s">
        <v>632</v>
      </c>
      <c r="K1791" s="112" t="s">
        <v>48</v>
      </c>
      <c r="L1791" s="114">
        <v>46202</v>
      </c>
    </row>
    <row r="1792" spans="1:12" hidden="1" x14ac:dyDescent="0.25">
      <c r="A1792" s="110"/>
      <c r="B1792" s="110"/>
      <c r="C1792" s="110"/>
      <c r="D1792" s="110">
        <v>1736</v>
      </c>
      <c r="E1792" s="110"/>
      <c r="F1792" s="111"/>
      <c r="G1792" s="111">
        <v>0</v>
      </c>
      <c r="H1792" s="111"/>
      <c r="I1792" s="111"/>
      <c r="J1792" s="110" t="s">
        <v>632</v>
      </c>
      <c r="K1792" s="110" t="s">
        <v>48</v>
      </c>
      <c r="L1792" s="115">
        <v>46202</v>
      </c>
    </row>
    <row r="1793" spans="1:12" hidden="1" x14ac:dyDescent="0.25">
      <c r="A1793" s="112"/>
      <c r="B1793" s="112"/>
      <c r="C1793" s="112"/>
      <c r="D1793" s="112">
        <v>1736</v>
      </c>
      <c r="E1793" s="112"/>
      <c r="F1793" s="113"/>
      <c r="G1793" s="113">
        <v>0</v>
      </c>
      <c r="H1793" s="113"/>
      <c r="I1793" s="113"/>
      <c r="J1793" s="112" t="s">
        <v>632</v>
      </c>
      <c r="K1793" s="112" t="s">
        <v>48</v>
      </c>
      <c r="L1793" s="114">
        <v>46202</v>
      </c>
    </row>
    <row r="1794" spans="1:12" hidden="1" x14ac:dyDescent="0.25">
      <c r="A1794" s="110"/>
      <c r="B1794" s="110"/>
      <c r="C1794" s="110"/>
      <c r="D1794" s="110">
        <v>1736</v>
      </c>
      <c r="E1794" s="110"/>
      <c r="F1794" s="111"/>
      <c r="G1794" s="111">
        <v>0</v>
      </c>
      <c r="H1794" s="111"/>
      <c r="I1794" s="111"/>
      <c r="J1794" s="110" t="s">
        <v>632</v>
      </c>
      <c r="K1794" s="110" t="s">
        <v>48</v>
      </c>
      <c r="L1794" s="115">
        <v>46202</v>
      </c>
    </row>
  </sheetData>
  <mergeCells count="2">
    <mergeCell ref="A2:L2"/>
    <mergeCell ref="A1:L1"/>
  </mergeCell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showGridLines="0" zoomScaleNormal="100" workbookViewId="0">
      <pane ySplit="2" topLeftCell="A3" activePane="bottomLeft" state="frozen"/>
      <selection pane="bottomLeft"/>
    </sheetView>
  </sheetViews>
  <sheetFormatPr baseColWidth="10" defaultColWidth="8.7109375" defaultRowHeight="15" x14ac:dyDescent="0.25"/>
  <cols>
    <col min="1" max="1" width="35" customWidth="1"/>
    <col min="2" max="2" width="16" customWidth="1"/>
    <col min="3" max="3" width="28" customWidth="1"/>
    <col min="4" max="4" width="14" customWidth="1"/>
    <col min="5" max="5" width="16" customWidth="1"/>
    <col min="6" max="6" width="14" customWidth="1"/>
    <col min="7" max="7" width="28" customWidth="1"/>
  </cols>
  <sheetData>
    <row r="1" spans="1:7" ht="31.5" customHeight="1" x14ac:dyDescent="0.25">
      <c r="A1" s="6" t="s">
        <v>3224</v>
      </c>
      <c r="B1" s="7"/>
      <c r="C1" s="7"/>
      <c r="D1" s="7"/>
      <c r="E1" s="7"/>
      <c r="F1" s="7"/>
      <c r="G1" s="7"/>
    </row>
    <row r="2" spans="1:7" ht="18" customHeight="1" x14ac:dyDescent="0.25">
      <c r="A2" s="8" t="s">
        <v>3225</v>
      </c>
      <c r="B2" s="9"/>
      <c r="C2" s="9"/>
      <c r="D2" s="9"/>
      <c r="E2" s="9"/>
      <c r="F2" s="9"/>
      <c r="G2" s="9"/>
    </row>
    <row r="4" spans="1:7" ht="21.75" customHeight="1" x14ac:dyDescent="0.25">
      <c r="A4" s="10" t="s">
        <v>3226</v>
      </c>
      <c r="B4" s="11"/>
      <c r="C4" s="11"/>
      <c r="D4" s="11"/>
      <c r="E4" s="11"/>
      <c r="F4" s="11"/>
      <c r="G4" s="11"/>
    </row>
    <row r="5" spans="1:7" ht="18" customHeight="1" x14ac:dyDescent="0.25">
      <c r="A5" s="12" t="s">
        <v>3227</v>
      </c>
      <c r="B5" s="12" t="s">
        <v>3228</v>
      </c>
      <c r="C5" s="12" t="s">
        <v>3229</v>
      </c>
      <c r="D5" s="12" t="s">
        <v>3230</v>
      </c>
      <c r="E5" s="12" t="s">
        <v>3231</v>
      </c>
      <c r="F5" s="12" t="s">
        <v>3232</v>
      </c>
      <c r="G5" s="12" t="s">
        <v>3233</v>
      </c>
    </row>
    <row r="6" spans="1:7" ht="16.5" customHeight="1" x14ac:dyDescent="0.25">
      <c r="A6" s="13" t="s">
        <v>3234</v>
      </c>
      <c r="B6" s="14">
        <v>40</v>
      </c>
      <c r="C6" s="15" t="s">
        <v>3235</v>
      </c>
      <c r="D6" s="3" t="s">
        <v>3236</v>
      </c>
      <c r="E6" s="3" t="s">
        <v>3237</v>
      </c>
      <c r="F6" s="14" t="s">
        <v>3238</v>
      </c>
      <c r="G6" s="15" t="s">
        <v>3239</v>
      </c>
    </row>
    <row r="7" spans="1:7" ht="16.5" customHeight="1" x14ac:dyDescent="0.25">
      <c r="A7" s="16" t="s">
        <v>3240</v>
      </c>
      <c r="B7" s="17">
        <v>30</v>
      </c>
      <c r="C7" s="18" t="s">
        <v>3241</v>
      </c>
      <c r="D7" s="19" t="s">
        <v>3242</v>
      </c>
      <c r="E7" s="19" t="s">
        <v>3237</v>
      </c>
      <c r="F7" s="17" t="s">
        <v>3243</v>
      </c>
      <c r="G7" s="18" t="s">
        <v>3244</v>
      </c>
    </row>
    <row r="8" spans="1:7" ht="16.5" customHeight="1" x14ac:dyDescent="0.25">
      <c r="A8" s="13" t="s">
        <v>3245</v>
      </c>
      <c r="B8" s="14">
        <v>15</v>
      </c>
      <c r="C8" s="15" t="s">
        <v>3246</v>
      </c>
      <c r="D8" s="3" t="s">
        <v>3247</v>
      </c>
      <c r="E8" s="3" t="s">
        <v>3248</v>
      </c>
      <c r="F8" s="14" t="s">
        <v>3249</v>
      </c>
      <c r="G8" s="15" t="s">
        <v>3250</v>
      </c>
    </row>
    <row r="9" spans="1:7" ht="16.5" customHeight="1" x14ac:dyDescent="0.25">
      <c r="A9" s="16" t="s">
        <v>3251</v>
      </c>
      <c r="B9" s="17">
        <v>10</v>
      </c>
      <c r="C9" s="18" t="s">
        <v>3252</v>
      </c>
      <c r="D9" s="19" t="s">
        <v>3253</v>
      </c>
      <c r="E9" s="19" t="s">
        <v>3237</v>
      </c>
      <c r="F9" s="17" t="s">
        <v>3254</v>
      </c>
      <c r="G9" s="18" t="s">
        <v>3255</v>
      </c>
    </row>
    <row r="10" spans="1:7" ht="16.5" customHeight="1" x14ac:dyDescent="0.25">
      <c r="A10" s="13" t="s">
        <v>3256</v>
      </c>
      <c r="B10" s="14">
        <v>5</v>
      </c>
      <c r="C10" s="15" t="s">
        <v>3257</v>
      </c>
      <c r="D10" s="3" t="s">
        <v>3258</v>
      </c>
      <c r="E10" s="3" t="s">
        <v>3248</v>
      </c>
      <c r="F10" s="14" t="s">
        <v>3259</v>
      </c>
      <c r="G10" s="15" t="s">
        <v>3260</v>
      </c>
    </row>
    <row r="12" spans="1:7" ht="21.75" customHeight="1" x14ac:dyDescent="0.25">
      <c r="A12" s="10" t="s">
        <v>3261</v>
      </c>
      <c r="B12" s="11"/>
      <c r="C12" s="11"/>
      <c r="D12" s="11"/>
      <c r="E12" s="11"/>
      <c r="F12" s="11"/>
      <c r="G12" s="11"/>
    </row>
    <row r="13" spans="1:7" ht="18" customHeight="1" x14ac:dyDescent="0.25">
      <c r="A13" s="12" t="s">
        <v>3262</v>
      </c>
      <c r="B13" s="12" t="s">
        <v>3263</v>
      </c>
      <c r="C13" s="12" t="s">
        <v>3264</v>
      </c>
      <c r="D13" s="12" t="s">
        <v>3263</v>
      </c>
      <c r="E13" s="12" t="s">
        <v>3265</v>
      </c>
      <c r="F13" s="12" t="s">
        <v>3263</v>
      </c>
      <c r="G13" s="12" t="s">
        <v>875</v>
      </c>
    </row>
    <row r="14" spans="1:7" ht="15.75" customHeight="1" x14ac:dyDescent="0.25">
      <c r="A14" s="15" t="s">
        <v>3266</v>
      </c>
      <c r="B14" s="20" t="s">
        <v>3267</v>
      </c>
      <c r="C14" s="15" t="s">
        <v>3268</v>
      </c>
      <c r="D14" s="20" t="s">
        <v>3267</v>
      </c>
      <c r="E14" s="15" t="s">
        <v>3269</v>
      </c>
      <c r="F14" s="20" t="s">
        <v>3267</v>
      </c>
      <c r="G14" s="15"/>
    </row>
    <row r="15" spans="1:7" ht="15.75" customHeight="1" x14ac:dyDescent="0.25">
      <c r="A15" s="18" t="s">
        <v>3270</v>
      </c>
      <c r="B15" s="21" t="s">
        <v>3271</v>
      </c>
      <c r="C15" s="18" t="s">
        <v>3272</v>
      </c>
      <c r="D15" s="21" t="s">
        <v>3271</v>
      </c>
      <c r="E15" s="18" t="s">
        <v>3273</v>
      </c>
      <c r="F15" s="20" t="s">
        <v>3267</v>
      </c>
      <c r="G15" s="18"/>
    </row>
    <row r="16" spans="1:7" ht="15.75" customHeight="1" x14ac:dyDescent="0.25">
      <c r="A16" s="15" t="s">
        <v>3274</v>
      </c>
      <c r="B16" s="22" t="s">
        <v>3275</v>
      </c>
      <c r="C16" s="15" t="s">
        <v>3276</v>
      </c>
      <c r="D16" s="23" t="s">
        <v>3277</v>
      </c>
      <c r="E16" s="15" t="s">
        <v>3278</v>
      </c>
      <c r="F16" s="21" t="s">
        <v>3279</v>
      </c>
      <c r="G16" s="15"/>
    </row>
    <row r="17" spans="1:7" ht="15.75" customHeight="1" x14ac:dyDescent="0.25">
      <c r="A17" s="18" t="s">
        <v>3280</v>
      </c>
      <c r="B17" s="22" t="s">
        <v>3281</v>
      </c>
      <c r="C17" s="18" t="s">
        <v>3282</v>
      </c>
      <c r="D17" s="22" t="s">
        <v>3283</v>
      </c>
      <c r="E17" s="18" t="s">
        <v>3284</v>
      </c>
      <c r="F17" s="21" t="s">
        <v>3271</v>
      </c>
      <c r="G17" s="18"/>
    </row>
    <row r="18" spans="1:7" ht="15.75" customHeight="1" x14ac:dyDescent="0.25">
      <c r="A18" s="15" t="s">
        <v>3285</v>
      </c>
      <c r="B18" s="22" t="s">
        <v>3281</v>
      </c>
      <c r="C18" s="15" t="s">
        <v>3286</v>
      </c>
      <c r="D18" s="22" t="s">
        <v>3287</v>
      </c>
      <c r="E18" s="15" t="s">
        <v>875</v>
      </c>
      <c r="F18" s="2" t="s">
        <v>875</v>
      </c>
      <c r="G18" s="15"/>
    </row>
    <row r="20" spans="1:7" ht="21.75" customHeight="1" x14ac:dyDescent="0.25">
      <c r="A20" s="10" t="s">
        <v>3288</v>
      </c>
      <c r="B20" s="11"/>
      <c r="C20" s="11"/>
      <c r="D20" s="11"/>
      <c r="E20" s="11"/>
      <c r="F20" s="11"/>
      <c r="G20" s="11"/>
    </row>
    <row r="21" spans="1:7" ht="18" customHeight="1" x14ac:dyDescent="0.25">
      <c r="A21" s="12" t="s">
        <v>3289</v>
      </c>
      <c r="B21" s="12" t="s">
        <v>3290</v>
      </c>
      <c r="C21" s="12" t="s">
        <v>3291</v>
      </c>
      <c r="D21" s="12"/>
      <c r="E21" s="12"/>
      <c r="F21" s="12"/>
      <c r="G21" s="12"/>
    </row>
    <row r="22" spans="1:7" ht="16.5" customHeight="1" x14ac:dyDescent="0.25">
      <c r="A22" s="2" t="s">
        <v>3292</v>
      </c>
      <c r="B22" s="20" t="s">
        <v>3293</v>
      </c>
      <c r="C22" s="15" t="s">
        <v>3294</v>
      </c>
      <c r="D22" s="15"/>
      <c r="E22" s="15"/>
      <c r="F22" s="15"/>
      <c r="G22" s="15"/>
    </row>
    <row r="23" spans="1:7" ht="16.5" customHeight="1" x14ac:dyDescent="0.25">
      <c r="A23" s="24" t="s">
        <v>3295</v>
      </c>
      <c r="B23" s="21" t="s">
        <v>3296</v>
      </c>
      <c r="C23" s="18" t="s">
        <v>3297</v>
      </c>
      <c r="D23" s="18"/>
      <c r="E23" s="18"/>
      <c r="F23" s="18"/>
      <c r="G23" s="18"/>
    </row>
    <row r="24" spans="1:7" ht="16.5" customHeight="1" x14ac:dyDescent="0.25">
      <c r="A24" s="2" t="s">
        <v>3298</v>
      </c>
      <c r="B24" s="22" t="s">
        <v>3299</v>
      </c>
      <c r="C24" s="15" t="s">
        <v>3300</v>
      </c>
      <c r="D24" s="15"/>
      <c r="E24" s="15"/>
      <c r="F24" s="15"/>
      <c r="G24" s="15"/>
    </row>
    <row r="25" spans="1:7" ht="16.5" customHeight="1" x14ac:dyDescent="0.25">
      <c r="A25" s="24" t="s">
        <v>3301</v>
      </c>
      <c r="B25" s="25" t="s">
        <v>3302</v>
      </c>
      <c r="C25" s="18" t="s">
        <v>3303</v>
      </c>
      <c r="D25" s="18"/>
      <c r="E25" s="18"/>
      <c r="F25" s="18"/>
      <c r="G25" s="18"/>
    </row>
    <row r="27" spans="1:7" ht="21.75" customHeight="1" x14ac:dyDescent="0.25">
      <c r="A27" s="10" t="s">
        <v>3304</v>
      </c>
      <c r="B27" s="11"/>
      <c r="C27" s="11"/>
      <c r="D27" s="11"/>
      <c r="E27" s="11"/>
      <c r="F27" s="11"/>
      <c r="G27" s="11"/>
    </row>
    <row r="28" spans="1:7" ht="24" customHeight="1" x14ac:dyDescent="0.25">
      <c r="A28" s="26" t="s">
        <v>3305</v>
      </c>
      <c r="B28" s="27"/>
      <c r="C28" s="27"/>
      <c r="D28" s="27"/>
      <c r="E28" s="27"/>
      <c r="F28" s="27"/>
      <c r="G28" s="27"/>
    </row>
    <row r="29" spans="1:7" ht="15.75" customHeight="1" x14ac:dyDescent="0.25">
      <c r="A29" s="28" t="s">
        <v>3306</v>
      </c>
      <c r="B29" s="29"/>
      <c r="C29" s="29"/>
      <c r="D29" s="29"/>
      <c r="E29" s="29"/>
      <c r="F29" s="29"/>
      <c r="G29" s="29"/>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
  <sheetViews>
    <sheetView zoomScaleNormal="100" workbookViewId="0"/>
  </sheetViews>
  <sheetFormatPr baseColWidth="10" defaultColWidth="9.140625" defaultRowHeight="15" x14ac:dyDescent="0.25"/>
  <cols>
    <col min="1" max="1" width="39.5703125" bestFit="1" customWidth="1"/>
  </cols>
  <sheetData>
    <row r="1" spans="1:1" ht="15" customHeight="1" x14ac:dyDescent="0.25">
      <c r="A1" t="s">
        <v>408</v>
      </c>
    </row>
    <row r="2" spans="1:1" ht="15" customHeight="1" x14ac:dyDescent="0.25">
      <c r="A2" t="s">
        <v>3307</v>
      </c>
    </row>
    <row r="3" spans="1:1" ht="15" customHeight="1" x14ac:dyDescent="0.25">
      <c r="A3" t="s">
        <v>602</v>
      </c>
    </row>
    <row r="4" spans="1:1" ht="15" customHeight="1" x14ac:dyDescent="0.25">
      <c r="A4" t="s">
        <v>3308</v>
      </c>
    </row>
    <row r="5" spans="1:1" ht="15" customHeight="1" x14ac:dyDescent="0.25">
      <c r="A5" t="s">
        <v>3309</v>
      </c>
    </row>
    <row r="6" spans="1:1" ht="15" customHeight="1" x14ac:dyDescent="0.25">
      <c r="A6" t="s">
        <v>353</v>
      </c>
    </row>
    <row r="7" spans="1:1" ht="15" customHeight="1" x14ac:dyDescent="0.25">
      <c r="A7" t="s">
        <v>3310</v>
      </c>
    </row>
    <row r="8" spans="1:1" ht="15" customHeight="1" x14ac:dyDescent="0.25">
      <c r="A8" t="s">
        <v>432</v>
      </c>
    </row>
    <row r="9" spans="1:1" ht="15" customHeight="1" x14ac:dyDescent="0.25">
      <c r="A9" t="s">
        <v>49</v>
      </c>
    </row>
    <row r="10" spans="1:1" ht="15" customHeight="1" x14ac:dyDescent="0.25">
      <c r="A10" t="s">
        <v>541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Registro_Auditorias</vt:lpstr>
      <vt:lpstr>Resumen</vt:lpstr>
      <vt:lpstr>Detalle_SKUs</vt:lpstr>
      <vt:lpstr>Score</vt:lpstr>
      <vt:lpstr>_Listas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Xavier Alvarado Galan</cp:lastModifiedBy>
  <cp:revision>0</cp:revision>
  <dcterms:created xsi:type="dcterms:W3CDTF">2026-03-30T01:13:54Z</dcterms:created>
  <dcterms:modified xsi:type="dcterms:W3CDTF">2026-07-04T00:43:07Z</dcterms:modified>
  <dc:language>en-US</dc:language>
</cp:coreProperties>
</file>