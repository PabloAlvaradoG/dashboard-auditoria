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https://gerardoortizcorp-my.sharepoint.com/personal/palvarado_gerardoortiz_com/Documents/Pablo Alvarado/Contraloría/Automatización IA/Proyectos/Flujo registro de informes retail/"/>
    </mc:Choice>
  </mc:AlternateContent>
  <xr:revisionPtr revIDLastSave="2" documentId="11_D2D8468310EED447AEDFFF857360010A6F5BBA42" xr6:coauthVersionLast="47" xr6:coauthVersionMax="47" xr10:uidLastSave="{78BEDE75-DF15-4BE5-A18A-48A7EA95FF9A}"/>
  <bookViews>
    <workbookView xWindow="-120" yWindow="-120" windowWidth="20730" windowHeight="11040" xr2:uid="{00000000-000D-0000-FFFF-FFFF00000000}"/>
  </bookViews>
  <sheets>
    <sheet name="Registro_Auditorias" sheetId="1" r:id="rId1"/>
    <sheet name="Detalle_SKUs" sheetId="2" r:id="rId2"/>
    <sheet name="Resumen" sheetId="3" r:id="rId3"/>
    <sheet name="_Listas" sheetId="4" state="hidden"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Z62" i="1" l="1"/>
  <c r="U62" i="1"/>
  <c r="T62" i="1"/>
  <c r="Z61" i="1"/>
  <c r="U61" i="1"/>
  <c r="T61" i="1"/>
  <c r="Z60" i="1"/>
  <c r="U60" i="1"/>
  <c r="T60" i="1"/>
  <c r="Z59" i="1"/>
  <c r="U59" i="1"/>
  <c r="T59" i="1"/>
  <c r="Z58" i="1"/>
  <c r="U58" i="1"/>
  <c r="T58" i="1"/>
  <c r="Z57" i="1"/>
  <c r="U57" i="1"/>
  <c r="T57" i="1"/>
  <c r="Z56" i="1"/>
  <c r="U56" i="1"/>
  <c r="T56" i="1"/>
  <c r="Z55" i="1"/>
  <c r="U55" i="1"/>
  <c r="T55" i="1"/>
  <c r="Z54" i="1"/>
  <c r="U54" i="1"/>
  <c r="T54" i="1"/>
  <c r="Z53" i="1"/>
  <c r="U53" i="1"/>
  <c r="T53" i="1"/>
  <c r="Z52" i="1"/>
  <c r="U52" i="1"/>
  <c r="T52" i="1"/>
  <c r="Z51" i="1"/>
  <c r="U51" i="1"/>
  <c r="T51" i="1"/>
  <c r="Z50" i="1"/>
  <c r="U50" i="1"/>
  <c r="T50" i="1"/>
  <c r="Z49" i="1"/>
  <c r="U49" i="1"/>
  <c r="T49" i="1"/>
  <c r="Z48" i="1"/>
  <c r="U48" i="1"/>
  <c r="T48" i="1"/>
  <c r="Z47" i="1"/>
  <c r="U47" i="1"/>
  <c r="T47" i="1"/>
  <c r="Z46" i="1"/>
  <c r="U46" i="1"/>
  <c r="T46" i="1"/>
  <c r="Z45" i="1"/>
  <c r="U45" i="1"/>
  <c r="T45" i="1"/>
  <c r="Z44" i="1"/>
  <c r="U44" i="1"/>
  <c r="T44" i="1"/>
  <c r="Z43" i="1"/>
  <c r="U43" i="1"/>
  <c r="T43" i="1"/>
  <c r="Z42" i="1"/>
  <c r="U42" i="1"/>
  <c r="T42" i="1"/>
  <c r="Z41" i="1"/>
  <c r="U41" i="1"/>
  <c r="T41" i="1"/>
  <c r="Z40" i="1"/>
  <c r="U40" i="1"/>
  <c r="T40" i="1"/>
  <c r="Z39" i="1"/>
  <c r="U39" i="1"/>
  <c r="T39" i="1"/>
  <c r="Z38" i="1"/>
  <c r="U38" i="1"/>
  <c r="T38" i="1"/>
  <c r="Z37" i="1"/>
  <c r="U37" i="1"/>
  <c r="T37" i="1"/>
  <c r="Z36" i="1"/>
  <c r="U36" i="1"/>
  <c r="T36" i="1"/>
  <c r="Z35" i="1"/>
  <c r="U35" i="1"/>
  <c r="T35" i="1"/>
  <c r="Z34" i="1"/>
  <c r="U34" i="1"/>
  <c r="T34" i="1"/>
  <c r="Z33" i="1"/>
  <c r="U33" i="1"/>
  <c r="T33" i="1"/>
  <c r="Z32" i="1"/>
  <c r="U32" i="1"/>
  <c r="T32" i="1"/>
  <c r="Z31" i="1"/>
  <c r="U31" i="1"/>
  <c r="T31" i="1"/>
  <c r="Z30" i="1"/>
  <c r="U30" i="1"/>
  <c r="T30" i="1"/>
  <c r="Z29" i="1"/>
  <c r="U29" i="1"/>
  <c r="T29" i="1"/>
  <c r="Z28" i="1"/>
  <c r="U28" i="1"/>
  <c r="T28" i="1"/>
  <c r="Z27" i="1"/>
  <c r="U27" i="1"/>
  <c r="T27" i="1"/>
  <c r="Z26" i="1"/>
  <c r="U26" i="1"/>
  <c r="T26" i="1"/>
  <c r="Z25" i="1"/>
  <c r="U25" i="1"/>
  <c r="T25" i="1"/>
  <c r="Z24" i="1"/>
  <c r="U24" i="1"/>
  <c r="T24" i="1"/>
  <c r="Z23" i="1"/>
  <c r="U23" i="1"/>
  <c r="T23" i="1"/>
  <c r="Z22" i="1"/>
  <c r="U22" i="1"/>
  <c r="T22" i="1"/>
  <c r="Z21" i="1"/>
  <c r="U21" i="1"/>
  <c r="T21" i="1"/>
  <c r="Z20" i="1"/>
  <c r="U20" i="1"/>
  <c r="T20" i="1"/>
  <c r="Z19" i="1"/>
  <c r="U19" i="1"/>
  <c r="T19" i="1"/>
  <c r="Z18" i="1"/>
  <c r="U18" i="1"/>
  <c r="T18" i="1"/>
  <c r="Z17" i="1"/>
  <c r="U17" i="1"/>
  <c r="T17" i="1"/>
  <c r="Z16" i="1"/>
  <c r="U16" i="1"/>
  <c r="T16" i="1"/>
  <c r="Z15" i="1"/>
  <c r="U15" i="1"/>
  <c r="T15" i="1"/>
  <c r="Z14" i="1"/>
  <c r="U14" i="1"/>
  <c r="T14" i="1"/>
  <c r="Z13" i="1"/>
  <c r="U13" i="1"/>
  <c r="T13" i="1"/>
  <c r="Z12" i="1"/>
  <c r="U12" i="1"/>
  <c r="T12" i="1"/>
  <c r="Z11" i="1"/>
  <c r="U11" i="1"/>
  <c r="T11" i="1"/>
  <c r="Z10" i="1"/>
  <c r="U10" i="1"/>
  <c r="T10" i="1"/>
  <c r="Z9" i="1"/>
  <c r="U9" i="1"/>
  <c r="T9" i="1"/>
  <c r="Z8" i="1"/>
  <c r="U8" i="1"/>
  <c r="T8" i="1"/>
  <c r="Z7" i="1"/>
  <c r="U7" i="1"/>
  <c r="T7" i="1"/>
  <c r="Z6" i="1"/>
  <c r="U6" i="1"/>
  <c r="T6" i="1"/>
  <c r="Z5" i="1"/>
  <c r="U5" i="1"/>
  <c r="T5" i="1"/>
</calcChain>
</file>

<file path=xl/sharedStrings.xml><?xml version="1.0" encoding="utf-8"?>
<sst xmlns="http://schemas.openxmlformats.org/spreadsheetml/2006/main" count="1715" uniqueCount="666">
  <si>
    <t>CONTRALORÍA INTELIGENTE GOH — REGISTRO MAESTRO DE AUDITORÍAS</t>
  </si>
  <si>
    <t>Actualizado automáticamente por Sistema IA — v2.5 | 30/03/2026</t>
  </si>
  <si>
    <t>IDENTIFICACIÓN</t>
  </si>
  <si>
    <t>RESULTADOS AUDITORÍA (PVP)</t>
  </si>
  <si>
    <t>AJUSTES (COSTO)</t>
  </si>
  <si>
    <t>CLASIFICACIÓN Y CONTROL</t>
  </si>
  <si>
    <t>No.</t>
  </si>
  <si>
    <t>ALMACÉN</t>
  </si>
  <si>
    <t>SOCIEDAD</t>
  </si>
  <si>
    <t>LÍNEA</t>
  </si>
  <si>
    <t>ZONA</t>
  </si>
  <si>
    <t>CE.</t>
  </si>
  <si>
    <t>AUDITOR</t>
  </si>
  <si>
    <t>TIPO
AUDITORÍA</t>
  </si>
  <si>
    <t>REF.
INFORME</t>
  </si>
  <si>
    <t>FECHA
AUDITORÍA</t>
  </si>
  <si>
    <t>FECHA
ENVÍO</t>
  </si>
  <si>
    <t>VERSIÓN</t>
  </si>
  <si>
    <t>TOTAL
INVENTARIO
COSTO</t>
  </si>
  <si>
    <t>SOBRANTES
PVP</t>
  </si>
  <si>
    <t>FALTANTES
PVP</t>
  </si>
  <si>
    <t>DIF.
CRUCES
PVP</t>
  </si>
  <si>
    <t>MAL ESTADO
CADUCADOS
PVP</t>
  </si>
  <si>
    <t>DEFECTOS
FÁBRICA
PVP</t>
  </si>
  <si>
    <t>OTROS
PVP</t>
  </si>
  <si>
    <t>RESULT.
NETO
PVP</t>
  </si>
  <si>
    <t>RESULT.
A COBRAR PVP</t>
  </si>
  <si>
    <t>RESULT.
A COBRAR COSTO</t>
  </si>
  <si>
    <t>AJUSTE
EGRESO
COSTO</t>
  </si>
  <si>
    <t>AJUSTE EGRESO
MAL ESTADO/
DEF.</t>
  </si>
  <si>
    <t>AJUSTE
INGRESO
COSTO</t>
  </si>
  <si>
    <t>TOTAL
COSTO
NETO</t>
  </si>
  <si>
    <t>RIESGO</t>
  </si>
  <si>
    <t>SCORE
(0/100)</t>
  </si>
  <si>
    <t>PEND.
FACTURAR
COSTO</t>
  </si>
  <si>
    <t>ESTADO
REGISTRO</t>
  </si>
  <si>
    <t>Ajuste (Si/No)</t>
  </si>
  <si>
    <t>OBSERVACIONES</t>
  </si>
  <si>
    <t>BIKE SHOP MONAY</t>
  </si>
  <si>
    <t>ECUACYCLO S.A.</t>
  </si>
  <si>
    <t>Bike Shop</t>
  </si>
  <si>
    <t>Austro</t>
  </si>
  <si>
    <t>José Yuquilima</t>
  </si>
  <si>
    <t>General</t>
  </si>
  <si>
    <t>AUD-BS-MONAY-03-2026-001</t>
  </si>
  <si>
    <t>🟡 RIESGO MEDIO</t>
  </si>
  <si>
    <t>Registrado por asistente IA</t>
  </si>
  <si>
    <t>Faltantes: Casco Rev Gloss $143.58, Zapato Crank $111.77, Llan/Bic ProOne $80.75. Mal estado: $180.85. Pendiente facturar Ana Mary Torres $2,783.60.</t>
  </si>
  <si>
    <t>BIKE SHOP CONCEPCIÓN</t>
  </si>
  <si>
    <t>Sierra Norte</t>
  </si>
  <si>
    <t>Eliana Quinga</t>
  </si>
  <si>
    <t>AUD-BIKE-CONCEPCIÓN-03-2026-001</t>
  </si>
  <si>
    <t>Faltantes: $187.55. Caducados: $131.43. Informe anterior AUD/BIKE/CONCEPCIÓN/10/2025/003 sin procesar. Retraso de 25 días en envío.</t>
  </si>
  <si>
    <t>TCL CARLOS JULIO</t>
  </si>
  <si>
    <t>MOTSUR</t>
  </si>
  <si>
    <t>TCL</t>
  </si>
  <si>
    <t>Costa</t>
  </si>
  <si>
    <t>Joshué Remache</t>
  </si>
  <si>
    <t>AUD-TCL-CARLOS JULIO-02-2025-001</t>
  </si>
  <si>
    <t>🟢 BAJO RIESGO</t>
  </si>
  <si>
    <t>Sin diferencias. Auditoría sin variación. Código informe con posible error de año (2025 vs 2026).</t>
  </si>
  <si>
    <t>FAW SHANTUI MAGDALENA</t>
  </si>
  <si>
    <t>FAW</t>
  </si>
  <si>
    <t>AUD-FAW-MAGDALENA-03-2026-002</t>
  </si>
  <si>
    <t>BAJO</t>
  </si>
  <si>
    <t>Auditoría sin variaciones. Se identificaron 10 vehículos facturados pendientes de entrega a clientes por valor total de $165,250.46</t>
  </si>
  <si>
    <t>BIKESHOP AMBATO</t>
  </si>
  <si>
    <t>ECUACYCLO</t>
  </si>
  <si>
    <t>AUD-BIKE-AMBATO-03-2026-001</t>
  </si>
  <si>
    <t>Se identificó 2 bombas utilizada en la mecánica del almacén.</t>
  </si>
  <si>
    <t>TECNISHOP MAGDALENA</t>
  </si>
  <si>
    <t>TECNISHOP</t>
  </si>
  <si>
    <t>AUD-TECNISHOP-MAGDALENA-02-2026-002</t>
  </si>
  <si>
    <t>Medio</t>
  </si>
  <si>
    <t>Mercadería no etiquetada correctamente. Variaciones entre sistemas SAP y DMS. Conteo físico realizado manualmente por falta de etiquetado.</t>
  </si>
  <si>
    <t>PIAGGIO CENTRO COMERCIAL ESCALA</t>
  </si>
  <si>
    <t>PIAGGIO</t>
  </si>
  <si>
    <t>AUD-MOTOPLEX-SCALA-02-2026-001</t>
  </si>
  <si>
    <t>Mercadería sin etiquetar por falta de impresora ZEBRA. Moto VESPA VXL 149 pendiente de regular con bodega 3301 Ayancay</t>
  </si>
  <si>
    <t>BIKESHOP MAGDALENA</t>
  </si>
  <si>
    <t>AUD-BIKE-MAGDALENA-02-2026-001</t>
  </si>
  <si>
    <t>Faltante por garantía de bicicleta enviada al Dpto. de garantías / Armando Salazar (14 dic 2022). Sustrajeron piezas sin autorización. 1 requerimiento pendiente de aprobación.</t>
  </si>
  <si>
    <t>AUD-TECNISHOP-MAGDALENA-01-2026-001</t>
  </si>
  <si>
    <t>Procesado</t>
  </si>
  <si>
    <t>Mercadería no etiquetada correctamente. Variaciones entre sistemas SAP y DMS. Conteo realizado con nuevo encargado por renuncia del administrador. Ordenes de trabajo pendientes por $275.27.</t>
  </si>
  <si>
    <t>BIKESHOP MANTA</t>
  </si>
  <si>
    <t>AUD-ALCANCE-BIKE-MANTA-03-2026-001</t>
  </si>
  <si>
    <t>MEDIO</t>
  </si>
  <si>
    <t>Informe de alcance con faltantes detectados en visita de garantías. Pendiente regularización transferencia bodega Ayancay.</t>
  </si>
  <si>
    <t>BIKESHOP LOS CEIBOS</t>
  </si>
  <si>
    <t>AUD-BIKE-CEIBOS-01-2026-001</t>
  </si>
  <si>
    <t>Variación de $/40.85 al costo y $/74.72 al pvp por sobrantes y faltantes. Productos defectos de fábrica generan variación de $/458.27 al costo y $/706.60 al pvp. Artículos incompletos en mecánica pendientes de completar. Falta climatización en tienda.</t>
  </si>
  <si>
    <t>MOTOSHOP CARAPUNGO</t>
  </si>
  <si>
    <t>MOTOSHOP</t>
  </si>
  <si>
    <t>AUD-MOTO SHOP-CARAPUNGO-02-2026-001</t>
  </si>
  <si>
    <t>En proceso de autorización JCB</t>
  </si>
  <si>
    <t>Auditoría sin diferencias / inventario cuadrado perfectamente</t>
  </si>
  <si>
    <t>MOTOSHOP TUMBACO</t>
  </si>
  <si>
    <t>AUD-MOTO SHOP-TUMBACO-02-2026-001</t>
  </si>
  <si>
    <t>Auditoría sin diferencias. Inventario cuadrado con sistema SAP centro 1738. Total de 123 códigos auditados sin sobrantes ni faltantes.</t>
  </si>
  <si>
    <t>NAUTICA TUMBACO</t>
  </si>
  <si>
    <t>LAMITEX</t>
  </si>
  <si>
    <t>NAUTICA</t>
  </si>
  <si>
    <t>AUD-NAUTICA-TUMBACO-03-2026-002</t>
  </si>
  <si>
    <t>Bajo</t>
  </si>
  <si>
    <t>Se identificó mercadería sobrante que corresponde a facturas pendientes de entrega.</t>
  </si>
  <si>
    <t>TCL AMBATO FICOA</t>
  </si>
  <si>
    <t>AUD-TCL- AMBATO FICOA-03-2026-001</t>
  </si>
  <si>
    <t>Se identificó mercadería enviada a servicio técnico para la revisión.</t>
  </si>
  <si>
    <t>TCL CORAL AMBATO</t>
  </si>
  <si>
    <t>AUD-TCL-CORAL AMBATO-03-2026-001</t>
  </si>
  <si>
    <t>Auditoría sin variaciones significativas. Producto defectuoso excedió tiempo límite de garantía.</t>
  </si>
  <si>
    <t>BIKESHOP 10 AGOSTO</t>
  </si>
  <si>
    <t>AUD-BIKE-10 DE AGOSTO-03-2026-001</t>
  </si>
  <si>
    <t>Se identificó mercadería sin etiquetar</t>
  </si>
  <si>
    <t>BIKESHOP CARAPUNGO</t>
  </si>
  <si>
    <t>AUD-BIKE-CARAPUNGO-02-2025-001</t>
  </si>
  <si>
    <t>Se encontró mercadería sin etiquetas por lo que se genera cruces de inventario.</t>
  </si>
  <si>
    <t>BIKESHOP SAMBORONDON</t>
  </si>
  <si>
    <t>AUD-BIKE-SAMBORONDON-01-2026-001</t>
  </si>
  <si>
    <t>Auditoría sin discrepancias. Tienda ordenada con productos bien exhibidos y personal uniformado.</t>
  </si>
  <si>
    <t>BIKESHOP TUMBACO</t>
  </si>
  <si>
    <t>AUD-BIKE-TUMBACO-01-2026-001</t>
  </si>
  <si>
    <t>ALTO</t>
  </si>
  <si>
    <t>Faltante de una bicicleta talon, zapatos, ropa oakley y ropa fila</t>
  </si>
  <si>
    <t>AUD-BIKE-TUMBACO-03-2026-002</t>
  </si>
  <si>
    <t>Se observó que poseen sobre stock de mercadería.</t>
  </si>
  <si>
    <t>FAW SHANTUI CENTRO</t>
  </si>
  <si>
    <t>AUD-FAW-CENTRO-03-2026-001</t>
  </si>
  <si>
    <t>El inventario físico coincide totalmente con el Kardéx, sin diferencias. Existen ítems comprometidos para facturación en otros puntos, debidamente justificados. Se identificaron unidades en otras ubicaciones físicas, pero correctamente registradas. No se detectaron productos en mal estado ni defectos.</t>
  </si>
  <si>
    <t>MOTOSHOP CARLOS JULIO</t>
  </si>
  <si>
    <t>AUD-MOTOSHOP-CARLOS JULIO-03-2026-001</t>
  </si>
  <si>
    <t>Auditoría sin variaciones. Motos en mal estado pendientes de aprobación para servicio técnico o devolución.</t>
  </si>
  <si>
    <t>MOTOSHOP DAULE</t>
  </si>
  <si>
    <t>AUD-MOTOSHOP-DAULE-01-2026-001</t>
  </si>
  <si>
    <t>Auditoría sin variaciones. Inventarios internos periódicos coinciden con resultados obtenidos.</t>
  </si>
  <si>
    <t>MOTOSHOP MONAY SHOPPING</t>
  </si>
  <si>
    <t>AUD-MOTOSHOP-MONAY-002-2026-001</t>
  </si>
  <si>
    <t>Auditoria con diferencias por cruces. Variación negativa de /$0.10 costo y /$1.36 PVP.</t>
  </si>
  <si>
    <t>NAUTICA RACAR</t>
  </si>
  <si>
    <t>AUD-NAUTICA RACAR-02-2026-001</t>
  </si>
  <si>
    <t>Falta de organización en bodega. Mercadería sobrante por facturas no ingresadas.</t>
  </si>
  <si>
    <t>NAUTICA CARAPUNGO</t>
  </si>
  <si>
    <t>AUD-NAUTICA-CARAPUNGO-02-2026-001</t>
  </si>
  <si>
    <t>Se identificó mercadería pendiente de realizar requerimiento de consumo por promoción de almohadas. Mercadería mal etiquetada en un 90%. Se identificó mercadería en garantía.</t>
  </si>
  <si>
    <t>TCL CARAPUNGO</t>
  </si>
  <si>
    <t>AUD-TCL-CARAPUNGO-02-2026-001</t>
  </si>
  <si>
    <t>Se identificó requerimientos pendientes de aprobación por $22.99 y televisores enviados a servicio técnico por $737.12</t>
  </si>
  <si>
    <t>TCL RACAR</t>
  </si>
  <si>
    <t>AUD-TCL-RACAR-01-2026-001</t>
  </si>
  <si>
    <t>La tienda no está cumpliendo con los procesos establecidos de envío y recepción de mercadería. Los inventarios periódicos solicitados no están siendo transparentes y objetivos.</t>
  </si>
  <si>
    <t>TECNISHOP CARLOS JULIO</t>
  </si>
  <si>
    <t>AUD-TECNISHOP-CARLOS JULIO-01-2026-001</t>
  </si>
  <si>
    <t>Tienda no realiza inventarios diarios. Mercadería no etiquetada correctamente. Mantienen Kardex en dos sistemas diferentes SAP y MDS. Órdenes de trabajo pendientes de facturación con productos faltantes.</t>
  </si>
  <si>
    <t>NAUTICA CARLOS JULIO</t>
  </si>
  <si>
    <t>AUD- NÁUTICA-CARLOS JULIO-01-2026-001</t>
  </si>
  <si>
    <t>Auditoría con variación $0.00. Mercadería en exhibición por $1,114.05 PVP pendiente de regularizar.</t>
  </si>
  <si>
    <t>AUD-BIKE-MANTA-02-2026-001</t>
  </si>
  <si>
    <t>Auditoria de seguimiento por faltantes de auditoria anterior AUD/BIKE/MANTA/12/2025/001. Personal correctamente uniformado. Inventarios internos difieren con resultados. Productos pendientes de embajadores.</t>
  </si>
  <si>
    <t>FAW SHANTUI AYANCAY</t>
  </si>
  <si>
    <t>AUD-FAW-AYANCAY-01-2026-001</t>
  </si>
  <si>
    <t>Auditoría realizada debido a renuncia del jefe de taller Sr. Santiago Quezada. Se encontraron items donantes utilizados para garantías y siniestros pendientes de regularización.</t>
  </si>
  <si>
    <t>FAW SHANTUI CARLOS JULIO</t>
  </si>
  <si>
    <t>AUD-FAWSHANTUI-CARLOS JULIO-01-2026-001</t>
  </si>
  <si>
    <t>Auditoría sin novedades. No se presentaron faltantes, sobrantes ni productos en mal estado. Se reportan 3 vehículos en uso de tienda.</t>
  </si>
  <si>
    <t>TECNISHOP MANTA</t>
  </si>
  <si>
    <t>Luis Palma</t>
  </si>
  <si>
    <t>AUD-GO-TECNICENTRO-MANTA-02-2026-001</t>
  </si>
  <si>
    <t>Auditoría de inventarios con diferencia negativa de $222.22 USD</t>
  </si>
  <si>
    <t>BIKESHOP ALBORADA</t>
  </si>
  <si>
    <t>AUD-GOSPORT-ALBORADA-01-2026-001</t>
  </si>
  <si>
    <t>Tienda con problemas de control: no realizaban inventarios periódicos, cierres de cajas pendientes, tienda desordenada, cruces de mercadería por mala codificación. Personal hacía mal uso de cupos de colaboradores. Cambio de administración durante auditoría.</t>
  </si>
  <si>
    <t>GO SPORT CARLOS JULIO</t>
  </si>
  <si>
    <t>Go Sport</t>
  </si>
  <si>
    <t>AUD-GOSPORT-CARLOS JULIO-02-2026-001</t>
  </si>
  <si>
    <t>Tienda ordenada con productos bien exhibidos. 3 bicicletas en servicio técnico pendiente de solución con informe de respaldo.</t>
  </si>
  <si>
    <t>MOTO PLEX CEIBOS</t>
  </si>
  <si>
    <t>AUD-MOTOPLEX-CEIBOS-01-2026-001</t>
  </si>
  <si>
    <t>Auditoría sin novedades. Personal: Rosa Herminia Arevalo Luna (121937), Danny Cesar Rubio Alarcon (122027)</t>
  </si>
  <si>
    <t>MOTO PLEX MANTA</t>
  </si>
  <si>
    <t>AUD-MOTOPLEX-MANTA-02-2026-001</t>
  </si>
  <si>
    <t>Cruce de código para regularizar negativo. Productos pendientes de servicio técnico y reposición de cargador.</t>
  </si>
  <si>
    <t>MOTOSHOP BATAN</t>
  </si>
  <si>
    <t>AUD-MOTOSHOP-BATAN-002-2026-001</t>
  </si>
  <si>
    <t>Cambio de administrador / Renuncia Srta. Sonia Ruiz. Nuevo administrador Sr. Oscar Sarmiento</t>
  </si>
  <si>
    <t>TCL RECREO</t>
  </si>
  <si>
    <t>AUD-TCL-RECREO-02-2026-001</t>
  </si>
  <si>
    <t>Pendiente autorización</t>
  </si>
  <si>
    <t>Se identificó mercadería enviada a servicio técnico por $1,248.47. Se detectó 1 venta pendiente de migración al centro 1700 por $189.77.</t>
  </si>
  <si>
    <t>TCL RIO</t>
  </si>
  <si>
    <t>AUD-TCL RIO-03-2026-001</t>
  </si>
  <si>
    <t>Se encontró la existencia física de una TV código 7t10966 TCL de 65" separada y al resguardo de TCL rio, entregada por Mateo Cordero sin guía.</t>
  </si>
  <si>
    <t>TCL ALBORADA</t>
  </si>
  <si>
    <t>AUD-TCL-ALBORADA-02-2026-001</t>
  </si>
  <si>
    <t>Productos con defecto de fábrica enviados a servicio técnico. Tienda limpia y ordenada, personal correctamente uniformado.</t>
  </si>
  <si>
    <t>TCL BATAN</t>
  </si>
  <si>
    <t>AUD-TCL-BATÁN-01-2026-001</t>
  </si>
  <si>
    <t>Variación negativa de /$39.13 y /$90.92 valorada al P.V.P, producto de cruce de mercadería y artículos con defecto de fábrica.</t>
  </si>
  <si>
    <t>3 productos con defectos de fábrica por $37.00 PVP. 8 productos enviados a servicio técnico pendientes de respuesta por $445.41 costo.</t>
  </si>
  <si>
    <t>TCL CORAL CENTRO</t>
  </si>
  <si>
    <t>AUD-TCL-CENTRO-01-2026-001</t>
  </si>
  <si>
    <t>Problemas con procesos de envío y recepción de mercadería. Inventarios periódicos no transparentes.</t>
  </si>
  <si>
    <t>TCL DAULE</t>
  </si>
  <si>
    <t>AUD-TCL-DAULE-03-2026-001</t>
  </si>
  <si>
    <t>Auditoria sin diferencias. Se encontraron productos en servicio técnico pendientes de nota de crédito.</t>
  </si>
  <si>
    <t>TCL PORTOVIEJO/LA CUADRA</t>
  </si>
  <si>
    <t>AUD-TCL-LA CUADRA - PORTOVIEJO-02-2026-001</t>
  </si>
  <si>
    <t>Auditoria sin faltantes ni cruces. Un defecto de fábrica importante.</t>
  </si>
  <si>
    <t>TCL MAGDALENA</t>
  </si>
  <si>
    <t>AUD-TCL-MAGDALENA-03-2026-002</t>
  </si>
  <si>
    <t>Auditoría sin variación al costo ni al PVP. Defectos de fábrica reportados en informes anteriores (AUD/TCL/MAGDALENA/04/2025/001 y AUD/TCL/MAGDALENA/08/2025/002). Mercadería en servicio técnico identificada.</t>
  </si>
  <si>
    <t>Mercadería no etiquetada correctamente. Conteo manual necesario. Variaciones entre sistemas SAP y DMS. Conteo en dos bodegas.</t>
  </si>
  <si>
    <t>AUD-NAUTICA-TUMBACO-02-2026-001</t>
  </si>
  <si>
    <t>No enviado</t>
  </si>
  <si>
    <t>Se identificó mercadería sobrante que corresponde a las facturas N. 034/901/000001227 de la Sra. Elsa Cachago y la factura N. 034/901/000000988 del Sr. Ricardo Muz, en los dos casos los clientes realizaron la compra e indicaron que se les entregue en fechas posteriores.</t>
  </si>
  <si>
    <t>ROCKSTONE DAULE</t>
  </si>
  <si>
    <t>GERARDO ORTIZ</t>
  </si>
  <si>
    <t>ROCKSTONE</t>
  </si>
  <si>
    <t>AUD-ROCKSTONE-DAULE-01-2026-001</t>
  </si>
  <si>
    <t>Mercadería en tránsito y en negativo. Mercadería en exhibición instalada en tienda pero no disponible para venta. Pendiente regular mercadería de transferencia entre corales. Tienda y bodegas limpias y ordenadas.</t>
  </si>
  <si>
    <t>TCL AMBATO</t>
  </si>
  <si>
    <t>AUD-TCL- AMBATO CENTRO-03-2026-001</t>
  </si>
  <si>
    <t>Auditoría sin diferencias. Mercadería en servicio técnico y requerimientos pendientes identificados.</t>
  </si>
  <si>
    <t>AUD-TCL-CENTRO-03-2026-001</t>
  </si>
  <si>
    <t>Se observa que la tienda no está cumpliendo con los procesos establecidos de envío y recepción de mercadería, dado que llega mercadería y no es ingresada lo cual retrasa la ejecución del inventario.</t>
  </si>
  <si>
    <t>AUD-TCL-DAULE-01-2026-001</t>
  </si>
  <si>
    <t>Auditoria con productos con defecto de fábrica. Se encuentran productos pendientes por servicio técnico y por reclamo a proveedor.</t>
  </si>
  <si>
    <t>AUD-TCL-MAGDALENA-02-2026-001</t>
  </si>
  <si>
    <t>Defectos de fábrica reportados en auditorías anteriores (AUD/TCL/MAGDALENA/04/2025/001 y AUD/TCL/MAGDALENA/08/2025/002)</t>
  </si>
  <si>
    <t>TCL MANTA</t>
  </si>
  <si>
    <t>AUD-TCL-MANTA-02-2026-001</t>
  </si>
  <si>
    <t>TV dañado por exposición solar. Falta instalación microperforados</t>
  </si>
  <si>
    <t>TCL TUMBACO</t>
  </si>
  <si>
    <t>AUD-TCL-TUMBACO-01-2026-001</t>
  </si>
  <si>
    <t>Requerimientos pendientes de aprobación: $45.68 / Mercadería en servicio técnico: $883.89</t>
  </si>
  <si>
    <t>BIKESHOP DAULE</t>
  </si>
  <si>
    <t>BIKE SHOP DAULE V1</t>
  </si>
  <si>
    <t>AUD-GO-BIKESHOP-DAULE-004-001-V1-V1</t>
  </si>
  <si>
    <t>0002</t>
  </si>
  <si>
    <t>Registro Automatico</t>
  </si>
  <si>
    <t>Si</t>
  </si>
  <si>
    <t>Faltantes: ZAPATO CICLIS MRN 37 MR1385 TEAM X1 NEGR $-76.89, BICI 16 LASER NINA FUCSIA $-74.37, LLANTA BICI NINE LINE 2.25 29 WTB COMP $-25.16, CABLE SHIM FRENO MTB 1.6X2050 BOX 100PCS $-15.44, BALON D/FUTBOL  #5 PVC 2,7MM SMPVC4088 $-12.35. Sobrantes: LIV PDQ QUICK FIX KIT-ROAD 61000124 $50.99, KIT CALAS NO FLOAT/15338 $25.92, VALVULA PRESTA ROJA 34MM 2PCS W095-0006 $22.96.</t>
  </si>
  <si>
    <t>FAW SHANTUI RACAR</t>
  </si>
  <si>
    <t>sin-referencia</t>
  </si>
  <si>
    <t>AUD-GO-FAW-SHANTUI-RACAR-003-001</t>
  </si>
  <si>
    <t>0001</t>
  </si>
  <si>
    <t>No</t>
  </si>
  <si>
    <t>Sin novedades</t>
  </si>
  <si>
    <t>palvarado</t>
  </si>
  <si>
    <t>AUD-GO-FAW-SHANTUI-RACAR-003-001-V1-V1</t>
  </si>
  <si>
    <t>CONTRALORÍA INTELIGENTE GOH — DETALLE DE SKUs CON DIFERENCIAS</t>
  </si>
  <si>
    <t>Una fila por SKU | Cruces: 2 filas por par (SOBRANTE CRUCE + FALTANTE CRUCE) | Fuente: Tabla 2 o Tabla 4 (Joshué Remache)</t>
  </si>
  <si>
    <t>TIPO
HALLAZGO</t>
  </si>
  <si>
    <t>MATERIAL
(SKU)</t>
  </si>
  <si>
    <t>DESCRIPCIÓN</t>
  </si>
  <si>
    <t>CENTRO
(CE)</t>
  </si>
  <si>
    <t>CANTIDAD</t>
  </si>
  <si>
    <t>COSTO
UNITARIO</t>
  </si>
  <si>
    <t>PVP
UNITARIO</t>
  </si>
  <si>
    <t>COSTO
TOTAL</t>
  </si>
  <si>
    <t>PVP
TOTAL</t>
  </si>
  <si>
    <t>FALTANTE</t>
  </si>
  <si>
    <t>5GIA05I</t>
  </si>
  <si>
    <t>CASCO REV GLOSS BLANCO-NEGRO L 59-63CM 8</t>
  </si>
  <si>
    <t>4SCH00E</t>
  </si>
  <si>
    <t>LLAN/BIC PROONE 28-622 SK HS493 11653975</t>
  </si>
  <si>
    <t>5CBRZ08</t>
  </si>
  <si>
    <t>ZAPATO CICLIS CRANK BROTT95 STAMP SPEEDL</t>
  </si>
  <si>
    <t>5LGAJ17</t>
  </si>
  <si>
    <t>JERSEY KNITTED LG XL NEGRO GRIS 1M20643KAB</t>
  </si>
  <si>
    <t>5RUPG69</t>
  </si>
  <si>
    <t>GAFA RUDY SP850502-0000 KELION CRYSTAL</t>
  </si>
  <si>
    <t>5LGAJ69</t>
  </si>
  <si>
    <t>JERSEY CABALLERO EQUIPE PRO LG T-L</t>
  </si>
  <si>
    <t>5LGAM24</t>
  </si>
  <si>
    <t>CALENTADOR BRAZOS LG AMARIL/S 1083111</t>
  </si>
  <si>
    <t>5FILX61</t>
  </si>
  <si>
    <t>ZAPATO 24864 T8.5 M AARON BLACK</t>
  </si>
  <si>
    <t>BZAP043</t>
  </si>
  <si>
    <t>ZAPATOS CICLISMO MARIN 42 MV720 RAMPAGE</t>
  </si>
  <si>
    <t>5LGAS01</t>
  </si>
  <si>
    <t>SHORT LG/OPTIMUM 2/NEGRO M 1050025</t>
  </si>
  <si>
    <t>9LLE00E</t>
  </si>
  <si>
    <t>LLANTA BICI NANO 2.1 29 WTB</t>
  </si>
  <si>
    <t>BGI020V</t>
  </si>
  <si>
    <t>GAVIA FONDO 0 700X28C 340000227</t>
  </si>
  <si>
    <t>9LLE006</t>
  </si>
  <si>
    <t>LLANTA KENDA BICICLETA 26X1.95 K1153</t>
  </si>
  <si>
    <t>5LEA2B2</t>
  </si>
  <si>
    <t>JERSEY MTB 5025103981 S TRAIL 1.0 X-FLOW</t>
  </si>
  <si>
    <t>5CBR003</t>
  </si>
  <si>
    <t>PEDAL STAMP 1 NARANJA 16388</t>
  </si>
  <si>
    <t>9MMB0S6</t>
  </si>
  <si>
    <t>LLANTA KENDA P/BICICLETA 29X2.40 K1214</t>
  </si>
  <si>
    <t>9LLE00C</t>
  </si>
  <si>
    <t>LLANTA BICI BEE LINE 2.2 27.5 WTB COMP</t>
  </si>
  <si>
    <t>5LGAM23</t>
  </si>
  <si>
    <t>CALENTADOR BRAZOS LG AMARIL/M 1083111</t>
  </si>
  <si>
    <t>5FILV06</t>
  </si>
  <si>
    <t>SWEATER FILA T:L FLAB-T-2123L AZUL</t>
  </si>
  <si>
    <t>4GIA195</t>
  </si>
  <si>
    <t>LIV AIRWAY SPORT AZ/BL/SIL/490000138</t>
  </si>
  <si>
    <t>4GIA211</t>
  </si>
  <si>
    <t>PROPEL AD SL DISC FRONT WHEEL THRU AXLE</t>
  </si>
  <si>
    <t>4MA000N</t>
  </si>
  <si>
    <t>BOMBA AIRE BICI DESINGMOMO MP01/M21-04</t>
  </si>
  <si>
    <t>X91006KB</t>
  </si>
  <si>
    <t>BARRA SALT PEANUT MANI CON CHOCOLATE GN</t>
  </si>
  <si>
    <t>5GIA062</t>
  </si>
  <si>
    <t>MEDIAS S ELEVATE BLANCO 820000723</t>
  </si>
  <si>
    <t>5GIA264</t>
  </si>
  <si>
    <t>LIV CONTACT SL HANDLEBAR TAPE BLACK</t>
  </si>
  <si>
    <t>XTUBO23</t>
  </si>
  <si>
    <t>TUBO CST 700X25/32C FV 60MM CARTON</t>
  </si>
  <si>
    <t>XRT0445</t>
  </si>
  <si>
    <t>CARB MAX VAINILLA CAFEINA GOLDNUTRTION</t>
  </si>
  <si>
    <t>X90005W</t>
  </si>
  <si>
    <t>ZAPATAS SHIMANO F/DISC RESIN G03A S/CART</t>
  </si>
  <si>
    <t>5LD392O</t>
  </si>
  <si>
    <t>GUANTES M MARIN AI-05-8761 LARGO AZUL</t>
  </si>
  <si>
    <t>X40741Y</t>
  </si>
  <si>
    <t>WD-40 BIKE 4 OZ CHAIN LUBRICANT WET 12C</t>
  </si>
  <si>
    <t>X40741Z</t>
  </si>
  <si>
    <t>WD-40 BIKE 4 OZ CHAIN LUBRICANT DRY 12C</t>
  </si>
  <si>
    <t>X9000ANK</t>
  </si>
  <si>
    <t>CARAMAÑOLA ELITE FLY TEAMS INEOS GRENADI</t>
  </si>
  <si>
    <t>X9000ANH</t>
  </si>
  <si>
    <t>CARAMAÑOLA ELITE FLY UCI 550ML AI-CAR019</t>
  </si>
  <si>
    <t>X9000ANG</t>
  </si>
  <si>
    <t>CARAMAÑOLA ELITE FLY AMARANTH BLACK 550</t>
  </si>
  <si>
    <t>X4063CRC</t>
  </si>
  <si>
    <t>BIKE SPRAY DE CADENAS</t>
  </si>
  <si>
    <t>XTUB058</t>
  </si>
  <si>
    <t>TUBO CST 29X1.90/2.35 V/CARRO 48MM</t>
  </si>
  <si>
    <t>X912K3NB</t>
  </si>
  <si>
    <t>JELLY BAR - GOMITAS - COLA</t>
  </si>
  <si>
    <t>X912K3NE</t>
  </si>
  <si>
    <t>JELLY BAR - GOMITAS - APPLE</t>
  </si>
  <si>
    <t>XRT0470</t>
  </si>
  <si>
    <t>HYDRA GEL MORA GOLDNUTRITION</t>
  </si>
  <si>
    <t>XRT0458</t>
  </si>
  <si>
    <t>PROFORMANCE GEL MENTA GOLDNUTRITION</t>
  </si>
  <si>
    <t>X401411</t>
  </si>
  <si>
    <t>DESENGRASANTE LIQUIDO MULTIUSO 1 LITRO</t>
  </si>
  <si>
    <t>4GIA01S</t>
  </si>
  <si>
    <t>LOGO SYTICKER PVS 3 COLORES 981600019</t>
  </si>
  <si>
    <t>X9000OC</t>
  </si>
  <si>
    <t>CABLES Y FUNDAS SHIMANO FRENOS MTB SET C</t>
  </si>
  <si>
    <t>SOBRANTE</t>
  </si>
  <si>
    <t>5GIA051</t>
  </si>
  <si>
    <t>CASACA L LIV CEFIRA WIND NEGRA 850003443</t>
  </si>
  <si>
    <t>5APG4A8</t>
  </si>
  <si>
    <t>BIBSHORTS APG M/L23092460-03 CONGO MAGIC</t>
  </si>
  <si>
    <t>5GIA286</t>
  </si>
  <si>
    <t>GIANT FLEET SLR 120000177</t>
  </si>
  <si>
    <t>5RUP039</t>
  </si>
  <si>
    <t>CASCO RUDY PROJECT VENGER CROSS AMARIL MHL6</t>
  </si>
  <si>
    <t>5SK0710</t>
  </si>
  <si>
    <t>ZAPATO 232921WBL8 MEN SLIP-INS BLANCO ME</t>
  </si>
  <si>
    <t>5SK0709</t>
  </si>
  <si>
    <t>ZAPATO 232921WBL7.5 MEN SLIP-INS BLANCO</t>
  </si>
  <si>
    <t>5SK0056</t>
  </si>
  <si>
    <t>ZAPATO SKECH W'S 5/129497 WHITE BLACK</t>
  </si>
  <si>
    <t>5GIA165</t>
  </si>
  <si>
    <t>LIV RACE DAY BIB SHORTS M/860001799</t>
  </si>
  <si>
    <t>9LLE02C</t>
  </si>
  <si>
    <t>LLANTA BICICLETA TRAIL 2.25 X 27.5</t>
  </si>
  <si>
    <t>4GIA299</t>
  </si>
  <si>
    <t>HELMET ROAD 800001684</t>
  </si>
  <si>
    <t>5ALPC44</t>
  </si>
  <si>
    <t>CASACA ALPINEST NEVADA SAMARIL 132332055</t>
  </si>
  <si>
    <t>5LEAB39</t>
  </si>
  <si>
    <t>GAFA MOTO 4.5 RUBI BRONCE 8025200630</t>
  </si>
  <si>
    <t>5LEAC0U</t>
  </si>
  <si>
    <t>CASACA LEATT M/5023038302 BLACK TRAIL 1.</t>
  </si>
  <si>
    <t>X9000DC</t>
  </si>
  <si>
    <t>PEDAL SHIMANO RUTA PD-R550 C/CLEAT SM-SH</t>
  </si>
  <si>
    <t>5FILZG0</t>
  </si>
  <si>
    <t>ZAP FILA DIJON 55285 T:9M NEGRO/AZUL</t>
  </si>
  <si>
    <t>5LGAJB4</t>
  </si>
  <si>
    <t>JERSEY LG/WS BEEZE 4 XS/1042178-917 ROSA</t>
  </si>
  <si>
    <t>5APGA14</t>
  </si>
  <si>
    <t>ALE GUANTE S L25119401-02 NEGRO</t>
  </si>
  <si>
    <t>5ALP119</t>
  </si>
  <si>
    <t>GORRA ALP 1214-81705 TU/1020-BLACK WHITE</t>
  </si>
  <si>
    <t>5LGAM28</t>
  </si>
  <si>
    <t>CALENTADOR PIERNAS LG/AMARIL/S 1083113</t>
  </si>
  <si>
    <t>5SK9617</t>
  </si>
  <si>
    <t>CAMISETA SKECH MEN'S M/MTO79 NAVY</t>
  </si>
  <si>
    <t>5DYE002</t>
  </si>
  <si>
    <t>PEGATINA P/BICI RIDE OR DIE/DBF 11187</t>
  </si>
  <si>
    <t>5OAKN93</t>
  </si>
  <si>
    <t>JERSEY FOA40044502EM FOUNDATIONAL</t>
  </si>
  <si>
    <t>4GIA055</t>
  </si>
  <si>
    <t>GIANT STRATUS LITE 3.0 BAR RED/190000188</t>
  </si>
  <si>
    <t>X912K3O</t>
  </si>
  <si>
    <t>GEL BOOST PLUS 107 CAFEINA</t>
  </si>
  <si>
    <t>5LGAJB0</t>
  </si>
  <si>
    <t>JERSEY LG BEEZE 4 XS/1042178-921 MORADO</t>
  </si>
  <si>
    <t>5OAKF99</t>
  </si>
  <si>
    <t>GORRA BFQL/XL FOS901495 TINFOIL II</t>
  </si>
  <si>
    <t>5FIL020</t>
  </si>
  <si>
    <t>GORRA FILA CH-1196 WHITE</t>
  </si>
  <si>
    <t>BGI0287</t>
  </si>
  <si>
    <t>H.WASHER/SPACER 1319-H4204A-0002</t>
  </si>
  <si>
    <t>XRT0480</t>
  </si>
  <si>
    <t>CARB MAX PINA COLADA GOLDNUTRTION</t>
  </si>
  <si>
    <t>X912JPFB</t>
  </si>
  <si>
    <t>GEL BOOST PLUS SANDIA 107 GR CAFEINA</t>
  </si>
  <si>
    <t>BGI0359</t>
  </si>
  <si>
    <t>Hanger 1159-R01630-02</t>
  </si>
  <si>
    <t>X91006KF</t>
  </si>
  <si>
    <t>ENERGY GEL FRESA LIMON STRAWBERRIES LIME</t>
  </si>
  <si>
    <t>X912K3NC</t>
  </si>
  <si>
    <t>JELLY BAR - GOMITAS - STRAWBERRY</t>
  </si>
  <si>
    <t>BGI0166</t>
  </si>
  <si>
    <t>Stud Cap 1472-OILRUB-401</t>
  </si>
  <si>
    <t>SOBRANTE CRUCE</t>
  </si>
  <si>
    <t>5LEA02T</t>
  </si>
  <si>
    <t>CASCO LEATT MTB M/1024120182 FUEL/GRAVIT</t>
  </si>
  <si>
    <t>FALTANTE CRUCE</t>
  </si>
  <si>
    <t>5LEA01T</t>
  </si>
  <si>
    <t>CASCO LEATT MTB S/1023013700 STEALTH/GRA</t>
  </si>
  <si>
    <t>5GIA074</t>
  </si>
  <si>
    <t>CASACA M PROSHIELD MTB NEGRA 850003917</t>
  </si>
  <si>
    <t>5GIA07C</t>
  </si>
  <si>
    <t>CASACA L DIVERSION THERMAL NEGRA 8500031</t>
  </si>
  <si>
    <t>5GIA02C</t>
  </si>
  <si>
    <t>CASACA S PROSHIELD RAIN NEGRA 850003282</t>
  </si>
  <si>
    <t>5GIA02D</t>
  </si>
  <si>
    <t>CASACA M PROSHIELD RAIN NEGRA 850003283</t>
  </si>
  <si>
    <t>B15A167</t>
  </si>
  <si>
    <t>BICI 16 GLAM NINA ROSADO</t>
  </si>
  <si>
    <t>B15A166</t>
  </si>
  <si>
    <t>BICI 16 GLAM NINA FUCSIA</t>
  </si>
  <si>
    <t>5RUP035</t>
  </si>
  <si>
    <t>CASCO RUDY PROJECT SPECTRUM ROJO SHL650110</t>
  </si>
  <si>
    <t>5RUP172</t>
  </si>
  <si>
    <t>CASCO RUDY HL790051 S-M/PINK FLUO-BLACK</t>
  </si>
  <si>
    <t>B15SO04</t>
  </si>
  <si>
    <t>BICI 16 SONIC AZUL 014</t>
  </si>
  <si>
    <t>B15SO05</t>
  </si>
  <si>
    <t>BICI 16 SONIC BLANCO 015</t>
  </si>
  <si>
    <t>4SCH006</t>
  </si>
  <si>
    <t>LLAN/BIC HANS/D 60-507 HS491/67 11601118</t>
  </si>
  <si>
    <t>4SCH007</t>
  </si>
  <si>
    <t>LLAN/BICI BG/B 62-622 HS608/2X50 1159152</t>
  </si>
  <si>
    <t>B15SO01</t>
  </si>
  <si>
    <t>BICI 12 SONIC AZUL 011</t>
  </si>
  <si>
    <t>B15SO02</t>
  </si>
  <si>
    <t>BICI 12 SONIC BLANCO 012</t>
  </si>
  <si>
    <t>5RUP048</t>
  </si>
  <si>
    <t>CASCO RUDY PROJECT VENGER AMARIL NEG MAT MHL6</t>
  </si>
  <si>
    <t>5RUP062</t>
  </si>
  <si>
    <t>CASCO RUDY PROJECT ROCKY NEGRO J SHL700031</t>
  </si>
  <si>
    <t>B1512M3</t>
  </si>
  <si>
    <t>BICI 12 ALCATRAZ JR GRIS NEGRO</t>
  </si>
  <si>
    <t>B1512M6</t>
  </si>
  <si>
    <t>BICI 12 ALCATRAZ JR CELESTE ROSADO</t>
  </si>
  <si>
    <t>5LEAJ1S</t>
  </si>
  <si>
    <t>JERSEY LEATT L/5023036503 ZOMBIE/GRAVITY</t>
  </si>
  <si>
    <t>5LEAJ46</t>
  </si>
  <si>
    <t>JERSEY LEATT MTB S/5024120411 BLACK/GRAV</t>
  </si>
  <si>
    <t>B15R01B</t>
  </si>
  <si>
    <t>KIT MARIN EJE ATORNILLA 100X12MM/728549</t>
  </si>
  <si>
    <t>B15R01C</t>
  </si>
  <si>
    <t>KIT MARIN EJE ATORNILLA 142X12MM/728551</t>
  </si>
  <si>
    <t>5LTW000</t>
  </si>
  <si>
    <t>PALANCA CAMBIOS 12 VEL/SLA12/DORADO</t>
  </si>
  <si>
    <t>5LTW001</t>
  </si>
  <si>
    <t>PALANCA CAMBIOS 12 VEL/SL-AT12</t>
  </si>
  <si>
    <t>B15412S</t>
  </si>
  <si>
    <t>BICI 12 RIDER X-4 NEGRO/RJ</t>
  </si>
  <si>
    <t>B15412E</t>
  </si>
  <si>
    <t>BICICLETA 12 RIDER X-5 ROJO/NEGRO</t>
  </si>
  <si>
    <t>MAL ESTADO</t>
  </si>
  <si>
    <t>—</t>
  </si>
  <si>
    <t>Mercadería dañada (ver anexo fotográfico pág. 8)</t>
  </si>
  <si>
    <t>B15AL64</t>
  </si>
  <si>
    <t>BICI 12 ALCATRAZ JR AZUL GM66-4</t>
  </si>
  <si>
    <t>5OAKF82</t>
  </si>
  <si>
    <t>GORRA 9B2U FOS901222 47 OAKLEY B1B ELLIP</t>
  </si>
  <si>
    <t>5ALPG84</t>
  </si>
  <si>
    <t>GUANTES ALPINESTARS YOUTH ASPEN MAZUL 1544</t>
  </si>
  <si>
    <t>BGI0286</t>
  </si>
  <si>
    <t>H.SET PARTS 1310-PROPEL-0001</t>
  </si>
  <si>
    <t>BGI0366</t>
  </si>
  <si>
    <t>ASSEMBLE PTS 99122G9003S1K</t>
  </si>
  <si>
    <t>5DTY0GJ</t>
  </si>
  <si>
    <t>GRIPS DEITY LOCKJAW/26-LKJAW-PK ROSADO</t>
  </si>
  <si>
    <t>B150011</t>
  </si>
  <si>
    <t>HEADSET ASSEMBLY A/738409</t>
  </si>
  <si>
    <t>5CBRM04</t>
  </si>
  <si>
    <t>MEDIAS CRANK BROTHERS MTB NEGRO ROJO XL8123</t>
  </si>
  <si>
    <t>9MMB0SK</t>
  </si>
  <si>
    <t>LLANTA KENDA PBICI 70036C K1065A</t>
  </si>
  <si>
    <t>5DYE022</t>
  </si>
  <si>
    <t>PEGATINA P/HORQUILLA D/BICI/DBF 11184</t>
  </si>
  <si>
    <t>4GIA02A</t>
  </si>
  <si>
    <t>GIANT PORTACARAMANOLA ARX 490000145</t>
  </si>
  <si>
    <t>5DYE023</t>
  </si>
  <si>
    <t>PEGATINA P/MANIVELA D/BICI/DBF 11169</t>
  </si>
  <si>
    <t>5LD3858</t>
  </si>
  <si>
    <t>GUANTE AZUL ROJO M A1-05-1617</t>
  </si>
  <si>
    <t>4P46010</t>
  </si>
  <si>
    <t>LIMPIADOR DEASIENTOS MOTOS Y BICIC ADH</t>
  </si>
  <si>
    <t>4GIA313</t>
  </si>
  <si>
    <t>GATEWAY 6MM SILVER 490000021</t>
  </si>
  <si>
    <t>B150010</t>
  </si>
  <si>
    <t>REV D BUSHING/110000/MARIN</t>
  </si>
  <si>
    <t>4P46015</t>
  </si>
  <si>
    <t>LIMPIADOR MULTIPROPOSIT MOTS Y BICIC ADH</t>
  </si>
  <si>
    <t>5LGAJAN</t>
  </si>
  <si>
    <t>JERSEY LG W'S DISTRICT 2 S VERD GRIS FLOR</t>
  </si>
  <si>
    <t>B15SO03</t>
  </si>
  <si>
    <t>BICI 12 SONIC ROJO 013</t>
  </si>
  <si>
    <t>4GIA031</t>
  </si>
  <si>
    <t>PORTACARAMANOLA LIV PROWAY 490000065</t>
  </si>
  <si>
    <t>4GIA02U</t>
  </si>
  <si>
    <t>PORTACARAMANOLA LIV PROWAY 490000064</t>
  </si>
  <si>
    <t>BGI0139</t>
  </si>
  <si>
    <t>H.WASHER/SPACER 1319-PROPEL-0003</t>
  </si>
  <si>
    <t>4GIA090</t>
  </si>
  <si>
    <t>CREST BRAKE CABLA 91234SCREWA1K</t>
  </si>
  <si>
    <t>5RUP002</t>
  </si>
  <si>
    <t>CASCO RUDY PROJECT RUSH NEGRO LHL570133</t>
  </si>
  <si>
    <t>5RUP023</t>
  </si>
  <si>
    <t>CASCO RUDY PROJECT STRYM ROJO LHL640052</t>
  </si>
  <si>
    <t>4MA000O</t>
  </si>
  <si>
    <t>PORTA BICI PARA AUTOS DESING MOMO BR003</t>
  </si>
  <si>
    <t>4MA0000</t>
  </si>
  <si>
    <t>BZAP04A</t>
  </si>
  <si>
    <t>ZAPATOS CICLISMO MARIN 40 AT612 ENDURANC</t>
  </si>
  <si>
    <t>BZAP04C</t>
  </si>
  <si>
    <t>ZAPATOS CICLISMO MARIN 42 AT612 ENDURANC</t>
  </si>
  <si>
    <t>5ALPE0E</t>
  </si>
  <si>
    <t>BUSO C/CAPUCHA ALPIN/1213-51660/1020/S/R</t>
  </si>
  <si>
    <t>5ALPE0G</t>
  </si>
  <si>
    <t>BUSO C/CAPUCHA ALPIN/1213-51660/1020/L/R</t>
  </si>
  <si>
    <t>5LEAB03</t>
  </si>
  <si>
    <t>GAFAS LEATT 8023020270 VELOCITY 5.5/IRIZ</t>
  </si>
  <si>
    <t>5LEAB01</t>
  </si>
  <si>
    <t>GAFAS LEATT 8023020160 VELOCITY 6.5/CITR</t>
  </si>
  <si>
    <t>5LGAZ80</t>
  </si>
  <si>
    <t>ZAPATO CICLIS LG T44/1487323-391 CAFE NE</t>
  </si>
  <si>
    <t>5LGAZ79</t>
  </si>
  <si>
    <t>ZAPATO CICLISMO LG HILLIBILLI CAFE NEGRO T</t>
  </si>
  <si>
    <t>XRT0472</t>
  </si>
  <si>
    <t>HYDRA GEL GUARANA CAFEINA GOLDNUTRITION</t>
  </si>
  <si>
    <t>5LGAG03</t>
  </si>
  <si>
    <t>GUANTES LG DITCH NEGRO L 1482004 CABALLERO</t>
  </si>
  <si>
    <t>5LGAG63</t>
  </si>
  <si>
    <t>GUANTES LG DITCH 354 ROJOS 1482004 CABALL</t>
  </si>
  <si>
    <t>5LGAG64</t>
  </si>
  <si>
    <t>GUANTES LG DITCH 354 ROJO XL 1482004 CABALL</t>
  </si>
  <si>
    <t>X9000ANI</t>
  </si>
  <si>
    <t>SOPORTE ELITE ALA BLACK/RED GRAPHICS AI-</t>
  </si>
  <si>
    <t>X91006KE</t>
  </si>
  <si>
    <t>ENERGY GEL FRUTOS SILVESTRES WILD BERRI</t>
  </si>
  <si>
    <t>5LGAC1B</t>
  </si>
  <si>
    <t>CHALECO LG/W'S BEEZE 4 S/1042078-20 NEG</t>
  </si>
  <si>
    <t>5LGAC0A</t>
  </si>
  <si>
    <t>CHALECO LG/W'S NOVA 2/GRIS NEGRO/XS 102</t>
  </si>
  <si>
    <t>9TUB003</t>
  </si>
  <si>
    <t>TUBO KENDA P/BICI 24X2.125 A/V 40L</t>
  </si>
  <si>
    <t>5SKB346</t>
  </si>
  <si>
    <t>ZAP SK W PERFORMANCE 125640/WMLT T:6.5</t>
  </si>
  <si>
    <t>5SKB304</t>
  </si>
  <si>
    <t>ZAP SK W GLIDE-STEP 180274-BRMT T:6.5</t>
  </si>
  <si>
    <t>5LEA141</t>
  </si>
  <si>
    <t>BUSO+PANTALON LEATT XL/5023033055 RED/3.</t>
  </si>
  <si>
    <t>5LEA2M1</t>
  </si>
  <si>
    <t>RIDE KIT MTB 5025108443 M 1.0 JR #M/EU13</t>
  </si>
  <si>
    <t>5RUP093</t>
  </si>
  <si>
    <t>CASCO RUDY/HL760031/CROSSWAY/S-M</t>
  </si>
  <si>
    <t>5RUP080</t>
  </si>
  <si>
    <t>CASCO RUDY PROJECT CROSSWAY NARAN LHL760052</t>
  </si>
  <si>
    <t>5CBRZ4B</t>
  </si>
  <si>
    <t>ZAPATO CICLIS CB 6/MAL17040S060 MALLET L</t>
  </si>
  <si>
    <t>5CBR829</t>
  </si>
  <si>
    <t>ZAPATO CICLIS CB 7.5/MAL29546A075 MALLET</t>
  </si>
  <si>
    <t>5SK0649</t>
  </si>
  <si>
    <t>ZAPATO 220872TPMT9.5 MEN PERFORMANCE CRE</t>
  </si>
  <si>
    <t>5SKB289</t>
  </si>
  <si>
    <t>ZAP SK M LOS ANGELES 183140/WBK T:8</t>
  </si>
  <si>
    <t>CADUCADO</t>
  </si>
  <si>
    <t>X91006KC</t>
  </si>
  <si>
    <t>BARRA SALT HAZELNUT AVELLANACHOCOLATE</t>
  </si>
  <si>
    <t>X91006KD</t>
  </si>
  <si>
    <t>GOLDDRINK ISOTONICO FRUTOS TROPICALES</t>
  </si>
  <si>
    <t>X960656</t>
  </si>
  <si>
    <t>PERPETUEM ORANGE VAINILLA SINGLE PO12C</t>
  </si>
  <si>
    <t>Faltantes</t>
  </si>
  <si>
    <t>4C22126</t>
  </si>
  <si>
    <t>CANDADO P/ LLANTA 10X600MM SILICONE GTI</t>
  </si>
  <si>
    <t>AUD-GO-BIKESHOP-DAULE-004-001-V1</t>
  </si>
  <si>
    <t>57CH00I</t>
  </si>
  <si>
    <t>CAMISETA AZUL CABALLERO TL 21572</t>
  </si>
  <si>
    <t>5XED005</t>
  </si>
  <si>
    <t>BALON D/FUTBOL #5 400-420G SMTPU4071A/B/</t>
  </si>
  <si>
    <t>5XED006</t>
  </si>
  <si>
    <t>BALON D/FUTBOL  #5 PVC 2,7MM SMPVC4088</t>
  </si>
  <si>
    <t>9LLE00I</t>
  </si>
  <si>
    <t>LLANTA BICI NINE LINE 2.25 29 WTB COMP</t>
  </si>
  <si>
    <t>9TUB001</t>
  </si>
  <si>
    <t>TUBO KENDA P/BICI 16*1,75/2.125 A/V 40L</t>
  </si>
  <si>
    <t>B15A169</t>
  </si>
  <si>
    <t>BICI 16 LASER NINA FUCSIA</t>
  </si>
  <si>
    <t>BZAP07S</t>
  </si>
  <si>
    <t>ZAPATO CICLIS MRN 37 MR1385 TEAM X1 NEGR</t>
  </si>
  <si>
    <t>X9000OH</t>
  </si>
  <si>
    <t>CABLE SHIM FRENO MTB 1.6X2050 BOX 100PCS</t>
  </si>
  <si>
    <t>X9609IO</t>
  </si>
  <si>
    <t>CAMISETA JERSEY DE NINA MARIN T-6 VAR CO</t>
  </si>
  <si>
    <t>Sobrantes</t>
  </si>
  <si>
    <t>5GIA260</t>
  </si>
  <si>
    <t>LIV PDQ QUICK FIX KIT-ROAD 61000124</t>
  </si>
  <si>
    <t>5XED001</t>
  </si>
  <si>
    <t>BALON D/BASKET ESP #7 580-650G BR2838A/B</t>
  </si>
  <si>
    <t>9LLE01E</t>
  </si>
  <si>
    <t>VALVULA PRESTA ROJA 34MM 2PCS W095-0006</t>
  </si>
  <si>
    <t>5LD3820</t>
  </si>
  <si>
    <t>GUANTE ROJO NEGRO M A1-08-888</t>
  </si>
  <si>
    <t>5CBR300</t>
  </si>
  <si>
    <t>KIT CALAS NO FLOAT/15338</t>
  </si>
  <si>
    <t>Sobrantes cruces</t>
  </si>
  <si>
    <t>BGI0199</t>
  </si>
  <si>
    <t>TALON 29 2 M DRIED MATCHA 1095009325</t>
  </si>
  <si>
    <t>5LD3853</t>
  </si>
  <si>
    <t>GUANTE ROJO-NEGRO L A1-05-1617</t>
  </si>
  <si>
    <t>X9129GO</t>
  </si>
  <si>
    <t>LICRA DE CICLISMO T-M</t>
  </si>
  <si>
    <t>5CBRZ4A</t>
  </si>
  <si>
    <t>ZAPATO CICLIS CB 5/MAL17040S050 MALLET L</t>
  </si>
  <si>
    <t>B15326T</t>
  </si>
  <si>
    <t>BICICLETA GTI 26 ROXY GM888 GRISFUCSIA</t>
  </si>
  <si>
    <t>Faltantes cruces</t>
  </si>
  <si>
    <t>BGI0195</t>
  </si>
  <si>
    <t>Talon 29 2 M Asphalt Green 1095009125</t>
  </si>
  <si>
    <t>5LD3852</t>
  </si>
  <si>
    <t>GUANTE ROJO-NEGRO M A1-05-1617</t>
  </si>
  <si>
    <t>X912AU4</t>
  </si>
  <si>
    <t>LICRA CICLISMO HOMBRE CON BADANA2 T-P</t>
  </si>
  <si>
    <t>5CBRZ09</t>
  </si>
  <si>
    <t>ZAPATO CICLIS CRANK BROTT10 STAMP SPEEDL</t>
  </si>
  <si>
    <t>B151274</t>
  </si>
  <si>
    <t>BICI 29 SPICE ROSADO BLANCO</t>
  </si>
  <si>
    <t>CONTRALORÍA INTELIGENTE GOH — PENDIENTES POR TIENDA</t>
  </si>
  <si>
    <t>Pendientes de facturar | Ítems en mecánica | Garantías | Requerimientos — NO son diferencias de auditoría</t>
  </si>
  <si>
    <t>REF. INFORME</t>
  </si>
  <si>
    <t>RESULT. A COBRAR</t>
  </si>
  <si>
    <t>TOTAL COSTO NETO</t>
  </si>
  <si>
    <t>COSTO T.</t>
  </si>
  <si>
    <t>PRECIO T.</t>
  </si>
  <si>
    <t>DIFERENCIA COSTO</t>
  </si>
  <si>
    <t>DIFERENCIA P.V.P</t>
  </si>
  <si>
    <t>AUD-GO-FAW-SHANTUI-RACAR-003-001-V1</t>
  </si>
  <si>
    <t>En revision de datos y firmas</t>
  </si>
  <si>
    <t>Datos correctos e informe firmado recibido</t>
  </si>
  <si>
    <t>Incluido en memo al Contralor</t>
  </si>
  <si>
    <t>Firmado por el Contralor</t>
  </si>
  <si>
    <t>Pasado a RRHH para cobro</t>
  </si>
  <si>
    <t>Descuento aplicado por RRHH</t>
  </si>
  <si>
    <t>En proceso de aprobacion de ajustes</t>
  </si>
  <si>
    <t>Procesado - Cobrado</t>
  </si>
  <si>
    <t>Procesado - No Cobrado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</si>
</sst>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Red]&quot;$&quot;\-#,##0.00"/>
    <numFmt numFmtId="164" formatCode="dd/mm/yyyy"/>
    <numFmt numFmtId="165" formatCode="\$#,##0.00;\(\$#,##0.00\);&quot;-&quot;"/>
    <numFmt numFmtId="166" formatCode="&quot;$&quot;#,##0.00"/>
  </numFmts>
  <fonts count="20" x14ac:knownFonts="1">
    <font>
      <sz val="11"/>
      <color theme="1"/>
      <name val="Calibri"/>
      <family val="2"/>
      <scheme val="minor"/>
    </font>
    <font>
      <b/>
      <sz val="13"/>
      <color rgb="FFFFFFFF"/>
      <name val="Arial"/>
      <family val="2"/>
    </font>
    <font>
      <i/>
      <sz val="8"/>
      <color rgb="FF1F3864"/>
      <name val="Arial"/>
      <family val="2"/>
    </font>
    <font>
      <b/>
      <sz val="9"/>
      <color rgb="FFFFFFFF"/>
      <name val="Arial"/>
      <family val="2"/>
    </font>
    <font>
      <b/>
      <sz val="8"/>
      <color rgb="FFFFFFFF"/>
      <name val="Arial"/>
      <family val="2"/>
    </font>
    <font>
      <sz val="8"/>
      <color rgb="FF000000"/>
      <name val="Arial"/>
      <family val="2"/>
    </font>
    <font>
      <sz val="8"/>
      <color rgb="FF9C0006"/>
      <name val="Arial"/>
      <family val="2"/>
    </font>
    <font>
      <sz val="8"/>
      <color rgb="FF276221"/>
      <name val="Arial"/>
      <family val="2"/>
    </font>
    <font>
      <sz val="8"/>
      <color rgb="FF1D6A39"/>
      <name val="Arial"/>
      <family val="2"/>
    </font>
    <font>
      <sz val="8"/>
      <color rgb="FF7B2C2C"/>
      <name val="Arial"/>
      <family val="2"/>
    </font>
    <font>
      <sz val="8"/>
      <color rgb="FF7D6608"/>
      <name val="Arial"/>
      <family val="2"/>
    </font>
    <font>
      <sz val="8"/>
      <color rgb="FF833C00"/>
      <name val="Arial"/>
      <family val="2"/>
    </font>
    <font>
      <sz val="8"/>
      <name val="Arial"/>
      <family val="2"/>
    </font>
    <font>
      <sz val="8"/>
      <name val="Arial"/>
      <family val="2"/>
    </font>
    <font>
      <sz val="10"/>
      <color rgb="FF000000"/>
      <name val="Arial"/>
      <family val="2"/>
    </font>
    <font>
      <sz val="10"/>
      <name val="Arial"/>
      <family val="2"/>
    </font>
    <font>
      <sz val="10"/>
      <color rgb="FF000000"/>
      <name val="Arial"/>
      <family val="2"/>
    </font>
    <font>
      <sz val="10"/>
      <name val="Arial"/>
      <family val="2"/>
    </font>
    <font>
      <sz val="10"/>
      <color rgb="FF000000"/>
      <name val="Arial"/>
    </font>
    <font>
      <sz val="10"/>
      <name val="Arial"/>
    </font>
  </fonts>
  <fills count="18">
    <fill>
      <patternFill patternType="none"/>
    </fill>
    <fill>
      <patternFill patternType="gray125"/>
    </fill>
    <fill>
      <patternFill patternType="solid">
        <fgColor rgb="FF1F3864"/>
      </patternFill>
    </fill>
    <fill>
      <patternFill patternType="solid">
        <fgColor rgb="FFBDD7EE"/>
      </patternFill>
    </fill>
    <fill>
      <patternFill patternType="solid">
        <fgColor rgb="FF2E5FA3"/>
      </patternFill>
    </fill>
    <fill>
      <patternFill patternType="solid">
        <fgColor rgb="FF1F5C8B"/>
      </patternFill>
    </fill>
    <fill>
      <patternFill patternType="solid">
        <fgColor rgb="FFFFB3B3"/>
      </patternFill>
    </fill>
    <fill>
      <patternFill patternType="solid">
        <fgColor rgb="FFFCE4D6"/>
      </patternFill>
    </fill>
    <fill>
      <patternFill patternType="solid">
        <fgColor rgb="FFC6EFCE"/>
      </patternFill>
    </fill>
    <fill>
      <patternFill patternType="solid">
        <fgColor rgb="FFD5F5E3"/>
      </patternFill>
    </fill>
    <fill>
      <patternFill patternType="solid">
        <fgColor rgb="FFFADADD"/>
      </patternFill>
    </fill>
    <fill>
      <patternFill patternType="solid">
        <fgColor rgb="FFFFEB9C"/>
      </patternFill>
    </fill>
    <fill>
      <patternFill patternType="solid">
        <fgColor rgb="FFF2F2F2"/>
      </patternFill>
    </fill>
    <fill>
      <patternFill patternType="solid">
        <fgColor rgb="FFF9F9F9"/>
      </patternFill>
    </fill>
    <fill>
      <patternFill patternType="solid">
        <fgColor rgb="FFFFFFFF"/>
      </patternFill>
    </fill>
    <fill>
      <patternFill patternType="solid">
        <fgColor rgb="FFFFFFFF"/>
      </patternFill>
    </fill>
    <fill>
      <patternFill patternType="solid">
        <fgColor rgb="FFFFFFFF"/>
      </patternFill>
    </fill>
    <fill>
      <patternFill patternType="solid">
        <fgColor rgb="FFF2F2F2"/>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78">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6" fillId="6" borderId="1" xfId="0" applyFont="1" applyFill="1" applyBorder="1" applyAlignment="1">
      <alignment horizontal="center" vertical="center" wrapText="1"/>
    </xf>
    <xf numFmtId="0" fontId="6" fillId="6" borderId="1" xfId="0" applyFont="1" applyFill="1" applyBorder="1" applyAlignment="1">
      <alignment horizontal="left" vertical="center" wrapText="1"/>
    </xf>
    <xf numFmtId="0" fontId="7" fillId="8" borderId="1" xfId="0" applyFont="1" applyFill="1" applyBorder="1" applyAlignment="1">
      <alignment horizontal="center" vertical="center" wrapText="1"/>
    </xf>
    <xf numFmtId="0" fontId="7" fillId="8" borderId="1" xfId="0" applyFont="1" applyFill="1" applyBorder="1" applyAlignment="1">
      <alignment horizontal="left" vertical="center" wrapText="1"/>
    </xf>
    <xf numFmtId="0" fontId="8" fillId="9" borderId="1" xfId="0" applyFont="1" applyFill="1" applyBorder="1" applyAlignment="1">
      <alignment horizontal="center" vertical="center" wrapText="1"/>
    </xf>
    <xf numFmtId="0" fontId="8" fillId="9" borderId="1" xfId="0" applyFont="1" applyFill="1" applyBorder="1" applyAlignment="1">
      <alignment horizontal="left" vertical="center" wrapText="1"/>
    </xf>
    <xf numFmtId="0" fontId="9" fillId="10" borderId="1" xfId="0" applyFont="1" applyFill="1" applyBorder="1" applyAlignment="1">
      <alignment horizontal="center" vertical="center" wrapText="1"/>
    </xf>
    <xf numFmtId="0" fontId="9" fillId="10" borderId="1" xfId="0" applyFont="1" applyFill="1" applyBorder="1" applyAlignment="1">
      <alignment horizontal="left" vertical="center" wrapText="1"/>
    </xf>
    <xf numFmtId="0" fontId="10" fillId="11" borderId="1" xfId="0" applyFont="1" applyFill="1" applyBorder="1" applyAlignment="1">
      <alignment horizontal="center" vertical="center" wrapText="1"/>
    </xf>
    <xf numFmtId="0" fontId="10" fillId="11" borderId="1" xfId="0" applyFont="1" applyFill="1" applyBorder="1" applyAlignment="1">
      <alignment horizontal="left" vertical="center" wrapText="1"/>
    </xf>
    <xf numFmtId="0" fontId="11" fillId="7" borderId="1" xfId="0" applyFont="1" applyFill="1" applyBorder="1" applyAlignment="1">
      <alignment horizontal="center" vertical="center" wrapText="1"/>
    </xf>
    <xf numFmtId="0" fontId="11" fillId="7" borderId="1" xfId="0" applyFont="1" applyFill="1" applyBorder="1" applyAlignment="1">
      <alignment horizontal="left" vertical="center" wrapText="1"/>
    </xf>
    <xf numFmtId="164" fontId="5" fillId="0" borderId="1" xfId="0" applyNumberFormat="1" applyFont="1" applyBorder="1" applyAlignment="1">
      <alignment horizontal="center" vertical="center" wrapText="1"/>
    </xf>
    <xf numFmtId="165" fontId="5" fillId="0" borderId="1" xfId="0" applyNumberFormat="1" applyFont="1" applyBorder="1" applyAlignment="1">
      <alignment horizontal="right" vertical="center" wrapText="1"/>
    </xf>
    <xf numFmtId="165" fontId="6" fillId="6" borderId="1" xfId="0" applyNumberFormat="1" applyFont="1" applyFill="1" applyBorder="1" applyAlignment="1">
      <alignment horizontal="center" vertical="center" wrapText="1"/>
    </xf>
    <xf numFmtId="164" fontId="6" fillId="6" borderId="1" xfId="0" applyNumberFormat="1" applyFont="1" applyFill="1" applyBorder="1" applyAlignment="1">
      <alignment horizontal="center" vertical="center" wrapText="1"/>
    </xf>
    <xf numFmtId="165" fontId="7" fillId="8" borderId="1" xfId="0" applyNumberFormat="1" applyFont="1" applyFill="1" applyBorder="1" applyAlignment="1">
      <alignment horizontal="center" vertical="center" wrapText="1"/>
    </xf>
    <xf numFmtId="164" fontId="7" fillId="8" borderId="1" xfId="0" applyNumberFormat="1" applyFont="1" applyFill="1" applyBorder="1" applyAlignment="1">
      <alignment horizontal="center" vertical="center" wrapText="1"/>
    </xf>
    <xf numFmtId="165" fontId="8" fillId="9" borderId="1" xfId="0" applyNumberFormat="1" applyFont="1" applyFill="1" applyBorder="1" applyAlignment="1">
      <alignment horizontal="center" vertical="center" wrapText="1"/>
    </xf>
    <xf numFmtId="164" fontId="8" fillId="9" borderId="1" xfId="0" applyNumberFormat="1" applyFont="1" applyFill="1" applyBorder="1" applyAlignment="1">
      <alignment horizontal="center" vertical="center" wrapText="1"/>
    </xf>
    <xf numFmtId="165" fontId="9" fillId="10" borderId="1" xfId="0" applyNumberFormat="1" applyFont="1" applyFill="1" applyBorder="1" applyAlignment="1">
      <alignment horizontal="center" vertical="center" wrapText="1"/>
    </xf>
    <xf numFmtId="164" fontId="9" fillId="10" borderId="1" xfId="0" applyNumberFormat="1" applyFont="1" applyFill="1" applyBorder="1" applyAlignment="1">
      <alignment horizontal="center" vertical="center" wrapText="1"/>
    </xf>
    <xf numFmtId="165" fontId="10" fillId="11" borderId="1" xfId="0" applyNumberFormat="1" applyFont="1" applyFill="1" applyBorder="1" applyAlignment="1">
      <alignment horizontal="center" vertical="center" wrapText="1"/>
    </xf>
    <xf numFmtId="164" fontId="10" fillId="11" borderId="1" xfId="0" applyNumberFormat="1" applyFont="1" applyFill="1" applyBorder="1" applyAlignment="1">
      <alignment horizontal="center" vertical="center" wrapText="1"/>
    </xf>
    <xf numFmtId="165" fontId="11" fillId="7" borderId="1" xfId="0" applyNumberFormat="1" applyFont="1" applyFill="1" applyBorder="1" applyAlignment="1">
      <alignment horizontal="center" vertical="center" wrapText="1"/>
    </xf>
    <xf numFmtId="164" fontId="11" fillId="7" borderId="1" xfId="0" applyNumberFormat="1" applyFont="1" applyFill="1" applyBorder="1" applyAlignment="1">
      <alignment horizontal="center" vertical="center" wrapText="1"/>
    </xf>
    <xf numFmtId="0" fontId="12" fillId="0" borderId="4" xfId="0" applyFont="1" applyBorder="1" applyAlignment="1">
      <alignment horizontal="center" vertical="center" wrapText="1"/>
    </xf>
    <xf numFmtId="165" fontId="12" fillId="0" borderId="4" xfId="0" applyNumberFormat="1" applyFont="1" applyBorder="1" applyAlignment="1">
      <alignment horizontal="center" vertical="center" wrapText="1"/>
    </xf>
    <xf numFmtId="0" fontId="13" fillId="0" borderId="5" xfId="0" applyFont="1" applyBorder="1" applyAlignment="1">
      <alignment horizontal="center" vertical="center" wrapText="1"/>
    </xf>
    <xf numFmtId="165" fontId="13" fillId="0" borderId="5" xfId="0" applyNumberFormat="1" applyFont="1" applyBorder="1" applyAlignment="1">
      <alignment horizontal="center" vertical="center" wrapText="1"/>
    </xf>
    <xf numFmtId="16" fontId="13" fillId="0" borderId="5" xfId="0" applyNumberFormat="1" applyFont="1" applyBorder="1" applyAlignment="1">
      <alignment horizontal="center" vertical="center" wrapText="1"/>
    </xf>
    <xf numFmtId="17" fontId="13" fillId="0" borderId="5" xfId="0" applyNumberFormat="1" applyFont="1" applyBorder="1" applyAlignment="1">
      <alignment horizontal="center" vertical="center" wrapText="1"/>
    </xf>
    <xf numFmtId="14" fontId="12" fillId="0" borderId="4" xfId="0" applyNumberFormat="1" applyFont="1" applyBorder="1" applyAlignment="1">
      <alignment horizontal="center" vertical="center" wrapText="1"/>
    </xf>
    <xf numFmtId="14" fontId="13" fillId="0" borderId="5" xfId="0" applyNumberFormat="1" applyFont="1" applyBorder="1" applyAlignment="1">
      <alignment horizontal="center" vertical="center" wrapText="1"/>
    </xf>
    <xf numFmtId="165" fontId="5" fillId="0" borderId="5" xfId="0" applyNumberFormat="1" applyFont="1" applyBorder="1" applyAlignment="1">
      <alignment horizontal="right" vertical="center" wrapText="1"/>
    </xf>
    <xf numFmtId="0" fontId="12" fillId="0" borderId="5" xfId="0" applyFont="1" applyBorder="1" applyAlignment="1">
      <alignment horizontal="center" vertical="center" wrapText="1"/>
    </xf>
    <xf numFmtId="0" fontId="4" fillId="2" borderId="5" xfId="0" applyFont="1" applyFill="1" applyBorder="1" applyAlignment="1">
      <alignment horizontal="center" vertical="center" wrapText="1"/>
    </xf>
    <xf numFmtId="165" fontId="5" fillId="0" borderId="4" xfId="0" applyNumberFormat="1" applyFont="1" applyBorder="1" applyAlignment="1">
      <alignment horizontal="right" vertical="center" wrapText="1"/>
    </xf>
    <xf numFmtId="0" fontId="2" fillId="3" borderId="0" xfId="0" applyFont="1" applyFill="1" applyAlignment="1">
      <alignment vertical="center"/>
    </xf>
    <xf numFmtId="166" fontId="0" fillId="0" borderId="0" xfId="0" applyNumberFormat="1"/>
    <xf numFmtId="0" fontId="5" fillId="0" borderId="5" xfId="0" applyFont="1" applyBorder="1" applyAlignment="1">
      <alignment horizontal="center" vertical="center" wrapText="1"/>
    </xf>
    <xf numFmtId="0" fontId="14" fillId="12" borderId="6" xfId="0" applyFont="1" applyFill="1" applyBorder="1" applyAlignment="1">
      <alignment horizontal="left" vertical="center" wrapText="1"/>
    </xf>
    <xf numFmtId="164" fontId="14" fillId="12" borderId="6" xfId="0" applyNumberFormat="1" applyFont="1" applyFill="1" applyBorder="1" applyAlignment="1">
      <alignment horizontal="left" vertical="center" wrapText="1"/>
    </xf>
    <xf numFmtId="166" fontId="14" fillId="12" borderId="6" xfId="0" applyNumberFormat="1" applyFont="1" applyFill="1" applyBorder="1" applyAlignment="1">
      <alignment horizontal="left" vertical="center" wrapText="1"/>
    </xf>
    <xf numFmtId="0" fontId="15" fillId="13" borderId="6" xfId="0" applyFont="1" applyFill="1" applyBorder="1" applyAlignment="1">
      <alignment horizontal="left" vertical="center"/>
    </xf>
    <xf numFmtId="166" fontId="15" fillId="13" borderId="6" xfId="0" applyNumberFormat="1" applyFont="1" applyFill="1" applyBorder="1" applyAlignment="1">
      <alignment horizontal="left" vertical="center"/>
    </xf>
    <xf numFmtId="164" fontId="15" fillId="13" borderId="6" xfId="0" applyNumberFormat="1" applyFont="1" applyFill="1" applyBorder="1" applyAlignment="1">
      <alignment horizontal="left" vertical="center"/>
    </xf>
    <xf numFmtId="0" fontId="15" fillId="14" borderId="6" xfId="0" applyFont="1" applyFill="1" applyBorder="1" applyAlignment="1">
      <alignment horizontal="left" vertical="center"/>
    </xf>
    <xf numFmtId="166" fontId="15" fillId="14" borderId="6" xfId="0" applyNumberFormat="1" applyFont="1" applyFill="1" applyBorder="1" applyAlignment="1">
      <alignment horizontal="left" vertical="center"/>
    </xf>
    <xf numFmtId="164" fontId="15" fillId="14" borderId="6" xfId="0" applyNumberFormat="1" applyFont="1" applyFill="1" applyBorder="1" applyAlignment="1">
      <alignment horizontal="left" vertical="center"/>
    </xf>
    <xf numFmtId="0" fontId="15" fillId="12" borderId="6" xfId="0" applyFont="1" applyFill="1" applyBorder="1" applyAlignment="1">
      <alignment horizontal="left" vertical="center"/>
    </xf>
    <xf numFmtId="166" fontId="15" fillId="12" borderId="6" xfId="0" applyNumberFormat="1" applyFont="1" applyFill="1" applyBorder="1" applyAlignment="1">
      <alignment horizontal="left" vertical="center"/>
    </xf>
    <xf numFmtId="0" fontId="16" fillId="15" borderId="7" xfId="0" applyFont="1" applyFill="1" applyBorder="1" applyAlignment="1">
      <alignment horizontal="left" vertical="center" wrapText="1"/>
    </xf>
    <xf numFmtId="164" fontId="16" fillId="15" borderId="7" xfId="0" applyNumberFormat="1" applyFont="1" applyFill="1" applyBorder="1" applyAlignment="1">
      <alignment horizontal="left" vertical="center" wrapText="1"/>
    </xf>
    <xf numFmtId="166" fontId="16" fillId="15" borderId="7" xfId="0" applyNumberFormat="1" applyFont="1" applyFill="1" applyBorder="1" applyAlignment="1">
      <alignment horizontal="left" vertical="center" wrapText="1"/>
    </xf>
    <xf numFmtId="0" fontId="17" fillId="15" borderId="7" xfId="0" applyFont="1" applyFill="1" applyBorder="1" applyAlignment="1">
      <alignment horizontal="left" vertical="center"/>
    </xf>
    <xf numFmtId="166" fontId="17" fillId="15" borderId="7" xfId="0" applyNumberFormat="1" applyFont="1" applyFill="1" applyBorder="1" applyAlignment="1">
      <alignment horizontal="left" vertical="center"/>
    </xf>
    <xf numFmtId="0" fontId="0" fillId="0" borderId="0" xfId="0"/>
    <xf numFmtId="0" fontId="18" fillId="16" borderId="8" xfId="0" applyFont="1" applyFill="1" applyBorder="1" applyAlignment="1">
      <alignment horizontal="left" vertical="center" wrapText="1"/>
    </xf>
    <xf numFmtId="164" fontId="18" fillId="16" borderId="8" xfId="0" applyNumberFormat="1" applyFont="1" applyFill="1" applyBorder="1" applyAlignment="1">
      <alignment horizontal="left" vertical="center" wrapText="1"/>
    </xf>
    <xf numFmtId="166" fontId="18" fillId="16" borderId="8" xfId="0" applyNumberFormat="1" applyFont="1" applyFill="1" applyBorder="1" applyAlignment="1">
      <alignment horizontal="left" vertical="center" wrapText="1"/>
    </xf>
    <xf numFmtId="8" fontId="0" fillId="0" borderId="0" xfId="0" applyNumberFormat="1"/>
    <xf numFmtId="8" fontId="4" fillId="2" borderId="1" xfId="0" applyNumberFormat="1" applyFont="1" applyFill="1" applyBorder="1" applyAlignment="1">
      <alignment horizontal="center" vertical="center" wrapText="1"/>
    </xf>
    <xf numFmtId="0" fontId="19" fillId="17" borderId="8" xfId="0" applyFont="1" applyFill="1" applyBorder="1" applyAlignment="1">
      <alignment horizontal="left" vertical="center"/>
    </xf>
    <xf numFmtId="166" fontId="19" fillId="17" borderId="8" xfId="0" applyNumberFormat="1" applyFont="1" applyFill="1" applyBorder="1" applyAlignment="1">
      <alignment horizontal="left" vertical="center"/>
    </xf>
    <xf numFmtId="0" fontId="3" fillId="4" borderId="5" xfId="0" applyFont="1" applyFill="1" applyBorder="1" applyAlignment="1">
      <alignment horizontal="center" vertical="center" wrapText="1"/>
    </xf>
    <xf numFmtId="0" fontId="0" fillId="0" borderId="2" xfId="0" applyBorder="1"/>
    <xf numFmtId="0" fontId="0" fillId="0" borderId="3" xfId="0" applyBorder="1"/>
    <xf numFmtId="0" fontId="1" fillId="2" borderId="0" xfId="0" applyFont="1" applyFill="1" applyAlignment="1">
      <alignment horizontal="center" vertical="center"/>
    </xf>
    <xf numFmtId="0" fontId="0" fillId="0" borderId="0" xfId="0"/>
    <xf numFmtId="0" fontId="3" fillId="5"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2" fillId="3" borderId="0" xfId="0" applyFont="1" applyFill="1" applyAlignment="1">
      <alignment horizontal="center" vertical="center"/>
    </xf>
    <xf numFmtId="8" fontId="0" fillId="0" borderId="0" xfId="0" applyNumberFormat="1"/>
  </cellXfs>
  <cellStyles count="1">
    <cellStyle name="Normal" xfId="0" builtinId="0"/>
  </cellStyles>
  <dxfs count="19">
    <dxf>
      <fill>
        <patternFill patternType="solid">
          <fgColor rgb="FFFFF2CC"/>
        </patternFill>
      </fill>
    </dxf>
    <dxf>
      <fill>
        <patternFill patternType="solid">
          <fgColor rgb="FFFFB3B3"/>
        </patternFill>
      </fill>
    </dxf>
    <dxf>
      <fill>
        <patternFill patternType="solid">
          <fgColor rgb="FFC6EFCE"/>
        </patternFill>
      </fill>
    </dxf>
    <dxf>
      <fill>
        <patternFill patternType="solid">
          <fgColor rgb="FFDDEBF7"/>
        </patternFill>
      </fill>
    </dxf>
    <dxf>
      <font>
        <b/>
        <color rgb="FF276221"/>
      </font>
      <fill>
        <patternFill patternType="solid">
          <fgColor rgb="FFC6EFCE"/>
        </patternFill>
      </fill>
    </dxf>
    <dxf>
      <font>
        <b/>
        <color rgb="FF7D6608"/>
      </font>
      <fill>
        <patternFill patternType="solid">
          <fgColor rgb="FFFFEB9C"/>
        </patternFill>
      </fill>
    </dxf>
    <dxf>
      <font>
        <b/>
        <color rgb="FF9C0006"/>
      </font>
      <fill>
        <patternFill patternType="solid">
          <fgColor rgb="FFFFB3B3"/>
        </patternFill>
      </fill>
    </dxf>
    <dxf>
      <numFmt numFmtId="12" formatCode="&quot;$&quot;#,##0.00;[Red]&quot;$&quot;\-#,##0.00"/>
      <alignment horizontal="center" vertical="center"/>
    </dxf>
    <dxf>
      <numFmt numFmtId="12" formatCode="&quot;$&quot;#,##0.00;[Red]&quot;$&quot;\-#,##0.00"/>
      <alignment horizontal="center" vertical="center"/>
    </dxf>
    <dxf>
      <numFmt numFmtId="12" formatCode="&quot;$&quot;#,##0.00;[Red]&quot;$&quot;\-#,##0.00"/>
      <alignment horizontal="center" vertical="center"/>
    </dxf>
    <dxf>
      <numFmt numFmtId="12" formatCode="&quot;$&quot;#,##0.00;[Red]&quot;$&quot;\-#,##0.00"/>
      <alignment horizontal="center" vertical="center"/>
    </dxf>
    <dxf>
      <numFmt numFmtId="12" formatCode="&quot;$&quot;#,##0.00;[Red]&quot;$&quot;\-#,##0.00"/>
      <alignment horizontal="center" vertical="center"/>
    </dxf>
    <dxf>
      <numFmt numFmtId="12" formatCode="&quot;$&quot;#,##0.00;[Red]&quot;$&quot;\-#,##0.00"/>
      <alignment horizontal="center" vertical="center"/>
    </dxf>
    <dxf>
      <font>
        <strike val="0"/>
        <condense val="0"/>
        <extend val="0"/>
        <outline val="0"/>
        <shadow val="0"/>
        <vertAlign val="baseline"/>
        <sz val="8"/>
        <color auto="1"/>
        <name val="Arial"/>
        <family val="2"/>
      </font>
      <alignment horizontal="center"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8"/>
        <color rgb="FF000000"/>
        <name val="Arial"/>
        <family val="2"/>
      </font>
      <numFmt numFmtId="165" formatCode="\$#,##0.00;\(\$#,##0.00\);&quot;-&quot;"/>
      <alignment horizontal="right" vertical="center" wrapText="1"/>
      <border>
        <left style="thin">
          <color rgb="FFBFBFBF"/>
        </left>
        <right style="thin">
          <color rgb="FFBFBFBF"/>
        </right>
        <top style="thin">
          <color rgb="FFBFBFBF"/>
        </top>
        <bottom style="thin">
          <color rgb="FFBFBFBF"/>
        </bottom>
        <vertical/>
        <horizontal/>
      </border>
    </dxf>
    <dxf>
      <font>
        <strike val="0"/>
        <condense val="0"/>
        <extend val="0"/>
        <outline val="0"/>
        <shadow val="0"/>
        <vertAlign val="baseline"/>
        <sz val="8"/>
        <color rgb="FF000000"/>
        <name val="Arial"/>
        <family val="2"/>
      </font>
      <numFmt numFmtId="165" formatCode="\$#,##0.00;\(\$#,##0.00\);&quot;-&quot;"/>
      <alignment horizontal="right" vertical="center" wrapText="1"/>
      <border>
        <left style="thin">
          <color rgb="FFBFBFBF"/>
        </left>
        <right style="thin">
          <color rgb="FFBFBFBF"/>
        </right>
        <top style="thin">
          <color rgb="FFBFBFBF"/>
        </top>
        <bottom style="thin">
          <color rgb="FFBFBFBF"/>
        </bottom>
        <vertical/>
        <horizontal/>
      </border>
    </dxf>
    <dxf>
      <border outline="0">
        <left style="thin">
          <color rgb="FFBFBFBF"/>
        </left>
      </border>
    </dxf>
    <dxf>
      <alignment vertical="center" wrapText="1"/>
    </dxf>
    <dxf>
      <border outline="0">
        <right style="thin">
          <color rgb="FFBFBFBF"/>
        </right>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Auditorias" displayName="Tabla_Auditorias" ref="A4:AF65">
  <autoFilter ref="A4:AF65" xr:uid="{00000000-0009-0000-0100-000001000000}"/>
  <tableColumns count="32">
    <tableColumn id="1" xr3:uid="{00000000-0010-0000-0000-000001000000}" name="No."/>
    <tableColumn id="2" xr3:uid="{00000000-0010-0000-0000-000002000000}" name="ALMACÉN"/>
    <tableColumn id="3" xr3:uid="{00000000-0010-0000-0000-000003000000}" name="SOCIEDAD"/>
    <tableColumn id="4" xr3:uid="{00000000-0010-0000-0000-000004000000}" name="LÍNEA"/>
    <tableColumn id="5" xr3:uid="{00000000-0010-0000-0000-000005000000}" name="ZONA"/>
    <tableColumn id="6" xr3:uid="{00000000-0010-0000-0000-000006000000}" name="CE." dataDxfId="18"/>
    <tableColumn id="7" xr3:uid="{00000000-0010-0000-0000-000007000000}" name="AUDITOR" dataDxfId="17"/>
    <tableColumn id="8" xr3:uid="{00000000-0010-0000-0000-000008000000}" name="TIPO_x000a_AUDITORÍA" dataDxfId="16"/>
    <tableColumn id="9" xr3:uid="{00000000-0010-0000-0000-000009000000}" name="REF._x000a_INFORME"/>
    <tableColumn id="10" xr3:uid="{00000000-0010-0000-0000-00000A000000}" name="FECHA_x000a_AUDITORÍA"/>
    <tableColumn id="11" xr3:uid="{00000000-0010-0000-0000-00000B000000}" name="FECHA_x000a_ENVÍO"/>
    <tableColumn id="12" xr3:uid="{00000000-0010-0000-0000-00000C000000}" name="VERSIÓN"/>
    <tableColumn id="13" xr3:uid="{00000000-0010-0000-0000-00000D000000}" name="TOTAL_x000a_INVENTARIO_x000a_COSTO"/>
    <tableColumn id="14" xr3:uid="{00000000-0010-0000-0000-00000E000000}" name="SOBRANTES_x000a_PVP"/>
    <tableColumn id="15" xr3:uid="{00000000-0010-0000-0000-00000F000000}" name="FALTANTES_x000a_PVP"/>
    <tableColumn id="16" xr3:uid="{00000000-0010-0000-0000-000010000000}" name="DIF._x000a_CRUCES_x000a_PVP"/>
    <tableColumn id="17" xr3:uid="{00000000-0010-0000-0000-000011000000}" name="MAL ESTADO_x000a_CADUCADOS_x000a_PVP"/>
    <tableColumn id="18" xr3:uid="{00000000-0010-0000-0000-000012000000}" name="DEFECTOS_x000a_FÁBRICA_x000a_PVP"/>
    <tableColumn id="19" xr3:uid="{00000000-0010-0000-0000-000013000000}" name="OTROS_x000a_PVP"/>
    <tableColumn id="20" xr3:uid="{00000000-0010-0000-0000-000014000000}" name="RESULT._x000a_NETO_x000a_PVP"/>
    <tableColumn id="21" xr3:uid="{00000000-0010-0000-0000-000015000000}" name="RESULT._x000a_A COBRAR PVP" dataDxfId="15">
      <calculatedColumnFormula>N5+O5+P5+Q5+S5</calculatedColumnFormula>
    </tableColumn>
    <tableColumn id="31" xr3:uid="{00000000-0010-0000-0000-00001F000000}" name="RESULT._x000a_A COBRAR COSTO" dataDxfId="14"/>
    <tableColumn id="22" xr3:uid="{00000000-0010-0000-0000-000016000000}" name="AJUSTE_x000a_EGRESO_x000a_COSTO"/>
    <tableColumn id="23" xr3:uid="{00000000-0010-0000-0000-000017000000}" name="AJUSTE EGRESO_x000a_MAL ESTADO/_x000a_DEF."/>
    <tableColumn id="24" xr3:uid="{00000000-0010-0000-0000-000018000000}" name="AJUSTE_x000a_INGRESO_x000a_COSTO"/>
    <tableColumn id="25" xr3:uid="{00000000-0010-0000-0000-000019000000}" name="TOTAL_x000a_COSTO_x000a_NETO"/>
    <tableColumn id="26" xr3:uid="{00000000-0010-0000-0000-00001A000000}" name="RIESGO"/>
    <tableColumn id="27" xr3:uid="{00000000-0010-0000-0000-00001B000000}" name="SCORE_x000a_(0/100)"/>
    <tableColumn id="28" xr3:uid="{00000000-0010-0000-0000-00001C000000}" name="PEND._x000a_FACTURAR_x000a_COSTO"/>
    <tableColumn id="29" xr3:uid="{00000000-0010-0000-0000-00001D000000}" name="ESTADO_x000a_REGISTRO"/>
    <tableColumn id="32" xr3:uid="{00000000-0010-0000-0000-000020000000}" name="Ajuste (Si/No)" dataDxfId="13"/>
    <tableColumn id="30" xr3:uid="{00000000-0010-0000-0000-00001E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SKUs" displayName="Tabla_SKUs" ref="A3:L209">
  <autoFilter ref="A3:L209" xr:uid="{00000000-0009-0000-0100-000002000000}"/>
  <tableColumns count="12">
    <tableColumn id="1" xr3:uid="{00000000-0010-0000-0100-000001000000}" name="TIPO_x000a_HALLAZGO"/>
    <tableColumn id="2" xr3:uid="{00000000-0010-0000-0100-000002000000}" name="MATERIAL_x000a_(SKU)"/>
    <tableColumn id="3" xr3:uid="{00000000-0010-0000-0100-000003000000}" name="DESCRIPCIÓN"/>
    <tableColumn id="4" xr3:uid="{00000000-0010-0000-0100-000004000000}" name="CENTRO_x000a_(CE)"/>
    <tableColumn id="5" xr3:uid="{00000000-0010-0000-0100-000005000000}" name="CANTIDAD"/>
    <tableColumn id="6" xr3:uid="{00000000-0010-0000-0100-000006000000}" name="COSTO_x000a_UNITARIO"/>
    <tableColumn id="7" xr3:uid="{00000000-0010-0000-0100-000007000000}" name="PVP_x000a_UNITARIO"/>
    <tableColumn id="8" xr3:uid="{00000000-0010-0000-0100-000008000000}" name="COSTO_x000a_TOTAL"/>
    <tableColumn id="9" xr3:uid="{00000000-0010-0000-0100-000009000000}" name="PVP_x000a_TOTAL"/>
    <tableColumn id="10" xr3:uid="{00000000-0010-0000-0100-00000A000000}" name="REF._x000a_INFORME"/>
    <tableColumn id="11" xr3:uid="{00000000-0010-0000-0100-00000B000000}" name="ALMACÉN"/>
    <tableColumn id="12" xr3:uid="{00000000-0010-0000-0100-00000C000000}" name="FECHA_x000a_AUDITORÍ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Pendientes" displayName="Tabla_Pendientes" ref="A3:G6">
  <autoFilter ref="A3:G6" xr:uid="{00000000-0009-0000-0100-000003000000}"/>
  <tableColumns count="7">
    <tableColumn id="1" xr3:uid="{00000000-0010-0000-0200-000001000000}" name="REF. INFORME"/>
    <tableColumn id="2" xr3:uid="{00000000-0010-0000-0200-000002000000}" name="RESULT. A COBRAR" dataDxfId="12"/>
    <tableColumn id="3" xr3:uid="{00000000-0010-0000-0200-000003000000}" name="TOTAL COSTO NETO" dataDxfId="11"/>
    <tableColumn id="4" xr3:uid="{00000000-0010-0000-0200-000004000000}" name="COSTO T." dataDxfId="10"/>
    <tableColumn id="5" xr3:uid="{00000000-0010-0000-0200-000005000000}" name="PRECIO T." dataDxfId="9"/>
    <tableColumn id="6" xr3:uid="{00000000-0010-0000-0200-000006000000}" name="DIFERENCIA COSTO" dataDxfId="8"/>
    <tableColumn id="7" xr3:uid="{00000000-0010-0000-0200-000007000000}" name="DIFERENCIA P.V.P" dataDxf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65"/>
  <sheetViews>
    <sheetView showGridLines="0" tabSelected="1" workbookViewId="0">
      <pane xSplit="1" ySplit="4" topLeftCell="X63" activePane="bottomRight" state="frozen"/>
      <selection pane="topRight"/>
      <selection pane="bottomLeft"/>
      <selection pane="bottomRight" activeCell="AF63" sqref="AF63"/>
    </sheetView>
  </sheetViews>
  <sheetFormatPr baseColWidth="10" defaultColWidth="9.140625" defaultRowHeight="15" x14ac:dyDescent="0.25"/>
  <cols>
    <col min="1" max="1" width="5" style="61" customWidth="1"/>
    <col min="2" max="2" width="22" style="61" customWidth="1"/>
    <col min="3" max="3" width="16" style="61" customWidth="1"/>
    <col min="4" max="5" width="14" style="61" customWidth="1"/>
    <col min="6" max="6" width="7" style="61" customWidth="1"/>
    <col min="7" max="7" width="20" style="61" customWidth="1"/>
    <col min="8" max="8" width="10" style="61" customWidth="1"/>
    <col min="9" max="9" width="24" style="61" customWidth="1"/>
    <col min="10" max="11" width="17" style="61" bestFit="1" customWidth="1"/>
    <col min="12" max="12" width="8" style="61" customWidth="1"/>
    <col min="13" max="13" width="15" style="61" customWidth="1"/>
    <col min="14" max="16" width="12" style="61" customWidth="1"/>
    <col min="17" max="17" width="15" style="61" customWidth="1"/>
    <col min="18" max="18" width="13" style="61" customWidth="1"/>
    <col min="19" max="19" width="12" style="61" customWidth="1"/>
    <col min="20" max="22" width="14" style="61" customWidth="1"/>
    <col min="23" max="23" width="15" style="61" customWidth="1"/>
    <col min="24" max="24" width="17" style="61" customWidth="1"/>
    <col min="25" max="25" width="15" style="61" customWidth="1"/>
    <col min="26" max="26" width="14" style="61" customWidth="1"/>
    <col min="27" max="27" width="12" style="61" customWidth="1"/>
    <col min="28" max="28" width="9" style="61" customWidth="1"/>
    <col min="29" max="29" width="15" style="61" customWidth="1"/>
    <col min="30" max="31" width="22" style="61" customWidth="1"/>
    <col min="32" max="32" width="48" style="61" customWidth="1"/>
  </cols>
  <sheetData>
    <row r="1" spans="1:32" ht="27.95" customHeight="1" x14ac:dyDescent="0.25">
      <c r="A1" s="72" t="s">
        <v>0</v>
      </c>
      <c r="B1" s="73"/>
      <c r="C1" s="73"/>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row>
    <row r="2" spans="1:32" ht="14.1" customHeight="1" x14ac:dyDescent="0.25">
      <c r="A2" s="76" t="s">
        <v>1</v>
      </c>
      <c r="B2" s="73"/>
      <c r="C2" s="73"/>
      <c r="D2" s="73"/>
      <c r="E2" s="73"/>
      <c r="F2" s="73"/>
      <c r="G2" s="73"/>
      <c r="H2" s="73"/>
      <c r="I2" s="73"/>
      <c r="J2" s="73"/>
      <c r="K2" s="73"/>
      <c r="L2" s="73"/>
      <c r="M2" s="73"/>
      <c r="N2" s="73"/>
      <c r="O2" s="73"/>
      <c r="P2" s="73"/>
      <c r="Q2" s="73"/>
      <c r="R2" s="73"/>
      <c r="S2" s="73"/>
      <c r="T2" s="73"/>
      <c r="U2" s="73"/>
      <c r="V2" s="73"/>
      <c r="W2" s="73"/>
      <c r="X2" s="73"/>
      <c r="Y2" s="73"/>
      <c r="Z2" s="73"/>
      <c r="AA2" s="73"/>
      <c r="AB2" s="73"/>
      <c r="AC2" s="73"/>
      <c r="AD2" s="73"/>
      <c r="AE2" s="73"/>
      <c r="AF2" s="73"/>
    </row>
    <row r="3" spans="1:32" ht="18" customHeight="1" x14ac:dyDescent="0.25">
      <c r="A3" s="69" t="s">
        <v>2</v>
      </c>
      <c r="B3" s="70"/>
      <c r="C3" s="70"/>
      <c r="D3" s="70"/>
      <c r="E3" s="70"/>
      <c r="F3" s="70"/>
      <c r="G3" s="70"/>
      <c r="H3" s="70"/>
      <c r="I3" s="70"/>
      <c r="J3" s="70"/>
      <c r="K3" s="70"/>
      <c r="L3" s="71"/>
      <c r="M3" s="74" t="s">
        <v>3</v>
      </c>
      <c r="N3" s="70"/>
      <c r="O3" s="70"/>
      <c r="P3" s="70"/>
      <c r="Q3" s="70"/>
      <c r="R3" s="70"/>
      <c r="S3" s="70"/>
      <c r="T3" s="70"/>
      <c r="U3" s="71"/>
      <c r="V3" s="69" t="s">
        <v>4</v>
      </c>
      <c r="W3" s="70"/>
      <c r="X3" s="70"/>
      <c r="Y3" s="70"/>
      <c r="Z3" s="71"/>
      <c r="AA3" s="75" t="s">
        <v>5</v>
      </c>
      <c r="AB3" s="70"/>
      <c r="AC3" s="70"/>
      <c r="AD3" s="70"/>
      <c r="AE3" s="70"/>
      <c r="AF3" s="71"/>
    </row>
    <row r="4" spans="1:32" ht="44.1" customHeight="1" x14ac:dyDescent="0.25">
      <c r="A4" s="1" t="s">
        <v>6</v>
      </c>
      <c r="B4" s="1" t="s">
        <v>7</v>
      </c>
      <c r="C4" s="1" t="s">
        <v>8</v>
      </c>
      <c r="D4" s="1" t="s">
        <v>9</v>
      </c>
      <c r="E4" s="1" t="s">
        <v>10</v>
      </c>
      <c r="F4" s="1" t="s">
        <v>11</v>
      </c>
      <c r="G4" s="1" t="s">
        <v>12</v>
      </c>
      <c r="H4" s="1" t="s">
        <v>13</v>
      </c>
      <c r="I4" s="1" t="s">
        <v>14</v>
      </c>
      <c r="J4" s="1" t="s">
        <v>15</v>
      </c>
      <c r="K4" s="1" t="s">
        <v>16</v>
      </c>
      <c r="L4" s="1" t="s">
        <v>17</v>
      </c>
      <c r="M4" s="1" t="s">
        <v>18</v>
      </c>
      <c r="N4" s="1" t="s">
        <v>19</v>
      </c>
      <c r="O4" s="1" t="s">
        <v>20</v>
      </c>
      <c r="P4" s="1" t="s">
        <v>21</v>
      </c>
      <c r="Q4" s="1" t="s">
        <v>22</v>
      </c>
      <c r="R4" s="1" t="s">
        <v>23</v>
      </c>
      <c r="S4" s="1" t="s">
        <v>24</v>
      </c>
      <c r="T4" s="1" t="s">
        <v>25</v>
      </c>
      <c r="U4" s="1" t="s">
        <v>26</v>
      </c>
      <c r="V4" s="40" t="s">
        <v>27</v>
      </c>
      <c r="W4" s="1" t="s">
        <v>28</v>
      </c>
      <c r="X4" s="1" t="s">
        <v>29</v>
      </c>
      <c r="Y4" s="1" t="s">
        <v>30</v>
      </c>
      <c r="Z4" s="1" t="s">
        <v>31</v>
      </c>
      <c r="AA4" s="1" t="s">
        <v>32</v>
      </c>
      <c r="AB4" s="1" t="s">
        <v>33</v>
      </c>
      <c r="AC4" s="1" t="s">
        <v>34</v>
      </c>
      <c r="AD4" s="1" t="s">
        <v>35</v>
      </c>
      <c r="AE4" s="40" t="s">
        <v>36</v>
      </c>
      <c r="AF4" s="1" t="s">
        <v>37</v>
      </c>
    </row>
    <row r="5" spans="1:32" ht="54" customHeight="1" x14ac:dyDescent="0.25">
      <c r="A5" s="2">
        <v>1</v>
      </c>
      <c r="B5" s="3" t="s">
        <v>38</v>
      </c>
      <c r="C5" s="2" t="s">
        <v>39</v>
      </c>
      <c r="D5" s="2" t="s">
        <v>40</v>
      </c>
      <c r="E5" s="2" t="s">
        <v>41</v>
      </c>
      <c r="F5" s="2">
        <v>1512</v>
      </c>
      <c r="G5" s="32" t="s">
        <v>42</v>
      </c>
      <c r="H5" s="2" t="s">
        <v>43</v>
      </c>
      <c r="I5" s="2" t="s">
        <v>44</v>
      </c>
      <c r="J5" s="16">
        <v>46086</v>
      </c>
      <c r="K5" s="16">
        <v>46104</v>
      </c>
      <c r="L5" s="2">
        <v>1</v>
      </c>
      <c r="M5" s="17">
        <v>183218.48</v>
      </c>
      <c r="N5" s="17">
        <v>2155.88</v>
      </c>
      <c r="O5" s="17">
        <v>-2005.16</v>
      </c>
      <c r="P5" s="17">
        <v>55.19</v>
      </c>
      <c r="Q5" s="17">
        <v>-259.5</v>
      </c>
      <c r="R5" s="17">
        <v>0</v>
      </c>
      <c r="S5" s="17">
        <v>0</v>
      </c>
      <c r="T5" s="17">
        <f t="shared" ref="T5:T36" si="0">N5+O5+P5+Q5+R5+S5</f>
        <v>-53.589999999999975</v>
      </c>
      <c r="U5" s="17">
        <f t="shared" ref="U5:U36" si="1">N5+O5+P5+Q5+S5</f>
        <v>-53.589999999999975</v>
      </c>
      <c r="V5" s="38"/>
      <c r="W5" s="17">
        <v>-1733.27</v>
      </c>
      <c r="X5" s="17">
        <v>-180.85</v>
      </c>
      <c r="Y5" s="17">
        <v>1909.84</v>
      </c>
      <c r="Z5" s="17">
        <f t="shared" ref="Z5:Z36" si="2">W5+X5+Y5</f>
        <v>-4.2799999999999727</v>
      </c>
      <c r="AA5" s="2" t="s">
        <v>45</v>
      </c>
      <c r="AB5" s="2">
        <v>45</v>
      </c>
      <c r="AC5" s="17">
        <v>2783.6</v>
      </c>
      <c r="AD5" s="2" t="s">
        <v>46</v>
      </c>
      <c r="AE5" s="44"/>
      <c r="AF5" s="3" t="s">
        <v>47</v>
      </c>
    </row>
    <row r="6" spans="1:32" ht="54" customHeight="1" x14ac:dyDescent="0.25">
      <c r="A6" s="2">
        <v>2</v>
      </c>
      <c r="B6" s="3" t="s">
        <v>48</v>
      </c>
      <c r="C6" s="2" t="s">
        <v>39</v>
      </c>
      <c r="D6" s="2" t="s">
        <v>40</v>
      </c>
      <c r="E6" s="2" t="s">
        <v>49</v>
      </c>
      <c r="F6" s="2">
        <v>1501</v>
      </c>
      <c r="G6" s="3" t="s">
        <v>50</v>
      </c>
      <c r="H6" s="2" t="s">
        <v>43</v>
      </c>
      <c r="I6" s="2" t="s">
        <v>51</v>
      </c>
      <c r="J6" s="16">
        <v>46079</v>
      </c>
      <c r="K6" s="16">
        <v>46104</v>
      </c>
      <c r="L6" s="2">
        <v>1</v>
      </c>
      <c r="M6" s="17">
        <v>198433.71</v>
      </c>
      <c r="N6" s="17">
        <v>255.72</v>
      </c>
      <c r="O6" s="17">
        <v>-369.19</v>
      </c>
      <c r="P6" s="17">
        <v>38.979999999999997</v>
      </c>
      <c r="Q6" s="17">
        <v>-212.4</v>
      </c>
      <c r="R6" s="17">
        <v>0</v>
      </c>
      <c r="S6" s="17">
        <v>0</v>
      </c>
      <c r="T6" s="17">
        <f t="shared" si="0"/>
        <v>-286.89</v>
      </c>
      <c r="U6" s="17">
        <f t="shared" si="1"/>
        <v>-286.89</v>
      </c>
      <c r="V6" s="38"/>
      <c r="W6" s="17">
        <v>-1130.6400000000001</v>
      </c>
      <c r="X6" s="17">
        <v>0</v>
      </c>
      <c r="Y6" s="17">
        <v>957.28</v>
      </c>
      <c r="Z6" s="17">
        <f t="shared" si="2"/>
        <v>-173.36000000000013</v>
      </c>
      <c r="AA6" s="2" t="s">
        <v>45</v>
      </c>
      <c r="AB6" s="2">
        <v>38</v>
      </c>
      <c r="AC6" s="17">
        <v>0</v>
      </c>
      <c r="AD6" s="2" t="s">
        <v>46</v>
      </c>
      <c r="AE6" s="44"/>
      <c r="AF6" s="3" t="s">
        <v>52</v>
      </c>
    </row>
    <row r="7" spans="1:32" ht="54" customHeight="1" x14ac:dyDescent="0.25">
      <c r="A7" s="2">
        <v>3</v>
      </c>
      <c r="B7" s="3" t="s">
        <v>53</v>
      </c>
      <c r="C7" s="2" t="s">
        <v>54</v>
      </c>
      <c r="D7" s="2" t="s">
        <v>55</v>
      </c>
      <c r="E7" s="2" t="s">
        <v>56</v>
      </c>
      <c r="F7" s="2">
        <v>1721</v>
      </c>
      <c r="G7" s="3" t="s">
        <v>57</v>
      </c>
      <c r="H7" s="2" t="s">
        <v>43</v>
      </c>
      <c r="I7" s="2" t="s">
        <v>58</v>
      </c>
      <c r="J7" s="16">
        <v>46101</v>
      </c>
      <c r="K7" s="16">
        <v>46104</v>
      </c>
      <c r="L7" s="2">
        <v>1</v>
      </c>
      <c r="M7" s="17">
        <v>89625.12</v>
      </c>
      <c r="N7" s="17">
        <v>0</v>
      </c>
      <c r="O7" s="17">
        <v>0</v>
      </c>
      <c r="P7" s="17">
        <v>0</v>
      </c>
      <c r="Q7" s="17">
        <v>0</v>
      </c>
      <c r="R7" s="17">
        <v>0</v>
      </c>
      <c r="S7" s="17">
        <v>0</v>
      </c>
      <c r="T7" s="17">
        <f t="shared" si="0"/>
        <v>0</v>
      </c>
      <c r="U7" s="17">
        <f t="shared" si="1"/>
        <v>0</v>
      </c>
      <c r="V7" s="38"/>
      <c r="W7" s="17">
        <v>0</v>
      </c>
      <c r="X7" s="17">
        <v>0</v>
      </c>
      <c r="Y7" s="17">
        <v>0</v>
      </c>
      <c r="Z7" s="17">
        <f t="shared" si="2"/>
        <v>0</v>
      </c>
      <c r="AA7" s="2" t="s">
        <v>59</v>
      </c>
      <c r="AB7" s="2">
        <v>5</v>
      </c>
      <c r="AC7" s="17">
        <v>0</v>
      </c>
      <c r="AD7" s="2" t="s">
        <v>46</v>
      </c>
      <c r="AE7" s="44"/>
      <c r="AF7" s="3" t="s">
        <v>60</v>
      </c>
    </row>
    <row r="8" spans="1:32" ht="50.1" customHeight="1" x14ac:dyDescent="0.25">
      <c r="A8" s="2">
        <v>4</v>
      </c>
      <c r="B8" s="30" t="s">
        <v>61</v>
      </c>
      <c r="C8" s="30" t="s">
        <v>54</v>
      </c>
      <c r="D8" s="30" t="s">
        <v>62</v>
      </c>
      <c r="E8" s="30" t="s">
        <v>49</v>
      </c>
      <c r="F8" s="30">
        <v>1750</v>
      </c>
      <c r="G8" s="30" t="s">
        <v>50</v>
      </c>
      <c r="H8" s="30" t="s">
        <v>43</v>
      </c>
      <c r="I8" s="30" t="s">
        <v>63</v>
      </c>
      <c r="J8" s="36">
        <v>46109</v>
      </c>
      <c r="K8" s="36">
        <v>46109</v>
      </c>
      <c r="L8" s="30">
        <v>1</v>
      </c>
      <c r="M8" s="31">
        <v>198372.36</v>
      </c>
      <c r="N8" s="31">
        <v>0</v>
      </c>
      <c r="O8" s="31">
        <v>0</v>
      </c>
      <c r="P8" s="31">
        <v>0</v>
      </c>
      <c r="Q8" s="31">
        <v>0</v>
      </c>
      <c r="R8" s="31">
        <v>0</v>
      </c>
      <c r="S8" s="31">
        <v>0</v>
      </c>
      <c r="T8" s="17">
        <f t="shared" si="0"/>
        <v>0</v>
      </c>
      <c r="U8" s="17">
        <f t="shared" si="1"/>
        <v>0</v>
      </c>
      <c r="V8" s="41"/>
      <c r="W8" s="31">
        <v>0</v>
      </c>
      <c r="X8" s="31">
        <v>0</v>
      </c>
      <c r="Y8" s="31">
        <v>0</v>
      </c>
      <c r="Z8" s="17">
        <f t="shared" si="2"/>
        <v>0</v>
      </c>
      <c r="AA8" s="30" t="s">
        <v>64</v>
      </c>
      <c r="AB8" s="30">
        <v>1</v>
      </c>
      <c r="AC8" s="31">
        <v>165250.46</v>
      </c>
      <c r="AD8" s="30" t="s">
        <v>46</v>
      </c>
      <c r="AE8" s="30"/>
      <c r="AF8" s="30" t="s">
        <v>65</v>
      </c>
    </row>
    <row r="9" spans="1:32" ht="50.1" customHeight="1" x14ac:dyDescent="0.25">
      <c r="A9" s="2">
        <v>5</v>
      </c>
      <c r="B9" s="32" t="s">
        <v>66</v>
      </c>
      <c r="C9" s="32" t="s">
        <v>67</v>
      </c>
      <c r="D9" s="32" t="s">
        <v>40</v>
      </c>
      <c r="E9" s="32" t="s">
        <v>49</v>
      </c>
      <c r="F9" s="32">
        <v>1505</v>
      </c>
      <c r="G9" s="32" t="s">
        <v>50</v>
      </c>
      <c r="H9" s="32" t="s">
        <v>43</v>
      </c>
      <c r="I9" s="32" t="s">
        <v>68</v>
      </c>
      <c r="J9" s="37">
        <v>46083</v>
      </c>
      <c r="K9" s="37">
        <v>46084</v>
      </c>
      <c r="L9" s="32">
        <v>1</v>
      </c>
      <c r="M9" s="33">
        <v>163627.75</v>
      </c>
      <c r="N9" s="33">
        <v>0</v>
      </c>
      <c r="O9" s="33">
        <v>0</v>
      </c>
      <c r="P9" s="33">
        <v>0</v>
      </c>
      <c r="Q9" s="33">
        <v>0</v>
      </c>
      <c r="R9" s="33">
        <v>0</v>
      </c>
      <c r="S9" s="33">
        <v>0</v>
      </c>
      <c r="T9" s="17">
        <f t="shared" si="0"/>
        <v>0</v>
      </c>
      <c r="U9" s="17">
        <f t="shared" si="1"/>
        <v>0</v>
      </c>
      <c r="V9" s="38"/>
      <c r="W9" s="33">
        <v>0</v>
      </c>
      <c r="X9" s="33">
        <v>0</v>
      </c>
      <c r="Y9" s="33">
        <v>0</v>
      </c>
      <c r="Z9" s="17">
        <f t="shared" si="2"/>
        <v>0</v>
      </c>
      <c r="AA9" s="32" t="s">
        <v>64</v>
      </c>
      <c r="AB9" s="32">
        <v>1</v>
      </c>
      <c r="AC9" s="33">
        <v>0</v>
      </c>
      <c r="AD9" s="32" t="s">
        <v>46</v>
      </c>
      <c r="AE9" s="32"/>
      <c r="AF9" s="32" t="s">
        <v>69</v>
      </c>
    </row>
    <row r="10" spans="1:32" ht="50.1" customHeight="1" x14ac:dyDescent="0.25">
      <c r="A10" s="2">
        <v>6</v>
      </c>
      <c r="B10" s="32" t="s">
        <v>70</v>
      </c>
      <c r="C10" s="32" t="s">
        <v>54</v>
      </c>
      <c r="D10" s="32" t="s">
        <v>71</v>
      </c>
      <c r="E10" s="32" t="s">
        <v>49</v>
      </c>
      <c r="F10" s="32">
        <v>1715</v>
      </c>
      <c r="G10" s="32" t="s">
        <v>50</v>
      </c>
      <c r="H10" s="32" t="s">
        <v>43</v>
      </c>
      <c r="I10" s="32" t="s">
        <v>72</v>
      </c>
      <c r="J10" s="37">
        <v>46092</v>
      </c>
      <c r="K10" s="37">
        <v>46094</v>
      </c>
      <c r="L10" s="32">
        <v>1</v>
      </c>
      <c r="M10" s="33">
        <v>58824.09</v>
      </c>
      <c r="N10" s="33">
        <v>308.83</v>
      </c>
      <c r="O10" s="33">
        <v>-497.25</v>
      </c>
      <c r="P10" s="33">
        <v>0</v>
      </c>
      <c r="Q10" s="33">
        <v>-12.57</v>
      </c>
      <c r="R10" s="33">
        <v>0</v>
      </c>
      <c r="S10" s="33">
        <v>0</v>
      </c>
      <c r="T10" s="17">
        <f t="shared" si="0"/>
        <v>-200.99</v>
      </c>
      <c r="U10" s="17">
        <f t="shared" si="1"/>
        <v>-200.99</v>
      </c>
      <c r="V10" s="38"/>
      <c r="W10" s="33">
        <v>-509.83</v>
      </c>
      <c r="X10" s="33">
        <v>-12.57</v>
      </c>
      <c r="Y10" s="33">
        <v>308.83</v>
      </c>
      <c r="Z10" s="17">
        <f t="shared" si="2"/>
        <v>-213.57</v>
      </c>
      <c r="AA10" s="32" t="s">
        <v>73</v>
      </c>
      <c r="AB10" s="32">
        <v>50</v>
      </c>
      <c r="AC10" s="33">
        <v>121.57</v>
      </c>
      <c r="AD10" s="32" t="s">
        <v>46</v>
      </c>
      <c r="AE10" s="32"/>
      <c r="AF10" s="32" t="s">
        <v>74</v>
      </c>
    </row>
    <row r="11" spans="1:32" ht="50.1" customHeight="1" x14ac:dyDescent="0.25">
      <c r="A11" s="2">
        <v>7</v>
      </c>
      <c r="B11" s="32" t="s">
        <v>75</v>
      </c>
      <c r="C11" s="32" t="s">
        <v>54</v>
      </c>
      <c r="D11" s="32" t="s">
        <v>76</v>
      </c>
      <c r="E11" s="32" t="s">
        <v>49</v>
      </c>
      <c r="F11" s="32">
        <v>1726</v>
      </c>
      <c r="G11" s="32" t="s">
        <v>50</v>
      </c>
      <c r="H11" s="32" t="s">
        <v>43</v>
      </c>
      <c r="I11" s="32" t="s">
        <v>77</v>
      </c>
      <c r="J11" s="37">
        <v>46071</v>
      </c>
      <c r="K11" s="37">
        <v>46071</v>
      </c>
      <c r="L11" s="32">
        <v>1</v>
      </c>
      <c r="M11" s="33">
        <v>373164.76</v>
      </c>
      <c r="N11" s="33">
        <v>5.54</v>
      </c>
      <c r="O11" s="33">
        <v>-720.66</v>
      </c>
      <c r="P11" s="33">
        <v>36.82</v>
      </c>
      <c r="Q11" s="33">
        <v>0</v>
      </c>
      <c r="R11" s="33">
        <v>0</v>
      </c>
      <c r="S11" s="33">
        <v>0</v>
      </c>
      <c r="T11" s="17">
        <f t="shared" si="0"/>
        <v>-678.3</v>
      </c>
      <c r="U11" s="17">
        <f t="shared" si="1"/>
        <v>-678.3</v>
      </c>
      <c r="V11" s="38"/>
      <c r="W11" s="33">
        <v>-585.16</v>
      </c>
      <c r="X11" s="33">
        <v>0</v>
      </c>
      <c r="Y11" s="33">
        <v>100.95</v>
      </c>
      <c r="Z11" s="17">
        <f t="shared" si="2"/>
        <v>-484.21</v>
      </c>
      <c r="AA11" s="32" t="s">
        <v>64</v>
      </c>
      <c r="AB11" s="32">
        <v>1</v>
      </c>
      <c r="AC11" s="33">
        <v>0</v>
      </c>
      <c r="AD11" s="32" t="s">
        <v>46</v>
      </c>
      <c r="AE11" s="32"/>
      <c r="AF11" s="32" t="s">
        <v>78</v>
      </c>
    </row>
    <row r="12" spans="1:32" ht="50.1" customHeight="1" x14ac:dyDescent="0.25">
      <c r="A12" s="2">
        <v>8</v>
      </c>
      <c r="B12" s="32" t="s">
        <v>79</v>
      </c>
      <c r="C12" s="32" t="s">
        <v>67</v>
      </c>
      <c r="D12" s="32" t="s">
        <v>40</v>
      </c>
      <c r="E12" s="32" t="s">
        <v>49</v>
      </c>
      <c r="F12" s="32">
        <v>1508</v>
      </c>
      <c r="G12" s="32" t="s">
        <v>50</v>
      </c>
      <c r="H12" s="32" t="s">
        <v>43</v>
      </c>
      <c r="I12" s="32" t="s">
        <v>80</v>
      </c>
      <c r="J12" s="37">
        <v>46076</v>
      </c>
      <c r="K12" s="37">
        <v>46078</v>
      </c>
      <c r="L12" s="32">
        <v>1</v>
      </c>
      <c r="M12" s="33">
        <v>275878.39</v>
      </c>
      <c r="N12" s="33">
        <v>467.42</v>
      </c>
      <c r="O12" s="33">
        <v>-367.22</v>
      </c>
      <c r="P12" s="33">
        <v>4.79</v>
      </c>
      <c r="Q12" s="33">
        <v>-102.5</v>
      </c>
      <c r="R12" s="33">
        <v>-598.48</v>
      </c>
      <c r="S12" s="33">
        <v>0</v>
      </c>
      <c r="T12" s="17">
        <f t="shared" si="0"/>
        <v>-595.99</v>
      </c>
      <c r="U12" s="17">
        <f t="shared" si="1"/>
        <v>2.4899999999999949</v>
      </c>
      <c r="V12" s="38"/>
      <c r="W12" s="33">
        <v>-1041.58</v>
      </c>
      <c r="X12" s="33">
        <v>-47.71</v>
      </c>
      <c r="Y12" s="33">
        <v>765.25</v>
      </c>
      <c r="Z12" s="17">
        <f t="shared" si="2"/>
        <v>-324.03999999999996</v>
      </c>
      <c r="AA12" s="32" t="s">
        <v>64</v>
      </c>
      <c r="AB12" s="32">
        <v>1</v>
      </c>
      <c r="AC12" s="33">
        <v>40.950000000000003</v>
      </c>
      <c r="AD12" s="32" t="s">
        <v>46</v>
      </c>
      <c r="AE12" s="32"/>
      <c r="AF12" s="32" t="s">
        <v>81</v>
      </c>
    </row>
    <row r="13" spans="1:32" ht="50.1" customHeight="1" x14ac:dyDescent="0.25">
      <c r="A13" s="2">
        <v>9</v>
      </c>
      <c r="B13" s="32" t="s">
        <v>70</v>
      </c>
      <c r="C13" s="32" t="s">
        <v>54</v>
      </c>
      <c r="D13" s="32" t="s">
        <v>71</v>
      </c>
      <c r="E13" s="32" t="s">
        <v>49</v>
      </c>
      <c r="F13" s="32">
        <v>1715</v>
      </c>
      <c r="G13" s="32" t="s">
        <v>50</v>
      </c>
      <c r="H13" s="32" t="s">
        <v>43</v>
      </c>
      <c r="I13" s="32" t="s">
        <v>82</v>
      </c>
      <c r="J13" s="34">
        <v>46035</v>
      </c>
      <c r="K13" s="37">
        <v>46039</v>
      </c>
      <c r="L13" s="32">
        <v>1</v>
      </c>
      <c r="M13" s="33">
        <v>51691.7</v>
      </c>
      <c r="N13" s="33">
        <v>575.74</v>
      </c>
      <c r="O13" s="33">
        <v>-2592.44</v>
      </c>
      <c r="P13" s="33">
        <v>0</v>
      </c>
      <c r="Q13" s="33">
        <v>-47.5</v>
      </c>
      <c r="R13" s="33">
        <v>0</v>
      </c>
      <c r="S13" s="33">
        <v>0</v>
      </c>
      <c r="T13" s="17">
        <f t="shared" si="0"/>
        <v>-2064.1999999999998</v>
      </c>
      <c r="U13" s="17">
        <f t="shared" si="1"/>
        <v>-2064.1999999999998</v>
      </c>
      <c r="V13" s="38"/>
      <c r="W13" s="33">
        <v>-2592.44</v>
      </c>
      <c r="X13" s="33">
        <v>-47.5</v>
      </c>
      <c r="Y13" s="33">
        <v>575.74</v>
      </c>
      <c r="Z13" s="17">
        <f t="shared" si="2"/>
        <v>-2064.1999999999998</v>
      </c>
      <c r="AA13" s="32" t="s">
        <v>73</v>
      </c>
      <c r="AB13" s="32">
        <v>75</v>
      </c>
      <c r="AC13" s="33">
        <v>275.27</v>
      </c>
      <c r="AD13" s="39" t="s">
        <v>83</v>
      </c>
      <c r="AE13" s="39"/>
      <c r="AF13" s="32" t="s">
        <v>84</v>
      </c>
    </row>
    <row r="14" spans="1:32" ht="50.1" customHeight="1" x14ac:dyDescent="0.25">
      <c r="A14" s="2">
        <v>10</v>
      </c>
      <c r="B14" s="32" t="s">
        <v>85</v>
      </c>
      <c r="C14" s="32" t="s">
        <v>67</v>
      </c>
      <c r="D14" s="32" t="s">
        <v>40</v>
      </c>
      <c r="E14" s="32" t="s">
        <v>56</v>
      </c>
      <c r="F14" s="32">
        <v>1516</v>
      </c>
      <c r="G14" s="32" t="s">
        <v>57</v>
      </c>
      <c r="H14" s="32" t="s">
        <v>43</v>
      </c>
      <c r="I14" s="32" t="s">
        <v>86</v>
      </c>
      <c r="J14" s="37">
        <v>46094</v>
      </c>
      <c r="K14" s="37">
        <v>46111</v>
      </c>
      <c r="L14" s="32">
        <v>1</v>
      </c>
      <c r="M14" s="33">
        <v>0</v>
      </c>
      <c r="N14" s="33">
        <v>0</v>
      </c>
      <c r="O14" s="33">
        <v>0</v>
      </c>
      <c r="P14" s="33">
        <v>0</v>
      </c>
      <c r="Q14" s="33">
        <v>0</v>
      </c>
      <c r="R14" s="33">
        <v>0</v>
      </c>
      <c r="S14" s="33">
        <v>0</v>
      </c>
      <c r="T14" s="17">
        <f t="shared" si="0"/>
        <v>0</v>
      </c>
      <c r="U14" s="17">
        <f t="shared" si="1"/>
        <v>0</v>
      </c>
      <c r="V14" s="38"/>
      <c r="W14" s="33">
        <v>0</v>
      </c>
      <c r="X14" s="33">
        <v>0</v>
      </c>
      <c r="Y14" s="33">
        <v>0</v>
      </c>
      <c r="Z14" s="17">
        <f t="shared" si="2"/>
        <v>0</v>
      </c>
      <c r="AA14" s="32" t="s">
        <v>87</v>
      </c>
      <c r="AB14" s="32">
        <v>5</v>
      </c>
      <c r="AC14" s="33">
        <v>0</v>
      </c>
      <c r="AD14" s="32" t="s">
        <v>46</v>
      </c>
      <c r="AE14" s="32"/>
      <c r="AF14" s="32" t="s">
        <v>88</v>
      </c>
    </row>
    <row r="15" spans="1:32" ht="50.1" customHeight="1" x14ac:dyDescent="0.25">
      <c r="A15" s="2">
        <v>11</v>
      </c>
      <c r="B15" s="32" t="s">
        <v>89</v>
      </c>
      <c r="C15" s="32" t="s">
        <v>67</v>
      </c>
      <c r="D15" s="32" t="s">
        <v>40</v>
      </c>
      <c r="E15" s="32" t="s">
        <v>56</v>
      </c>
      <c r="F15" s="32">
        <v>1502</v>
      </c>
      <c r="G15" s="32" t="s">
        <v>57</v>
      </c>
      <c r="H15" s="32" t="s">
        <v>43</v>
      </c>
      <c r="I15" s="32" t="s">
        <v>90</v>
      </c>
      <c r="J15" s="37">
        <v>46045</v>
      </c>
      <c r="K15" s="37">
        <v>46046</v>
      </c>
      <c r="L15" s="32">
        <v>1</v>
      </c>
      <c r="M15" s="33">
        <v>159451.10999999999</v>
      </c>
      <c r="N15" s="33">
        <v>12.64</v>
      </c>
      <c r="O15" s="33">
        <v>-132.26</v>
      </c>
      <c r="P15" s="33">
        <v>0</v>
      </c>
      <c r="Q15" s="33">
        <v>0</v>
      </c>
      <c r="R15" s="33">
        <v>-706.6</v>
      </c>
      <c r="S15" s="33">
        <v>0</v>
      </c>
      <c r="T15" s="17">
        <f t="shared" si="0"/>
        <v>-826.22</v>
      </c>
      <c r="U15" s="17">
        <f t="shared" si="1"/>
        <v>-119.61999999999999</v>
      </c>
      <c r="V15" s="38"/>
      <c r="W15" s="33">
        <v>-524.77</v>
      </c>
      <c r="X15" s="33">
        <v>-458.27</v>
      </c>
      <c r="Y15" s="33">
        <v>8</v>
      </c>
      <c r="Z15" s="17">
        <f t="shared" si="2"/>
        <v>-975.04</v>
      </c>
      <c r="AA15" s="32" t="s">
        <v>64</v>
      </c>
      <c r="AB15" s="32">
        <v>2</v>
      </c>
      <c r="AC15" s="33">
        <v>962.56</v>
      </c>
      <c r="AD15" s="32" t="s">
        <v>46</v>
      </c>
      <c r="AE15" s="32"/>
      <c r="AF15" s="32" t="s">
        <v>91</v>
      </c>
    </row>
    <row r="16" spans="1:32" ht="50.1" customHeight="1" x14ac:dyDescent="0.25">
      <c r="A16" s="2">
        <v>12</v>
      </c>
      <c r="B16" s="32" t="s">
        <v>92</v>
      </c>
      <c r="C16" s="32" t="s">
        <v>54</v>
      </c>
      <c r="D16" s="32" t="s">
        <v>93</v>
      </c>
      <c r="E16" s="32" t="s">
        <v>49</v>
      </c>
      <c r="F16" s="32">
        <v>1731</v>
      </c>
      <c r="G16" s="32" t="s">
        <v>50</v>
      </c>
      <c r="H16" s="32" t="s">
        <v>43</v>
      </c>
      <c r="I16" s="32" t="s">
        <v>94</v>
      </c>
      <c r="J16" s="37">
        <v>46055</v>
      </c>
      <c r="K16" s="37">
        <v>46055</v>
      </c>
      <c r="L16" s="32">
        <v>1</v>
      </c>
      <c r="M16" s="33">
        <v>58927.76</v>
      </c>
      <c r="N16" s="33">
        <v>0</v>
      </c>
      <c r="O16" s="33">
        <v>0</v>
      </c>
      <c r="P16" s="33">
        <v>0</v>
      </c>
      <c r="Q16" s="33">
        <v>0</v>
      </c>
      <c r="R16" s="33">
        <v>0</v>
      </c>
      <c r="S16" s="33">
        <v>0</v>
      </c>
      <c r="T16" s="17">
        <f t="shared" si="0"/>
        <v>0</v>
      </c>
      <c r="U16" s="17">
        <f t="shared" si="1"/>
        <v>0</v>
      </c>
      <c r="V16" s="38"/>
      <c r="W16" s="33">
        <v>0</v>
      </c>
      <c r="X16" s="33">
        <v>0</v>
      </c>
      <c r="Y16" s="33">
        <v>0</v>
      </c>
      <c r="Z16" s="17">
        <f t="shared" si="2"/>
        <v>0</v>
      </c>
      <c r="AA16" s="32" t="s">
        <v>64</v>
      </c>
      <c r="AB16" s="32">
        <v>1</v>
      </c>
      <c r="AC16" s="33">
        <v>0</v>
      </c>
      <c r="AD16" s="39" t="s">
        <v>95</v>
      </c>
      <c r="AE16" s="39"/>
      <c r="AF16" s="32" t="s">
        <v>96</v>
      </c>
    </row>
    <row r="17" spans="1:32" ht="50.1" customHeight="1" x14ac:dyDescent="0.25">
      <c r="A17" s="2">
        <v>13</v>
      </c>
      <c r="B17" s="32" t="s">
        <v>97</v>
      </c>
      <c r="C17" s="32" t="s">
        <v>54</v>
      </c>
      <c r="D17" s="32" t="s">
        <v>93</v>
      </c>
      <c r="E17" s="32" t="s">
        <v>49</v>
      </c>
      <c r="F17" s="32">
        <v>1738</v>
      </c>
      <c r="G17" s="32" t="s">
        <v>50</v>
      </c>
      <c r="H17" s="32" t="s">
        <v>43</v>
      </c>
      <c r="I17" s="32" t="s">
        <v>98</v>
      </c>
      <c r="J17" s="37">
        <v>46060</v>
      </c>
      <c r="K17" s="37">
        <v>46111</v>
      </c>
      <c r="L17" s="32">
        <v>1</v>
      </c>
      <c r="M17" s="33">
        <v>44445.68</v>
      </c>
      <c r="N17" s="33">
        <v>0</v>
      </c>
      <c r="O17" s="33">
        <v>0</v>
      </c>
      <c r="P17" s="33">
        <v>0</v>
      </c>
      <c r="Q17" s="33">
        <v>0</v>
      </c>
      <c r="R17" s="33">
        <v>0</v>
      </c>
      <c r="S17" s="33">
        <v>0</v>
      </c>
      <c r="T17" s="17">
        <f t="shared" si="0"/>
        <v>0</v>
      </c>
      <c r="U17" s="17">
        <f t="shared" si="1"/>
        <v>0</v>
      </c>
      <c r="V17" s="38"/>
      <c r="W17" s="33">
        <v>0</v>
      </c>
      <c r="X17" s="33">
        <v>0</v>
      </c>
      <c r="Y17" s="33">
        <v>0</v>
      </c>
      <c r="Z17" s="17">
        <f t="shared" si="2"/>
        <v>0</v>
      </c>
      <c r="AA17" s="32" t="s">
        <v>64</v>
      </c>
      <c r="AB17" s="32">
        <v>10</v>
      </c>
      <c r="AC17" s="33">
        <v>0</v>
      </c>
      <c r="AD17" s="39" t="s">
        <v>95</v>
      </c>
      <c r="AE17" s="39"/>
      <c r="AF17" s="32" t="s">
        <v>99</v>
      </c>
    </row>
    <row r="18" spans="1:32" ht="50.1" customHeight="1" x14ac:dyDescent="0.25">
      <c r="A18" s="2">
        <v>14</v>
      </c>
      <c r="B18" s="32" t="s">
        <v>100</v>
      </c>
      <c r="C18" s="32" t="s">
        <v>101</v>
      </c>
      <c r="D18" s="32" t="s">
        <v>102</v>
      </c>
      <c r="E18" s="32" t="s">
        <v>49</v>
      </c>
      <c r="F18" s="32">
        <v>3042</v>
      </c>
      <c r="G18" s="32" t="s">
        <v>50</v>
      </c>
      <c r="H18" s="32" t="s">
        <v>43</v>
      </c>
      <c r="I18" s="32" t="s">
        <v>103</v>
      </c>
      <c r="J18" s="37">
        <v>46104</v>
      </c>
      <c r="K18" s="37">
        <v>46105</v>
      </c>
      <c r="L18" s="32">
        <v>1</v>
      </c>
      <c r="M18" s="33">
        <v>13053.89</v>
      </c>
      <c r="N18" s="33">
        <v>0</v>
      </c>
      <c r="O18" s="33">
        <v>-145.9</v>
      </c>
      <c r="P18" s="33">
        <v>11.7</v>
      </c>
      <c r="Q18" s="33">
        <v>0</v>
      </c>
      <c r="R18" s="33">
        <v>0</v>
      </c>
      <c r="S18" s="33">
        <v>0</v>
      </c>
      <c r="T18" s="17">
        <f t="shared" si="0"/>
        <v>-134.20000000000002</v>
      </c>
      <c r="U18" s="17">
        <f t="shared" si="1"/>
        <v>-134.20000000000002</v>
      </c>
      <c r="V18" s="38"/>
      <c r="W18" s="33">
        <v>-241.15</v>
      </c>
      <c r="X18" s="33">
        <v>0</v>
      </c>
      <c r="Y18" s="33">
        <v>165.06</v>
      </c>
      <c r="Z18" s="17">
        <f t="shared" si="2"/>
        <v>-76.09</v>
      </c>
      <c r="AA18" s="32" t="s">
        <v>104</v>
      </c>
      <c r="AB18" s="32">
        <v>1</v>
      </c>
      <c r="AC18" s="33">
        <v>269.95999999999998</v>
      </c>
      <c r="AD18" s="32" t="s">
        <v>46</v>
      </c>
      <c r="AE18" s="32"/>
      <c r="AF18" s="32" t="s">
        <v>105</v>
      </c>
    </row>
    <row r="19" spans="1:32" ht="50.1" customHeight="1" x14ac:dyDescent="0.25">
      <c r="A19" s="2">
        <v>15</v>
      </c>
      <c r="B19" s="32" t="s">
        <v>106</v>
      </c>
      <c r="C19" s="32" t="s">
        <v>54</v>
      </c>
      <c r="D19" s="32" t="s">
        <v>55</v>
      </c>
      <c r="E19" s="32" t="s">
        <v>49</v>
      </c>
      <c r="F19" s="32">
        <v>1734</v>
      </c>
      <c r="G19" s="32" t="s">
        <v>50</v>
      </c>
      <c r="H19" s="32" t="s">
        <v>43</v>
      </c>
      <c r="I19" s="32" t="s">
        <v>107</v>
      </c>
      <c r="J19" s="37">
        <v>46087</v>
      </c>
      <c r="K19" s="37">
        <v>46111</v>
      </c>
      <c r="L19" s="32">
        <v>1</v>
      </c>
      <c r="M19" s="33">
        <v>62045.31</v>
      </c>
      <c r="N19" s="33">
        <v>30.5</v>
      </c>
      <c r="O19" s="33">
        <v>-25.46</v>
      </c>
      <c r="P19" s="33">
        <v>5.04</v>
      </c>
      <c r="Q19" s="33">
        <v>0</v>
      </c>
      <c r="R19" s="33">
        <v>0</v>
      </c>
      <c r="S19" s="33">
        <v>0</v>
      </c>
      <c r="T19" s="17">
        <f t="shared" si="0"/>
        <v>10.079999999999998</v>
      </c>
      <c r="U19" s="17">
        <f t="shared" si="1"/>
        <v>10.079999999999998</v>
      </c>
      <c r="V19" s="38"/>
      <c r="W19" s="33">
        <v>-17.170000000000002</v>
      </c>
      <c r="X19" s="33">
        <v>0</v>
      </c>
      <c r="Y19" s="33">
        <v>14.39</v>
      </c>
      <c r="Z19" s="17">
        <f t="shared" si="2"/>
        <v>-2.7800000000000011</v>
      </c>
      <c r="AA19" s="32" t="s">
        <v>104</v>
      </c>
      <c r="AB19" s="32">
        <v>1</v>
      </c>
      <c r="AC19" s="33">
        <v>0</v>
      </c>
      <c r="AD19" s="32" t="s">
        <v>46</v>
      </c>
      <c r="AE19" s="32"/>
      <c r="AF19" s="32" t="s">
        <v>108</v>
      </c>
    </row>
    <row r="20" spans="1:32" ht="50.1" customHeight="1" x14ac:dyDescent="0.25">
      <c r="A20" s="2">
        <v>16</v>
      </c>
      <c r="B20" s="32" t="s">
        <v>109</v>
      </c>
      <c r="C20" s="32" t="s">
        <v>54</v>
      </c>
      <c r="D20" s="32" t="s">
        <v>55</v>
      </c>
      <c r="E20" s="32" t="s">
        <v>49</v>
      </c>
      <c r="F20" s="32">
        <v>1728</v>
      </c>
      <c r="G20" s="32" t="s">
        <v>50</v>
      </c>
      <c r="H20" s="32" t="s">
        <v>43</v>
      </c>
      <c r="I20" s="32" t="s">
        <v>110</v>
      </c>
      <c r="J20" s="37">
        <v>46085</v>
      </c>
      <c r="K20" s="37">
        <v>46085</v>
      </c>
      <c r="L20" s="32">
        <v>1</v>
      </c>
      <c r="M20" s="33">
        <v>83029.41</v>
      </c>
      <c r="N20" s="33">
        <v>0</v>
      </c>
      <c r="O20" s="33">
        <v>0</v>
      </c>
      <c r="P20" s="33">
        <v>0</v>
      </c>
      <c r="Q20" s="33">
        <v>0</v>
      </c>
      <c r="R20" s="33">
        <v>-722.77</v>
      </c>
      <c r="S20" s="33">
        <v>0</v>
      </c>
      <c r="T20" s="17">
        <f t="shared" si="0"/>
        <v>-722.77</v>
      </c>
      <c r="U20" s="17">
        <f t="shared" si="1"/>
        <v>0</v>
      </c>
      <c r="V20" s="38"/>
      <c r="W20" s="33">
        <v>-790.69</v>
      </c>
      <c r="X20" s="33">
        <v>-790.69</v>
      </c>
      <c r="Y20" s="33">
        <v>0</v>
      </c>
      <c r="Z20" s="17">
        <f t="shared" si="2"/>
        <v>-1581.38</v>
      </c>
      <c r="AA20" s="32" t="s">
        <v>64</v>
      </c>
      <c r="AB20" s="32">
        <v>1</v>
      </c>
      <c r="AC20" s="33">
        <v>0</v>
      </c>
      <c r="AD20" s="32" t="s">
        <v>46</v>
      </c>
      <c r="AE20" s="32"/>
      <c r="AF20" s="32" t="s">
        <v>111</v>
      </c>
    </row>
    <row r="21" spans="1:32" ht="50.1" customHeight="1" x14ac:dyDescent="0.25">
      <c r="A21" s="2">
        <v>17</v>
      </c>
      <c r="B21" s="32" t="s">
        <v>112</v>
      </c>
      <c r="C21" s="32" t="s">
        <v>67</v>
      </c>
      <c r="D21" s="32" t="s">
        <v>40</v>
      </c>
      <c r="E21" s="32" t="s">
        <v>49</v>
      </c>
      <c r="F21" s="32">
        <v>1514</v>
      </c>
      <c r="G21" s="32" t="s">
        <v>50</v>
      </c>
      <c r="H21" s="32" t="s">
        <v>43</v>
      </c>
      <c r="I21" s="32" t="s">
        <v>113</v>
      </c>
      <c r="J21" s="37">
        <v>46098</v>
      </c>
      <c r="K21" s="37">
        <v>46105</v>
      </c>
      <c r="L21" s="32">
        <v>1</v>
      </c>
      <c r="M21" s="33">
        <v>89427.26</v>
      </c>
      <c r="N21" s="33">
        <v>179.3</v>
      </c>
      <c r="O21" s="33">
        <v>-371.31</v>
      </c>
      <c r="P21" s="33">
        <v>160.52000000000001</v>
      </c>
      <c r="Q21" s="33">
        <v>-163.74</v>
      </c>
      <c r="R21" s="33">
        <v>0</v>
      </c>
      <c r="S21" s="33">
        <v>0</v>
      </c>
      <c r="T21" s="17">
        <f t="shared" si="0"/>
        <v>-195.23</v>
      </c>
      <c r="U21" s="17">
        <f t="shared" si="1"/>
        <v>-195.23</v>
      </c>
      <c r="V21" s="38"/>
      <c r="W21" s="33">
        <v>-1319.7</v>
      </c>
      <c r="X21" s="33">
        <v>0</v>
      </c>
      <c r="Y21" s="33">
        <v>1140.46</v>
      </c>
      <c r="Z21" s="17">
        <f t="shared" si="2"/>
        <v>-179.24</v>
      </c>
      <c r="AA21" s="32" t="s">
        <v>104</v>
      </c>
      <c r="AB21" s="32">
        <v>2</v>
      </c>
      <c r="AC21" s="33">
        <v>0</v>
      </c>
      <c r="AD21" s="32" t="s">
        <v>46</v>
      </c>
      <c r="AE21" s="32"/>
      <c r="AF21" s="32" t="s">
        <v>114</v>
      </c>
    </row>
    <row r="22" spans="1:32" ht="50.1" customHeight="1" x14ac:dyDescent="0.25">
      <c r="A22" s="2">
        <v>18</v>
      </c>
      <c r="B22" s="32" t="s">
        <v>115</v>
      </c>
      <c r="C22" s="32" t="s">
        <v>67</v>
      </c>
      <c r="D22" s="32" t="s">
        <v>40</v>
      </c>
      <c r="E22" s="32" t="s">
        <v>49</v>
      </c>
      <c r="F22" s="32">
        <v>1519</v>
      </c>
      <c r="G22" s="32" t="s">
        <v>50</v>
      </c>
      <c r="H22" s="32" t="s">
        <v>43</v>
      </c>
      <c r="I22" s="32" t="s">
        <v>116</v>
      </c>
      <c r="J22" s="37">
        <v>46065</v>
      </c>
      <c r="K22" s="37">
        <v>46071</v>
      </c>
      <c r="L22" s="32">
        <v>1</v>
      </c>
      <c r="M22" s="33">
        <v>120491.82</v>
      </c>
      <c r="N22" s="33">
        <v>142.62</v>
      </c>
      <c r="O22" s="33">
        <v>-168.24</v>
      </c>
      <c r="P22" s="33">
        <v>41.51</v>
      </c>
      <c r="Q22" s="33">
        <v>-198.58</v>
      </c>
      <c r="R22" s="33">
        <v>0</v>
      </c>
      <c r="S22" s="33">
        <v>0</v>
      </c>
      <c r="T22" s="17">
        <f t="shared" si="0"/>
        <v>-182.69000000000003</v>
      </c>
      <c r="U22" s="17">
        <f t="shared" si="1"/>
        <v>-182.69000000000003</v>
      </c>
      <c r="V22" s="38"/>
      <c r="W22" s="33">
        <v>-432.46</v>
      </c>
      <c r="X22" s="33">
        <v>0</v>
      </c>
      <c r="Y22" s="33">
        <v>320.27</v>
      </c>
      <c r="Z22" s="17">
        <f t="shared" si="2"/>
        <v>-112.19</v>
      </c>
      <c r="AA22" s="32" t="s">
        <v>64</v>
      </c>
      <c r="AB22" s="32">
        <v>1</v>
      </c>
      <c r="AC22" s="33">
        <v>0</v>
      </c>
      <c r="AD22" s="32" t="s">
        <v>46</v>
      </c>
      <c r="AE22" s="32"/>
      <c r="AF22" s="32" t="s">
        <v>117</v>
      </c>
    </row>
    <row r="23" spans="1:32" ht="50.1" customHeight="1" x14ac:dyDescent="0.25">
      <c r="A23" s="2">
        <v>19</v>
      </c>
      <c r="B23" s="32" t="s">
        <v>118</v>
      </c>
      <c r="C23" s="32" t="s">
        <v>67</v>
      </c>
      <c r="D23" s="32" t="s">
        <v>40</v>
      </c>
      <c r="E23" s="32" t="s">
        <v>56</v>
      </c>
      <c r="F23" s="32">
        <v>1513</v>
      </c>
      <c r="G23" s="32" t="s">
        <v>57</v>
      </c>
      <c r="H23" s="32" t="s">
        <v>43</v>
      </c>
      <c r="I23" s="32" t="s">
        <v>119</v>
      </c>
      <c r="J23" s="37">
        <v>46056</v>
      </c>
      <c r="K23" s="37">
        <v>46111</v>
      </c>
      <c r="L23" s="32">
        <v>1</v>
      </c>
      <c r="M23" s="33">
        <v>174131.77</v>
      </c>
      <c r="N23" s="33">
        <v>0</v>
      </c>
      <c r="O23" s="33">
        <v>0</v>
      </c>
      <c r="P23" s="33">
        <v>0</v>
      </c>
      <c r="Q23" s="33">
        <v>0</v>
      </c>
      <c r="R23" s="33">
        <v>0</v>
      </c>
      <c r="S23" s="33">
        <v>0</v>
      </c>
      <c r="T23" s="17">
        <f t="shared" si="0"/>
        <v>0</v>
      </c>
      <c r="U23" s="17">
        <f t="shared" si="1"/>
        <v>0</v>
      </c>
      <c r="V23" s="38"/>
      <c r="W23" s="33">
        <v>0</v>
      </c>
      <c r="X23" s="33">
        <v>0</v>
      </c>
      <c r="Y23" s="33">
        <v>0</v>
      </c>
      <c r="Z23" s="17">
        <f t="shared" si="2"/>
        <v>0</v>
      </c>
      <c r="AA23" s="32" t="s">
        <v>104</v>
      </c>
      <c r="AB23" s="32">
        <v>1</v>
      </c>
      <c r="AC23" s="33">
        <v>0</v>
      </c>
      <c r="AD23" s="32" t="s">
        <v>46</v>
      </c>
      <c r="AE23" s="32"/>
      <c r="AF23" s="32" t="s">
        <v>120</v>
      </c>
    </row>
    <row r="24" spans="1:32" ht="50.1" customHeight="1" x14ac:dyDescent="0.25">
      <c r="A24" s="2">
        <v>20</v>
      </c>
      <c r="B24" s="32" t="s">
        <v>121</v>
      </c>
      <c r="C24" s="32" t="s">
        <v>67</v>
      </c>
      <c r="D24" s="32" t="s">
        <v>40</v>
      </c>
      <c r="E24" s="32" t="s">
        <v>49</v>
      </c>
      <c r="F24" s="32">
        <v>1521</v>
      </c>
      <c r="G24" s="32" t="s">
        <v>50</v>
      </c>
      <c r="H24" s="32" t="s">
        <v>43</v>
      </c>
      <c r="I24" s="39" t="s">
        <v>122</v>
      </c>
      <c r="J24" s="37">
        <v>46037</v>
      </c>
      <c r="K24" s="37">
        <v>46048</v>
      </c>
      <c r="L24" s="32">
        <v>1</v>
      </c>
      <c r="M24" s="33">
        <v>208997.47</v>
      </c>
      <c r="N24" s="33">
        <v>837.82</v>
      </c>
      <c r="O24" s="33">
        <v>-2698.14</v>
      </c>
      <c r="P24" s="33">
        <v>27.31</v>
      </c>
      <c r="Q24" s="33">
        <v>0</v>
      </c>
      <c r="R24" s="33">
        <v>0</v>
      </c>
      <c r="S24" s="33">
        <v>0</v>
      </c>
      <c r="T24" s="17">
        <f t="shared" si="0"/>
        <v>-1833.0099999999998</v>
      </c>
      <c r="U24" s="17">
        <f t="shared" si="1"/>
        <v>-1833.0099999999998</v>
      </c>
      <c r="V24" s="38"/>
      <c r="W24" s="33">
        <v>-5763.01</v>
      </c>
      <c r="X24" s="33"/>
      <c r="Y24" s="33">
        <v>4698.79</v>
      </c>
      <c r="Z24" s="17">
        <f t="shared" si="2"/>
        <v>-1064.2200000000003</v>
      </c>
      <c r="AA24" s="39" t="s">
        <v>123</v>
      </c>
      <c r="AB24" s="32"/>
      <c r="AC24" s="33">
        <v>0</v>
      </c>
      <c r="AD24" s="32" t="s">
        <v>95</v>
      </c>
      <c r="AE24" s="32"/>
      <c r="AF24" s="39" t="s">
        <v>124</v>
      </c>
    </row>
    <row r="25" spans="1:32" ht="50.1" customHeight="1" x14ac:dyDescent="0.25">
      <c r="A25" s="2">
        <v>21</v>
      </c>
      <c r="B25" s="32" t="s">
        <v>121</v>
      </c>
      <c r="C25" s="32" t="s">
        <v>67</v>
      </c>
      <c r="D25" s="32" t="s">
        <v>40</v>
      </c>
      <c r="E25" s="32" t="s">
        <v>49</v>
      </c>
      <c r="F25" s="32">
        <v>1521</v>
      </c>
      <c r="G25" s="32" t="s">
        <v>50</v>
      </c>
      <c r="H25" s="32" t="s">
        <v>43</v>
      </c>
      <c r="I25" s="32" t="s">
        <v>125</v>
      </c>
      <c r="J25" s="37">
        <v>46100</v>
      </c>
      <c r="K25" s="37">
        <v>46106</v>
      </c>
      <c r="L25" s="32">
        <v>1</v>
      </c>
      <c r="M25" s="33">
        <v>200994.76</v>
      </c>
      <c r="N25" s="33">
        <v>362.65</v>
      </c>
      <c r="O25" s="33">
        <v>-227.85</v>
      </c>
      <c r="P25" s="33">
        <v>89.58</v>
      </c>
      <c r="Q25" s="33">
        <v>0</v>
      </c>
      <c r="R25" s="33">
        <v>0</v>
      </c>
      <c r="S25" s="33">
        <v>0</v>
      </c>
      <c r="T25" s="17">
        <f t="shared" si="0"/>
        <v>224.38</v>
      </c>
      <c r="U25" s="17">
        <f t="shared" si="1"/>
        <v>224.38</v>
      </c>
      <c r="V25" s="38"/>
      <c r="W25" s="33">
        <v>-1238.31</v>
      </c>
      <c r="X25" s="33">
        <v>0</v>
      </c>
      <c r="Y25" s="33">
        <v>1378.44</v>
      </c>
      <c r="Z25" s="17">
        <f t="shared" si="2"/>
        <v>140.13000000000011</v>
      </c>
      <c r="AA25" s="32" t="s">
        <v>104</v>
      </c>
      <c r="AB25" s="32">
        <v>1</v>
      </c>
      <c r="AC25" s="33">
        <v>0</v>
      </c>
      <c r="AD25" s="32" t="s">
        <v>46</v>
      </c>
      <c r="AE25" s="32"/>
      <c r="AF25" s="32" t="s">
        <v>126</v>
      </c>
    </row>
    <row r="26" spans="1:32" ht="50.1" customHeight="1" x14ac:dyDescent="0.25">
      <c r="A26" s="2">
        <v>22</v>
      </c>
      <c r="B26" s="32" t="s">
        <v>127</v>
      </c>
      <c r="C26" s="32" t="s">
        <v>54</v>
      </c>
      <c r="D26" s="32" t="s">
        <v>62</v>
      </c>
      <c r="E26" s="32" t="s">
        <v>56</v>
      </c>
      <c r="F26" s="32">
        <v>1757</v>
      </c>
      <c r="G26" s="32" t="s">
        <v>42</v>
      </c>
      <c r="H26" s="32" t="s">
        <v>43</v>
      </c>
      <c r="I26" s="32" t="s">
        <v>128</v>
      </c>
      <c r="J26" s="37">
        <v>46105</v>
      </c>
      <c r="K26" s="37">
        <v>46111</v>
      </c>
      <c r="L26" s="32">
        <v>1</v>
      </c>
      <c r="M26" s="33">
        <v>246872.5</v>
      </c>
      <c r="N26" s="33">
        <v>0</v>
      </c>
      <c r="O26" s="33">
        <v>0</v>
      </c>
      <c r="P26" s="33">
        <v>0</v>
      </c>
      <c r="Q26" s="33">
        <v>0</v>
      </c>
      <c r="R26" s="33">
        <v>0</v>
      </c>
      <c r="S26" s="33">
        <v>0</v>
      </c>
      <c r="T26" s="17">
        <f t="shared" si="0"/>
        <v>0</v>
      </c>
      <c r="U26" s="17">
        <f t="shared" si="1"/>
        <v>0</v>
      </c>
      <c r="V26" s="38"/>
      <c r="W26" s="33">
        <v>0</v>
      </c>
      <c r="X26" s="33">
        <v>0</v>
      </c>
      <c r="Y26" s="33">
        <v>0</v>
      </c>
      <c r="Z26" s="17">
        <f t="shared" si="2"/>
        <v>0</v>
      </c>
      <c r="AA26" s="32" t="s">
        <v>64</v>
      </c>
      <c r="AB26" s="32">
        <v>1</v>
      </c>
      <c r="AC26" s="33">
        <v>0</v>
      </c>
      <c r="AD26" s="32" t="s">
        <v>46</v>
      </c>
      <c r="AE26" s="32"/>
      <c r="AF26" s="32" t="s">
        <v>129</v>
      </c>
    </row>
    <row r="27" spans="1:32" ht="50.1" customHeight="1" x14ac:dyDescent="0.25">
      <c r="A27" s="2">
        <v>23</v>
      </c>
      <c r="B27" s="32" t="s">
        <v>130</v>
      </c>
      <c r="C27" s="32" t="s">
        <v>54</v>
      </c>
      <c r="D27" s="32" t="s">
        <v>93</v>
      </c>
      <c r="E27" s="32" t="s">
        <v>56</v>
      </c>
      <c r="F27" s="32">
        <v>1732</v>
      </c>
      <c r="G27" s="32" t="s">
        <v>57</v>
      </c>
      <c r="H27" s="32" t="s">
        <v>43</v>
      </c>
      <c r="I27" s="32" t="s">
        <v>131</v>
      </c>
      <c r="J27" s="37">
        <v>46095</v>
      </c>
      <c r="K27" s="37">
        <v>46097</v>
      </c>
      <c r="L27" s="32">
        <v>1</v>
      </c>
      <c r="M27" s="33">
        <v>60065.81</v>
      </c>
      <c r="N27" s="33">
        <v>0</v>
      </c>
      <c r="O27" s="33">
        <v>0</v>
      </c>
      <c r="P27" s="33">
        <v>0</v>
      </c>
      <c r="Q27" s="33">
        <v>0</v>
      </c>
      <c r="R27" s="33">
        <v>0</v>
      </c>
      <c r="S27" s="33">
        <v>0</v>
      </c>
      <c r="T27" s="17">
        <f t="shared" si="0"/>
        <v>0</v>
      </c>
      <c r="U27" s="17">
        <f t="shared" si="1"/>
        <v>0</v>
      </c>
      <c r="V27" s="38"/>
      <c r="W27" s="33">
        <v>0</v>
      </c>
      <c r="X27" s="33">
        <v>0</v>
      </c>
      <c r="Y27" s="33">
        <v>0</v>
      </c>
      <c r="Z27" s="17">
        <f t="shared" si="2"/>
        <v>0</v>
      </c>
      <c r="AA27" s="32" t="s">
        <v>64</v>
      </c>
      <c r="AB27" s="32">
        <v>1</v>
      </c>
      <c r="AC27" s="33">
        <v>0</v>
      </c>
      <c r="AD27" s="32" t="s">
        <v>46</v>
      </c>
      <c r="AE27" s="32"/>
      <c r="AF27" s="32" t="s">
        <v>132</v>
      </c>
    </row>
    <row r="28" spans="1:32" ht="50.1" customHeight="1" x14ac:dyDescent="0.25">
      <c r="A28" s="2">
        <v>24</v>
      </c>
      <c r="B28" s="32" t="s">
        <v>133</v>
      </c>
      <c r="C28" s="32" t="s">
        <v>54</v>
      </c>
      <c r="D28" s="32" t="s">
        <v>93</v>
      </c>
      <c r="E28" s="32" t="s">
        <v>56</v>
      </c>
      <c r="F28" s="32">
        <v>1739</v>
      </c>
      <c r="G28" s="32" t="s">
        <v>57</v>
      </c>
      <c r="H28" s="32" t="s">
        <v>43</v>
      </c>
      <c r="I28" s="32" t="s">
        <v>134</v>
      </c>
      <c r="J28" s="37">
        <v>46049</v>
      </c>
      <c r="K28" s="37">
        <v>46051</v>
      </c>
      <c r="L28" s="32">
        <v>1</v>
      </c>
      <c r="M28" s="33">
        <v>30493.54</v>
      </c>
      <c r="N28" s="33">
        <v>0</v>
      </c>
      <c r="O28" s="33">
        <v>0</v>
      </c>
      <c r="P28" s="33">
        <v>0</v>
      </c>
      <c r="Q28" s="33">
        <v>0</v>
      </c>
      <c r="R28" s="33">
        <v>0</v>
      </c>
      <c r="S28" s="33">
        <v>0</v>
      </c>
      <c r="T28" s="17">
        <f t="shared" si="0"/>
        <v>0</v>
      </c>
      <c r="U28" s="17">
        <f t="shared" si="1"/>
        <v>0</v>
      </c>
      <c r="V28" s="38"/>
      <c r="W28" s="33">
        <v>0</v>
      </c>
      <c r="X28" s="33">
        <v>0</v>
      </c>
      <c r="Y28" s="33">
        <v>0</v>
      </c>
      <c r="Z28" s="17">
        <f t="shared" si="2"/>
        <v>0</v>
      </c>
      <c r="AA28" s="32" t="s">
        <v>64</v>
      </c>
      <c r="AB28" s="32">
        <v>1</v>
      </c>
      <c r="AC28" s="33">
        <v>0</v>
      </c>
      <c r="AD28" s="32" t="s">
        <v>46</v>
      </c>
      <c r="AE28" s="32"/>
      <c r="AF28" s="32" t="s">
        <v>135</v>
      </c>
    </row>
    <row r="29" spans="1:32" ht="50.1" customHeight="1" x14ac:dyDescent="0.25">
      <c r="A29" s="2">
        <v>25</v>
      </c>
      <c r="B29" s="32" t="s">
        <v>136</v>
      </c>
      <c r="C29" s="32" t="s">
        <v>54</v>
      </c>
      <c r="D29" s="32" t="s">
        <v>93</v>
      </c>
      <c r="E29" s="32" t="s">
        <v>41</v>
      </c>
      <c r="F29" s="32">
        <v>1733</v>
      </c>
      <c r="G29" s="32" t="s">
        <v>42</v>
      </c>
      <c r="H29" s="32" t="s">
        <v>43</v>
      </c>
      <c r="I29" s="32" t="s">
        <v>137</v>
      </c>
      <c r="J29" s="34">
        <v>46080</v>
      </c>
      <c r="K29" s="37">
        <v>46081</v>
      </c>
      <c r="L29" s="32">
        <v>1</v>
      </c>
      <c r="M29" s="33">
        <v>40866.699999999997</v>
      </c>
      <c r="N29" s="33">
        <v>0</v>
      </c>
      <c r="O29" s="33">
        <v>0</v>
      </c>
      <c r="P29" s="33">
        <v>1.36</v>
      </c>
      <c r="Q29" s="33">
        <v>0</v>
      </c>
      <c r="R29" s="33">
        <v>0</v>
      </c>
      <c r="S29" s="33">
        <v>0</v>
      </c>
      <c r="T29" s="17">
        <f t="shared" si="0"/>
        <v>1.36</v>
      </c>
      <c r="U29" s="17">
        <f t="shared" si="1"/>
        <v>1.36</v>
      </c>
      <c r="V29" s="38"/>
      <c r="W29" s="33">
        <v>-2.5</v>
      </c>
      <c r="X29" s="33">
        <v>0</v>
      </c>
      <c r="Y29" s="33">
        <v>2.4</v>
      </c>
      <c r="Z29" s="17">
        <f t="shared" si="2"/>
        <v>-0.10000000000000009</v>
      </c>
      <c r="AA29" s="32" t="s">
        <v>104</v>
      </c>
      <c r="AB29" s="32">
        <v>1</v>
      </c>
      <c r="AC29" s="33">
        <v>0</v>
      </c>
      <c r="AD29" s="32" t="s">
        <v>46</v>
      </c>
      <c r="AE29" s="32"/>
      <c r="AF29" s="32" t="s">
        <v>138</v>
      </c>
    </row>
    <row r="30" spans="1:32" ht="50.1" customHeight="1" x14ac:dyDescent="0.25">
      <c r="A30" s="2">
        <v>26</v>
      </c>
      <c r="B30" s="32" t="s">
        <v>139</v>
      </c>
      <c r="C30" s="32" t="s">
        <v>101</v>
      </c>
      <c r="D30" s="32" t="s">
        <v>102</v>
      </c>
      <c r="E30" s="32" t="s">
        <v>41</v>
      </c>
      <c r="F30" s="32">
        <v>3041</v>
      </c>
      <c r="G30" s="32" t="s">
        <v>42</v>
      </c>
      <c r="H30" s="32" t="s">
        <v>43</v>
      </c>
      <c r="I30" s="32" t="s">
        <v>140</v>
      </c>
      <c r="J30" s="37">
        <v>46067</v>
      </c>
      <c r="K30" s="37">
        <v>46071</v>
      </c>
      <c r="L30" s="32">
        <v>1</v>
      </c>
      <c r="M30" s="33">
        <v>26895.73</v>
      </c>
      <c r="N30" s="33">
        <v>0</v>
      </c>
      <c r="O30" s="33">
        <v>-7.84</v>
      </c>
      <c r="P30" s="33">
        <v>6.72</v>
      </c>
      <c r="Q30" s="33">
        <v>0</v>
      </c>
      <c r="R30" s="33">
        <v>0</v>
      </c>
      <c r="S30" s="33">
        <v>0</v>
      </c>
      <c r="T30" s="17">
        <f t="shared" si="0"/>
        <v>-1.1200000000000001</v>
      </c>
      <c r="U30" s="17">
        <f t="shared" si="1"/>
        <v>-1.1200000000000001</v>
      </c>
      <c r="V30" s="38"/>
      <c r="W30" s="33">
        <v>-378.6</v>
      </c>
      <c r="X30" s="33">
        <v>0</v>
      </c>
      <c r="Y30" s="33">
        <v>358.89</v>
      </c>
      <c r="Z30" s="17">
        <f t="shared" si="2"/>
        <v>-19.710000000000036</v>
      </c>
      <c r="AA30" s="32" t="s">
        <v>104</v>
      </c>
      <c r="AB30" s="32">
        <v>1</v>
      </c>
      <c r="AC30" s="33">
        <v>224.03</v>
      </c>
      <c r="AD30" s="32" t="s">
        <v>46</v>
      </c>
      <c r="AE30" s="32"/>
      <c r="AF30" s="32" t="s">
        <v>141</v>
      </c>
    </row>
    <row r="31" spans="1:32" ht="50.1" customHeight="1" x14ac:dyDescent="0.25">
      <c r="A31" s="2">
        <v>27</v>
      </c>
      <c r="B31" s="32" t="s">
        <v>142</v>
      </c>
      <c r="C31" s="32" t="s">
        <v>101</v>
      </c>
      <c r="D31" s="32" t="s">
        <v>102</v>
      </c>
      <c r="E31" s="32" t="s">
        <v>49</v>
      </c>
      <c r="F31" s="32">
        <v>3040</v>
      </c>
      <c r="G31" s="32" t="s">
        <v>50</v>
      </c>
      <c r="H31" s="32" t="s">
        <v>43</v>
      </c>
      <c r="I31" s="32" t="s">
        <v>143</v>
      </c>
      <c r="J31" s="37">
        <v>46062</v>
      </c>
      <c r="K31" s="37">
        <v>46065</v>
      </c>
      <c r="L31" s="32">
        <v>1</v>
      </c>
      <c r="M31" s="33">
        <v>25598.42</v>
      </c>
      <c r="N31" s="33">
        <v>173.19</v>
      </c>
      <c r="O31" s="33">
        <v>-208.65</v>
      </c>
      <c r="P31" s="33">
        <v>9.43</v>
      </c>
      <c r="Q31" s="33">
        <v>-7.96</v>
      </c>
      <c r="R31" s="33">
        <v>0</v>
      </c>
      <c r="S31" s="33">
        <v>0</v>
      </c>
      <c r="T31" s="17">
        <f t="shared" si="0"/>
        <v>-33.990000000000009</v>
      </c>
      <c r="U31" s="17">
        <f t="shared" si="1"/>
        <v>-33.990000000000009</v>
      </c>
      <c r="V31" s="38"/>
      <c r="W31" s="33">
        <v>-1294.72</v>
      </c>
      <c r="X31" s="33">
        <v>0</v>
      </c>
      <c r="Y31" s="33">
        <v>1260.92</v>
      </c>
      <c r="Z31" s="17">
        <f t="shared" si="2"/>
        <v>-33.799999999999955</v>
      </c>
      <c r="AA31" s="32" t="s">
        <v>104</v>
      </c>
      <c r="AB31" s="32">
        <v>2</v>
      </c>
      <c r="AC31" s="33">
        <v>142.27000000000001</v>
      </c>
      <c r="AD31" s="32" t="s">
        <v>46</v>
      </c>
      <c r="AE31" s="32"/>
      <c r="AF31" s="32" t="s">
        <v>144</v>
      </c>
    </row>
    <row r="32" spans="1:32" ht="50.1" customHeight="1" x14ac:dyDescent="0.25">
      <c r="A32" s="2">
        <v>28</v>
      </c>
      <c r="B32" s="32" t="s">
        <v>145</v>
      </c>
      <c r="C32" s="32" t="s">
        <v>54</v>
      </c>
      <c r="D32" s="32" t="s">
        <v>55</v>
      </c>
      <c r="E32" s="32" t="s">
        <v>49</v>
      </c>
      <c r="F32" s="32">
        <v>1704</v>
      </c>
      <c r="G32" s="32" t="s">
        <v>50</v>
      </c>
      <c r="H32" s="32" t="s">
        <v>43</v>
      </c>
      <c r="I32" s="32" t="s">
        <v>146</v>
      </c>
      <c r="J32" s="37">
        <v>46058</v>
      </c>
      <c r="K32" s="37">
        <v>46059</v>
      </c>
      <c r="L32" s="32">
        <v>1</v>
      </c>
      <c r="M32" s="33">
        <v>110542.78</v>
      </c>
      <c r="N32" s="33">
        <v>19.39</v>
      </c>
      <c r="O32" s="33">
        <v>-60.28</v>
      </c>
      <c r="P32" s="33">
        <v>-9.83</v>
      </c>
      <c r="Q32" s="33">
        <v>0</v>
      </c>
      <c r="R32" s="33">
        <v>0</v>
      </c>
      <c r="S32" s="33">
        <v>0</v>
      </c>
      <c r="T32" s="17">
        <f t="shared" si="0"/>
        <v>-50.72</v>
      </c>
      <c r="U32" s="17">
        <f t="shared" si="1"/>
        <v>-50.72</v>
      </c>
      <c r="V32" s="38"/>
      <c r="W32" s="33">
        <v>-179.73</v>
      </c>
      <c r="X32" s="33">
        <v>0</v>
      </c>
      <c r="Y32" s="33">
        <v>154.35</v>
      </c>
      <c r="Z32" s="17">
        <f t="shared" si="2"/>
        <v>-25.379999999999995</v>
      </c>
      <c r="AA32" s="32" t="s">
        <v>104</v>
      </c>
      <c r="AB32" s="32">
        <v>1</v>
      </c>
      <c r="AC32" s="33">
        <v>22.99</v>
      </c>
      <c r="AD32" s="39" t="s">
        <v>95</v>
      </c>
      <c r="AE32" s="39"/>
      <c r="AF32" s="32" t="s">
        <v>147</v>
      </c>
    </row>
    <row r="33" spans="1:32" ht="50.1" customHeight="1" x14ac:dyDescent="0.25">
      <c r="A33" s="2">
        <v>29</v>
      </c>
      <c r="B33" s="32" t="s">
        <v>148</v>
      </c>
      <c r="C33" s="32" t="s">
        <v>54</v>
      </c>
      <c r="D33" s="32" t="s">
        <v>55</v>
      </c>
      <c r="E33" s="32" t="s">
        <v>41</v>
      </c>
      <c r="F33" s="32">
        <v>1711</v>
      </c>
      <c r="G33" s="32" t="s">
        <v>42</v>
      </c>
      <c r="H33" s="32" t="s">
        <v>43</v>
      </c>
      <c r="I33" s="32" t="s">
        <v>149</v>
      </c>
      <c r="J33" s="37">
        <v>46037</v>
      </c>
      <c r="K33" s="37">
        <v>46039</v>
      </c>
      <c r="L33" s="32">
        <v>1</v>
      </c>
      <c r="M33" s="33">
        <v>79448.62</v>
      </c>
      <c r="N33" s="33">
        <v>47.97</v>
      </c>
      <c r="O33" s="33">
        <v>-47.97</v>
      </c>
      <c r="P33" s="33">
        <v>0</v>
      </c>
      <c r="Q33" s="33">
        <v>0</v>
      </c>
      <c r="R33" s="33">
        <v>-12.28</v>
      </c>
      <c r="S33" s="33">
        <v>0</v>
      </c>
      <c r="T33" s="17">
        <f t="shared" si="0"/>
        <v>-12.28</v>
      </c>
      <c r="U33" s="17">
        <f t="shared" si="1"/>
        <v>0</v>
      </c>
      <c r="V33" s="38"/>
      <c r="W33" s="33">
        <v>-43.37</v>
      </c>
      <c r="X33" s="33">
        <v>-7.8</v>
      </c>
      <c r="Y33" s="33">
        <v>31.94</v>
      </c>
      <c r="Z33" s="17">
        <f t="shared" si="2"/>
        <v>-19.229999999999993</v>
      </c>
      <c r="AA33" s="32" t="s">
        <v>104</v>
      </c>
      <c r="AB33" s="32">
        <v>1</v>
      </c>
      <c r="AC33" s="33">
        <v>26.4</v>
      </c>
      <c r="AD33" s="32" t="s">
        <v>46</v>
      </c>
      <c r="AE33" s="32"/>
      <c r="AF33" s="32" t="s">
        <v>150</v>
      </c>
    </row>
    <row r="34" spans="1:32" ht="50.1" customHeight="1" x14ac:dyDescent="0.25">
      <c r="A34" s="2">
        <v>30</v>
      </c>
      <c r="B34" s="32" t="s">
        <v>151</v>
      </c>
      <c r="C34" s="32" t="s">
        <v>54</v>
      </c>
      <c r="D34" s="32" t="s">
        <v>71</v>
      </c>
      <c r="E34" s="32" t="s">
        <v>56</v>
      </c>
      <c r="F34" s="32">
        <v>1719</v>
      </c>
      <c r="G34" s="32" t="s">
        <v>57</v>
      </c>
      <c r="H34" s="32" t="s">
        <v>43</v>
      </c>
      <c r="I34" s="32" t="s">
        <v>152</v>
      </c>
      <c r="J34" s="37">
        <v>46027</v>
      </c>
      <c r="K34" s="37">
        <v>46029</v>
      </c>
      <c r="L34" s="32">
        <v>1</v>
      </c>
      <c r="M34" s="33">
        <v>10072.719999999999</v>
      </c>
      <c r="N34" s="33">
        <v>52.65</v>
      </c>
      <c r="O34" s="33">
        <v>-48.05</v>
      </c>
      <c r="P34" s="33">
        <v>0</v>
      </c>
      <c r="Q34" s="33">
        <v>0</v>
      </c>
      <c r="R34" s="33">
        <v>0</v>
      </c>
      <c r="S34" s="33">
        <v>0</v>
      </c>
      <c r="T34" s="17">
        <f t="shared" si="0"/>
        <v>4.6000000000000014</v>
      </c>
      <c r="U34" s="17">
        <f t="shared" si="1"/>
        <v>4.6000000000000014</v>
      </c>
      <c r="V34" s="38"/>
      <c r="W34" s="33">
        <v>-48.05</v>
      </c>
      <c r="X34" s="33">
        <v>0</v>
      </c>
      <c r="Y34" s="33">
        <v>52.65</v>
      </c>
      <c r="Z34" s="17">
        <f t="shared" si="2"/>
        <v>4.6000000000000014</v>
      </c>
      <c r="AA34" s="32" t="s">
        <v>64</v>
      </c>
      <c r="AB34" s="32">
        <v>1</v>
      </c>
      <c r="AC34" s="33">
        <v>0</v>
      </c>
      <c r="AD34" s="32" t="s">
        <v>46</v>
      </c>
      <c r="AE34" s="32"/>
      <c r="AF34" s="32" t="s">
        <v>153</v>
      </c>
    </row>
    <row r="35" spans="1:32" ht="50.1" customHeight="1" x14ac:dyDescent="0.25">
      <c r="A35" s="2">
        <v>31</v>
      </c>
      <c r="B35" s="32" t="s">
        <v>154</v>
      </c>
      <c r="C35" s="32" t="s">
        <v>101</v>
      </c>
      <c r="D35" s="32" t="s">
        <v>102</v>
      </c>
      <c r="E35" s="32" t="s">
        <v>56</v>
      </c>
      <c r="F35" s="32">
        <v>3043</v>
      </c>
      <c r="G35" s="32" t="s">
        <v>57</v>
      </c>
      <c r="H35" s="32" t="s">
        <v>43</v>
      </c>
      <c r="I35" s="32" t="s">
        <v>155</v>
      </c>
      <c r="J35" s="37">
        <v>46038</v>
      </c>
      <c r="K35" s="37">
        <v>46045</v>
      </c>
      <c r="L35" s="32">
        <v>1</v>
      </c>
      <c r="M35" s="33">
        <v>26291.11</v>
      </c>
      <c r="N35" s="33">
        <v>0</v>
      </c>
      <c r="O35" s="33">
        <v>0</v>
      </c>
      <c r="P35" s="33">
        <v>0</v>
      </c>
      <c r="Q35" s="33">
        <v>0</v>
      </c>
      <c r="R35" s="33">
        <v>0</v>
      </c>
      <c r="S35" s="33">
        <v>0</v>
      </c>
      <c r="T35" s="17">
        <f t="shared" si="0"/>
        <v>0</v>
      </c>
      <c r="U35" s="17">
        <f t="shared" si="1"/>
        <v>0</v>
      </c>
      <c r="V35" s="38"/>
      <c r="W35" s="33">
        <v>0</v>
      </c>
      <c r="X35" s="33">
        <v>0</v>
      </c>
      <c r="Y35" s="33">
        <v>0</v>
      </c>
      <c r="Z35" s="17">
        <f t="shared" si="2"/>
        <v>0</v>
      </c>
      <c r="AA35" s="32" t="s">
        <v>64</v>
      </c>
      <c r="AB35" s="32">
        <v>0</v>
      </c>
      <c r="AC35" s="33">
        <v>339.51</v>
      </c>
      <c r="AD35" s="32" t="s">
        <v>46</v>
      </c>
      <c r="AE35" s="32"/>
      <c r="AF35" s="32" t="s">
        <v>156</v>
      </c>
    </row>
    <row r="36" spans="1:32" ht="50.1" customHeight="1" x14ac:dyDescent="0.25">
      <c r="A36" s="2">
        <v>32</v>
      </c>
      <c r="B36" s="32" t="s">
        <v>85</v>
      </c>
      <c r="C36" s="32" t="s">
        <v>67</v>
      </c>
      <c r="D36" s="32" t="s">
        <v>40</v>
      </c>
      <c r="E36" s="32" t="s">
        <v>56</v>
      </c>
      <c r="F36" s="32">
        <v>1516</v>
      </c>
      <c r="G36" s="32" t="s">
        <v>57</v>
      </c>
      <c r="H36" s="32" t="s">
        <v>43</v>
      </c>
      <c r="I36" s="32" t="s">
        <v>157</v>
      </c>
      <c r="J36" s="34">
        <v>46066</v>
      </c>
      <c r="K36" s="37">
        <v>46111</v>
      </c>
      <c r="L36" s="32">
        <v>1</v>
      </c>
      <c r="M36" s="33">
        <v>134450.17000000001</v>
      </c>
      <c r="N36" s="33">
        <v>1572.5</v>
      </c>
      <c r="O36" s="33">
        <v>-6470.97</v>
      </c>
      <c r="P36" s="33">
        <v>0</v>
      </c>
      <c r="Q36" s="33">
        <v>-127.96</v>
      </c>
      <c r="R36" s="33">
        <v>0</v>
      </c>
      <c r="S36" s="33">
        <v>0</v>
      </c>
      <c r="T36" s="17">
        <f t="shared" si="0"/>
        <v>-5026.43</v>
      </c>
      <c r="U36" s="17">
        <f t="shared" si="1"/>
        <v>-5026.43</v>
      </c>
      <c r="V36" s="38"/>
      <c r="W36" s="33">
        <v>-3584.75</v>
      </c>
      <c r="X36" s="33">
        <v>-80.52</v>
      </c>
      <c r="Y36" s="33">
        <v>789.09</v>
      </c>
      <c r="Z36" s="17">
        <f t="shared" si="2"/>
        <v>-2876.18</v>
      </c>
      <c r="AA36" s="32" t="s">
        <v>87</v>
      </c>
      <c r="AB36" s="32">
        <v>67</v>
      </c>
      <c r="AC36" s="33">
        <v>0</v>
      </c>
      <c r="AD36" s="32" t="s">
        <v>46</v>
      </c>
      <c r="AE36" s="32"/>
      <c r="AF36" s="32" t="s">
        <v>158</v>
      </c>
    </row>
    <row r="37" spans="1:32" ht="50.1" customHeight="1" x14ac:dyDescent="0.25">
      <c r="A37" s="2">
        <v>33</v>
      </c>
      <c r="B37" s="32" t="s">
        <v>159</v>
      </c>
      <c r="C37" s="32" t="s">
        <v>54</v>
      </c>
      <c r="D37" s="32" t="s">
        <v>62</v>
      </c>
      <c r="E37" s="32" t="s">
        <v>41</v>
      </c>
      <c r="F37" s="32">
        <v>1760</v>
      </c>
      <c r="G37" s="32" t="s">
        <v>42</v>
      </c>
      <c r="H37" s="32" t="s">
        <v>43</v>
      </c>
      <c r="I37" s="32" t="s">
        <v>160</v>
      </c>
      <c r="J37" s="37">
        <v>46028</v>
      </c>
      <c r="K37" s="37">
        <v>46111</v>
      </c>
      <c r="L37" s="32">
        <v>1</v>
      </c>
      <c r="M37" s="33">
        <v>5770.64</v>
      </c>
      <c r="N37" s="33">
        <v>0</v>
      </c>
      <c r="O37" s="33">
        <v>-171.65</v>
      </c>
      <c r="P37" s="33">
        <v>0</v>
      </c>
      <c r="Q37" s="33">
        <v>0</v>
      </c>
      <c r="R37" s="33">
        <v>0</v>
      </c>
      <c r="S37" s="33">
        <v>0</v>
      </c>
      <c r="T37" s="17">
        <f t="shared" ref="T37:T62" si="3">N37+O37+P37+Q37+R37+S37</f>
        <v>-171.65</v>
      </c>
      <c r="U37" s="17">
        <f t="shared" ref="U37:U62" si="4">N37+O37+P37+Q37+S37</f>
        <v>-171.65</v>
      </c>
      <c r="V37" s="38"/>
      <c r="W37" s="33">
        <v>-171.65</v>
      </c>
      <c r="X37" s="33">
        <v>0</v>
      </c>
      <c r="Y37" s="33">
        <v>0</v>
      </c>
      <c r="Z37" s="17">
        <f t="shared" ref="Z37:Z62" si="5">W37+X37+Y37</f>
        <v>-171.65</v>
      </c>
      <c r="AA37" s="32" t="s">
        <v>64</v>
      </c>
      <c r="AB37" s="32">
        <v>2.97</v>
      </c>
      <c r="AC37" s="33">
        <v>0</v>
      </c>
      <c r="AD37" s="32" t="s">
        <v>46</v>
      </c>
      <c r="AE37" s="32"/>
      <c r="AF37" s="32" t="s">
        <v>161</v>
      </c>
    </row>
    <row r="38" spans="1:32" ht="50.1" customHeight="1" x14ac:dyDescent="0.25">
      <c r="A38" s="2">
        <v>34</v>
      </c>
      <c r="B38" s="32" t="s">
        <v>162</v>
      </c>
      <c r="C38" s="32" t="s">
        <v>54</v>
      </c>
      <c r="D38" s="32" t="s">
        <v>62</v>
      </c>
      <c r="E38" s="32" t="s">
        <v>56</v>
      </c>
      <c r="F38" s="32">
        <v>1754</v>
      </c>
      <c r="G38" s="32" t="s">
        <v>57</v>
      </c>
      <c r="H38" s="32" t="s">
        <v>43</v>
      </c>
      <c r="I38" s="32" t="s">
        <v>163</v>
      </c>
      <c r="J38" s="37">
        <v>46028</v>
      </c>
      <c r="K38" s="37">
        <v>46111</v>
      </c>
      <c r="L38" s="32">
        <v>1</v>
      </c>
      <c r="M38" s="33">
        <v>0</v>
      </c>
      <c r="N38" s="33">
        <v>0</v>
      </c>
      <c r="O38" s="33">
        <v>0</v>
      </c>
      <c r="P38" s="33">
        <v>0</v>
      </c>
      <c r="Q38" s="33">
        <v>0</v>
      </c>
      <c r="R38" s="33">
        <v>0</v>
      </c>
      <c r="S38" s="33">
        <v>0</v>
      </c>
      <c r="T38" s="17">
        <f t="shared" si="3"/>
        <v>0</v>
      </c>
      <c r="U38" s="17">
        <f t="shared" si="4"/>
        <v>0</v>
      </c>
      <c r="V38" s="38"/>
      <c r="W38" s="33">
        <v>0</v>
      </c>
      <c r="X38" s="33">
        <v>0</v>
      </c>
      <c r="Y38" s="33">
        <v>0</v>
      </c>
      <c r="Z38" s="17">
        <f t="shared" si="5"/>
        <v>0</v>
      </c>
      <c r="AA38" s="32" t="s">
        <v>104</v>
      </c>
      <c r="AB38" s="32">
        <v>1</v>
      </c>
      <c r="AC38" s="33">
        <v>0</v>
      </c>
      <c r="AD38" s="32" t="s">
        <v>46</v>
      </c>
      <c r="AE38" s="32"/>
      <c r="AF38" s="32" t="s">
        <v>164</v>
      </c>
    </row>
    <row r="39" spans="1:32" ht="50.1" customHeight="1" x14ac:dyDescent="0.25">
      <c r="A39" s="2">
        <v>35</v>
      </c>
      <c r="B39" s="32" t="s">
        <v>165</v>
      </c>
      <c r="C39" s="32" t="s">
        <v>54</v>
      </c>
      <c r="D39" s="32" t="s">
        <v>71</v>
      </c>
      <c r="E39" s="32" t="s">
        <v>56</v>
      </c>
      <c r="F39" s="32">
        <v>1720</v>
      </c>
      <c r="G39" s="32" t="s">
        <v>166</v>
      </c>
      <c r="H39" s="32" t="s">
        <v>43</v>
      </c>
      <c r="I39" s="32" t="s">
        <v>167</v>
      </c>
      <c r="J39" s="37">
        <v>46065</v>
      </c>
      <c r="K39" s="37">
        <v>46111</v>
      </c>
      <c r="L39" s="32">
        <v>1</v>
      </c>
      <c r="M39" s="33">
        <v>0</v>
      </c>
      <c r="N39" s="33">
        <v>101.06</v>
      </c>
      <c r="O39" s="33">
        <v>-323.27999999999997</v>
      </c>
      <c r="P39" s="33">
        <v>0</v>
      </c>
      <c r="Q39" s="33">
        <v>0</v>
      </c>
      <c r="R39" s="33">
        <v>0</v>
      </c>
      <c r="S39" s="33">
        <v>0</v>
      </c>
      <c r="T39" s="17">
        <f t="shared" si="3"/>
        <v>-222.21999999999997</v>
      </c>
      <c r="U39" s="17">
        <f t="shared" si="4"/>
        <v>-222.21999999999997</v>
      </c>
      <c r="V39" s="38"/>
      <c r="W39" s="33">
        <v>0</v>
      </c>
      <c r="X39" s="33">
        <v>0</v>
      </c>
      <c r="Y39" s="33">
        <v>0</v>
      </c>
      <c r="Z39" s="17">
        <f t="shared" si="5"/>
        <v>0</v>
      </c>
      <c r="AA39" s="32" t="s">
        <v>87</v>
      </c>
      <c r="AB39" s="32">
        <v>50</v>
      </c>
      <c r="AC39" s="33">
        <v>0</v>
      </c>
      <c r="AD39" s="32" t="s">
        <v>46</v>
      </c>
      <c r="AE39" s="32"/>
      <c r="AF39" s="32" t="s">
        <v>168</v>
      </c>
    </row>
    <row r="40" spans="1:32" ht="50.1" customHeight="1" x14ac:dyDescent="0.25">
      <c r="A40" s="2">
        <v>36</v>
      </c>
      <c r="B40" s="32" t="s">
        <v>169</v>
      </c>
      <c r="C40" s="32" t="s">
        <v>67</v>
      </c>
      <c r="D40" s="32" t="s">
        <v>40</v>
      </c>
      <c r="E40" s="32" t="s">
        <v>56</v>
      </c>
      <c r="F40" s="32">
        <v>1518</v>
      </c>
      <c r="G40" s="32" t="s">
        <v>57</v>
      </c>
      <c r="H40" s="32" t="s">
        <v>43</v>
      </c>
      <c r="I40" s="32" t="s">
        <v>170</v>
      </c>
      <c r="J40" s="37">
        <v>46035</v>
      </c>
      <c r="K40" s="37">
        <v>46034</v>
      </c>
      <c r="L40" s="32">
        <v>1</v>
      </c>
      <c r="M40" s="33">
        <v>80282.17</v>
      </c>
      <c r="N40" s="33">
        <v>1363.75</v>
      </c>
      <c r="O40" s="33">
        <v>-2401.81</v>
      </c>
      <c r="P40" s="33">
        <v>148.16</v>
      </c>
      <c r="Q40" s="33">
        <v>-418.05</v>
      </c>
      <c r="R40" s="33">
        <v>0</v>
      </c>
      <c r="S40" s="33">
        <v>0</v>
      </c>
      <c r="T40" s="17">
        <f t="shared" si="3"/>
        <v>-1307.95</v>
      </c>
      <c r="U40" s="17">
        <f t="shared" si="4"/>
        <v>-1307.95</v>
      </c>
      <c r="V40" s="38"/>
      <c r="W40" s="33">
        <v>-1999.04</v>
      </c>
      <c r="X40" s="33">
        <v>-245.17</v>
      </c>
      <c r="Y40" s="33">
        <v>1023.71</v>
      </c>
      <c r="Z40" s="17">
        <f t="shared" si="5"/>
        <v>-1220.5</v>
      </c>
      <c r="AA40" s="32" t="s">
        <v>123</v>
      </c>
      <c r="AB40" s="32">
        <v>85</v>
      </c>
      <c r="AC40" s="33">
        <v>0</v>
      </c>
      <c r="AD40" s="32" t="s">
        <v>46</v>
      </c>
      <c r="AE40" s="32"/>
      <c r="AF40" s="32" t="s">
        <v>171</v>
      </c>
    </row>
    <row r="41" spans="1:32" ht="50.1" customHeight="1" x14ac:dyDescent="0.25">
      <c r="A41" s="2">
        <v>37</v>
      </c>
      <c r="B41" s="32" t="s">
        <v>172</v>
      </c>
      <c r="C41" s="32" t="s">
        <v>67</v>
      </c>
      <c r="D41" s="32" t="s">
        <v>173</v>
      </c>
      <c r="E41" s="32" t="s">
        <v>56</v>
      </c>
      <c r="F41" s="32">
        <v>1507</v>
      </c>
      <c r="G41" s="32" t="s">
        <v>57</v>
      </c>
      <c r="H41" s="32" t="s">
        <v>43</v>
      </c>
      <c r="I41" s="32" t="s">
        <v>174</v>
      </c>
      <c r="J41" s="37">
        <v>46059</v>
      </c>
      <c r="K41" s="37">
        <v>46111</v>
      </c>
      <c r="L41" s="32">
        <v>1</v>
      </c>
      <c r="M41" s="33">
        <v>86028.12</v>
      </c>
      <c r="N41" s="33">
        <v>0</v>
      </c>
      <c r="O41" s="33">
        <v>0</v>
      </c>
      <c r="P41" s="33">
        <v>0</v>
      </c>
      <c r="Q41" s="33">
        <v>0</v>
      </c>
      <c r="R41" s="33">
        <v>-70.959999999999994</v>
      </c>
      <c r="S41" s="33">
        <v>0</v>
      </c>
      <c r="T41" s="17">
        <f t="shared" si="3"/>
        <v>-70.959999999999994</v>
      </c>
      <c r="U41" s="17">
        <f t="shared" si="4"/>
        <v>0</v>
      </c>
      <c r="V41" s="38"/>
      <c r="W41" s="33">
        <v>-23.96</v>
      </c>
      <c r="X41" s="33">
        <v>-23.96</v>
      </c>
      <c r="Y41" s="33">
        <v>0</v>
      </c>
      <c r="Z41" s="17">
        <f t="shared" si="5"/>
        <v>-47.92</v>
      </c>
      <c r="AA41" s="32" t="s">
        <v>64</v>
      </c>
      <c r="AB41" s="32">
        <v>1</v>
      </c>
      <c r="AC41" s="33">
        <v>0</v>
      </c>
      <c r="AD41" s="32" t="s">
        <v>46</v>
      </c>
      <c r="AE41" s="32"/>
      <c r="AF41" s="32" t="s">
        <v>175</v>
      </c>
    </row>
    <row r="42" spans="1:32" ht="50.1" customHeight="1" x14ac:dyDescent="0.25">
      <c r="A42" s="2">
        <v>38</v>
      </c>
      <c r="B42" s="32" t="s">
        <v>176</v>
      </c>
      <c r="C42" s="32" t="s">
        <v>54</v>
      </c>
      <c r="D42" s="32" t="s">
        <v>76</v>
      </c>
      <c r="E42" s="32" t="s">
        <v>56</v>
      </c>
      <c r="F42" s="32">
        <v>1729</v>
      </c>
      <c r="G42" s="32" t="s">
        <v>57</v>
      </c>
      <c r="H42" s="32" t="s">
        <v>43</v>
      </c>
      <c r="I42" s="32" t="s">
        <v>177</v>
      </c>
      <c r="J42" s="37">
        <v>46046</v>
      </c>
      <c r="K42" s="37">
        <v>46111</v>
      </c>
      <c r="L42" s="32">
        <v>1</v>
      </c>
      <c r="M42" s="33">
        <v>170960.45</v>
      </c>
      <c r="N42" s="33">
        <v>0</v>
      </c>
      <c r="O42" s="33">
        <v>0</v>
      </c>
      <c r="P42" s="33">
        <v>0</v>
      </c>
      <c r="Q42" s="33">
        <v>0</v>
      </c>
      <c r="R42" s="33">
        <v>0</v>
      </c>
      <c r="S42" s="33">
        <v>0</v>
      </c>
      <c r="T42" s="17">
        <f t="shared" si="3"/>
        <v>0</v>
      </c>
      <c r="U42" s="17">
        <f t="shared" si="4"/>
        <v>0</v>
      </c>
      <c r="V42" s="38"/>
      <c r="W42" s="33">
        <v>0</v>
      </c>
      <c r="X42" s="33">
        <v>0</v>
      </c>
      <c r="Y42" s="33">
        <v>0</v>
      </c>
      <c r="Z42" s="17">
        <f t="shared" si="5"/>
        <v>0</v>
      </c>
      <c r="AA42" s="32" t="s">
        <v>64</v>
      </c>
      <c r="AB42" s="32">
        <v>0</v>
      </c>
      <c r="AC42" s="33">
        <v>0</v>
      </c>
      <c r="AD42" s="32" t="s">
        <v>46</v>
      </c>
      <c r="AE42" s="32"/>
      <c r="AF42" s="32" t="s">
        <v>178</v>
      </c>
    </row>
    <row r="43" spans="1:32" ht="50.1" customHeight="1" x14ac:dyDescent="0.25">
      <c r="A43" s="2">
        <v>39</v>
      </c>
      <c r="B43" s="32" t="s">
        <v>179</v>
      </c>
      <c r="C43" s="32" t="s">
        <v>54</v>
      </c>
      <c r="D43" s="32" t="s">
        <v>76</v>
      </c>
      <c r="E43" s="32" t="s">
        <v>56</v>
      </c>
      <c r="F43" s="32">
        <v>1724</v>
      </c>
      <c r="G43" s="32" t="s">
        <v>57</v>
      </c>
      <c r="H43" s="32" t="s">
        <v>43</v>
      </c>
      <c r="I43" s="32" t="s">
        <v>180</v>
      </c>
      <c r="J43" s="37">
        <v>46066</v>
      </c>
      <c r="K43" s="37">
        <v>46067</v>
      </c>
      <c r="L43" s="32">
        <v>1</v>
      </c>
      <c r="M43" s="33">
        <v>272050.88</v>
      </c>
      <c r="N43" s="33">
        <v>0</v>
      </c>
      <c r="O43" s="33">
        <v>0</v>
      </c>
      <c r="P43" s="33">
        <v>0.08</v>
      </c>
      <c r="Q43" s="33">
        <v>0</v>
      </c>
      <c r="R43" s="33">
        <v>0</v>
      </c>
      <c r="S43" s="33">
        <v>0</v>
      </c>
      <c r="T43" s="17">
        <f t="shared" si="3"/>
        <v>0.08</v>
      </c>
      <c r="U43" s="17">
        <f t="shared" si="4"/>
        <v>0.08</v>
      </c>
      <c r="V43" s="38"/>
      <c r="W43" s="33">
        <v>-2311.1799999999998</v>
      </c>
      <c r="X43" s="33">
        <v>0</v>
      </c>
      <c r="Y43" s="33">
        <v>2437.38</v>
      </c>
      <c r="Z43" s="17">
        <f t="shared" si="5"/>
        <v>126.20000000000027</v>
      </c>
      <c r="AA43" s="32" t="s">
        <v>104</v>
      </c>
      <c r="AB43" s="32">
        <v>1</v>
      </c>
      <c r="AC43" s="33">
        <v>0</v>
      </c>
      <c r="AD43" s="32" t="s">
        <v>46</v>
      </c>
      <c r="AE43" s="32"/>
      <c r="AF43" s="32" t="s">
        <v>181</v>
      </c>
    </row>
    <row r="44" spans="1:32" ht="50.1" customHeight="1" x14ac:dyDescent="0.25">
      <c r="A44" s="2">
        <v>40</v>
      </c>
      <c r="B44" s="32" t="s">
        <v>182</v>
      </c>
      <c r="C44" s="32" t="s">
        <v>54</v>
      </c>
      <c r="D44" s="32" t="s">
        <v>93</v>
      </c>
      <c r="E44" s="32" t="s">
        <v>41</v>
      </c>
      <c r="F44" s="32">
        <v>1730</v>
      </c>
      <c r="G44" s="32" t="s">
        <v>42</v>
      </c>
      <c r="H44" s="32" t="s">
        <v>43</v>
      </c>
      <c r="I44" s="32" t="s">
        <v>183</v>
      </c>
      <c r="J44" s="35">
        <v>46054</v>
      </c>
      <c r="K44" s="34">
        <v>46081</v>
      </c>
      <c r="L44" s="32">
        <v>1</v>
      </c>
      <c r="M44" s="33">
        <v>43529.67</v>
      </c>
      <c r="N44" s="33">
        <v>0</v>
      </c>
      <c r="O44" s="33">
        <v>-134.16</v>
      </c>
      <c r="P44" s="33">
        <v>11.12</v>
      </c>
      <c r="Q44" s="33">
        <v>-19.329999999999998</v>
      </c>
      <c r="R44" s="33">
        <v>0</v>
      </c>
      <c r="S44" s="33">
        <v>0</v>
      </c>
      <c r="T44" s="17">
        <f t="shared" si="3"/>
        <v>-142.37</v>
      </c>
      <c r="U44" s="17">
        <f t="shared" si="4"/>
        <v>-142.37</v>
      </c>
      <c r="V44" s="38"/>
      <c r="W44" s="33">
        <v>-180.85</v>
      </c>
      <c r="X44" s="33">
        <v>0</v>
      </c>
      <c r="Y44" s="33">
        <v>109.93</v>
      </c>
      <c r="Z44" s="17">
        <f t="shared" si="5"/>
        <v>-70.919999999999987</v>
      </c>
      <c r="AA44" s="32" t="s">
        <v>64</v>
      </c>
      <c r="AB44" s="32">
        <v>1</v>
      </c>
      <c r="AC44" s="33">
        <v>0</v>
      </c>
      <c r="AD44" s="32" t="s">
        <v>46</v>
      </c>
      <c r="AE44" s="32"/>
      <c r="AF44" s="32" t="s">
        <v>184</v>
      </c>
    </row>
    <row r="45" spans="1:32" ht="50.1" customHeight="1" x14ac:dyDescent="0.25">
      <c r="A45" s="2">
        <v>41</v>
      </c>
      <c r="B45" s="32" t="s">
        <v>185</v>
      </c>
      <c r="C45" s="32" t="s">
        <v>54</v>
      </c>
      <c r="D45" s="32" t="s">
        <v>55</v>
      </c>
      <c r="E45" s="32" t="s">
        <v>49</v>
      </c>
      <c r="F45" s="32">
        <v>1700</v>
      </c>
      <c r="G45" s="32" t="s">
        <v>50</v>
      </c>
      <c r="H45" s="32" t="s">
        <v>43</v>
      </c>
      <c r="I45" s="32" t="s">
        <v>186</v>
      </c>
      <c r="J45" s="37">
        <v>46071</v>
      </c>
      <c r="K45" s="37">
        <v>46072</v>
      </c>
      <c r="L45" s="32">
        <v>1</v>
      </c>
      <c r="M45" s="33">
        <v>130660.33</v>
      </c>
      <c r="N45" s="33">
        <v>0</v>
      </c>
      <c r="O45" s="33">
        <v>0</v>
      </c>
      <c r="P45" s="33">
        <v>0</v>
      </c>
      <c r="Q45" s="33">
        <v>0</v>
      </c>
      <c r="R45" s="33">
        <v>-1049.43</v>
      </c>
      <c r="S45" s="33">
        <v>0</v>
      </c>
      <c r="T45" s="17">
        <f t="shared" si="3"/>
        <v>-1049.43</v>
      </c>
      <c r="U45" s="17">
        <f t="shared" si="4"/>
        <v>0</v>
      </c>
      <c r="V45" s="38"/>
      <c r="W45" s="33">
        <v>0</v>
      </c>
      <c r="X45" s="33">
        <v>-1052.42</v>
      </c>
      <c r="Y45" s="33">
        <v>0</v>
      </c>
      <c r="Z45" s="17">
        <f t="shared" si="5"/>
        <v>-1052.42</v>
      </c>
      <c r="AA45" s="32" t="s">
        <v>104</v>
      </c>
      <c r="AB45" s="32">
        <v>1</v>
      </c>
      <c r="AC45" s="33">
        <v>0</v>
      </c>
      <c r="AD45" s="32" t="s">
        <v>187</v>
      </c>
      <c r="AE45" s="32"/>
      <c r="AF45" s="32" t="s">
        <v>188</v>
      </c>
    </row>
    <row r="46" spans="1:32" ht="50.1" customHeight="1" x14ac:dyDescent="0.25">
      <c r="A46" s="2">
        <v>42</v>
      </c>
      <c r="B46" s="32" t="s">
        <v>189</v>
      </c>
      <c r="C46" s="32" t="s">
        <v>54</v>
      </c>
      <c r="D46" s="32" t="s">
        <v>55</v>
      </c>
      <c r="E46" s="32" t="s">
        <v>41</v>
      </c>
      <c r="F46" s="32">
        <v>1712</v>
      </c>
      <c r="G46" s="32" t="s">
        <v>42</v>
      </c>
      <c r="H46" s="32" t="s">
        <v>43</v>
      </c>
      <c r="I46" s="32" t="s">
        <v>190</v>
      </c>
      <c r="J46" s="37">
        <v>46098</v>
      </c>
      <c r="K46" s="37">
        <v>46098</v>
      </c>
      <c r="L46" s="32">
        <v>1</v>
      </c>
      <c r="M46" s="33">
        <v>129208.94</v>
      </c>
      <c r="N46" s="33">
        <v>110.95</v>
      </c>
      <c r="O46" s="33">
        <v>-195.56</v>
      </c>
      <c r="P46" s="33">
        <v>98.52</v>
      </c>
      <c r="Q46" s="33">
        <v>0</v>
      </c>
      <c r="R46" s="33">
        <v>0</v>
      </c>
      <c r="S46" s="33">
        <v>0</v>
      </c>
      <c r="T46" s="17">
        <f t="shared" si="3"/>
        <v>13.909999999999997</v>
      </c>
      <c r="U46" s="17">
        <f t="shared" si="4"/>
        <v>13.909999999999997</v>
      </c>
      <c r="V46" s="38"/>
      <c r="W46" s="33">
        <v>-812.52</v>
      </c>
      <c r="X46" s="33">
        <v>0</v>
      </c>
      <c r="Y46" s="33">
        <v>813.74</v>
      </c>
      <c r="Z46" s="17">
        <f t="shared" si="5"/>
        <v>1.2200000000000273</v>
      </c>
      <c r="AA46" s="32" t="s">
        <v>104</v>
      </c>
      <c r="AB46" s="32">
        <v>1</v>
      </c>
      <c r="AC46" s="33">
        <v>1151.6300000000001</v>
      </c>
      <c r="AD46" s="32" t="s">
        <v>46</v>
      </c>
      <c r="AE46" s="32"/>
      <c r="AF46" s="32" t="s">
        <v>191</v>
      </c>
    </row>
    <row r="47" spans="1:32" ht="50.1" customHeight="1" x14ac:dyDescent="0.25">
      <c r="A47" s="2">
        <v>43</v>
      </c>
      <c r="B47" s="32" t="s">
        <v>192</v>
      </c>
      <c r="C47" s="32" t="s">
        <v>54</v>
      </c>
      <c r="D47" s="32" t="s">
        <v>55</v>
      </c>
      <c r="E47" s="32" t="s">
        <v>56</v>
      </c>
      <c r="F47" s="32">
        <v>1701</v>
      </c>
      <c r="G47" s="32" t="s">
        <v>57</v>
      </c>
      <c r="H47" s="32" t="s">
        <v>43</v>
      </c>
      <c r="I47" s="32" t="s">
        <v>193</v>
      </c>
      <c r="J47" s="37">
        <v>46057</v>
      </c>
      <c r="K47" s="37">
        <v>46057</v>
      </c>
      <c r="L47" s="32">
        <v>1</v>
      </c>
      <c r="M47" s="33">
        <v>138354.42000000001</v>
      </c>
      <c r="N47" s="33">
        <v>0</v>
      </c>
      <c r="O47" s="33">
        <v>0</v>
      </c>
      <c r="P47" s="33">
        <v>0</v>
      </c>
      <c r="Q47" s="33">
        <v>0</v>
      </c>
      <c r="R47" s="33">
        <v>-384.38</v>
      </c>
      <c r="S47" s="33">
        <v>0</v>
      </c>
      <c r="T47" s="17">
        <f t="shared" si="3"/>
        <v>-384.38</v>
      </c>
      <c r="U47" s="17">
        <f t="shared" si="4"/>
        <v>0</v>
      </c>
      <c r="V47" s="38"/>
      <c r="W47" s="33">
        <v>-264.01</v>
      </c>
      <c r="X47" s="33">
        <v>-264.01</v>
      </c>
      <c r="Y47" s="33">
        <v>0</v>
      </c>
      <c r="Z47" s="17">
        <f t="shared" si="5"/>
        <v>-528.02</v>
      </c>
      <c r="AA47" s="32" t="s">
        <v>64</v>
      </c>
      <c r="AB47" s="32">
        <v>1</v>
      </c>
      <c r="AC47" s="33">
        <v>0</v>
      </c>
      <c r="AD47" s="32" t="s">
        <v>46</v>
      </c>
      <c r="AE47" s="32"/>
      <c r="AF47" s="32" t="s">
        <v>194</v>
      </c>
    </row>
    <row r="48" spans="1:32" ht="50.1" customHeight="1" x14ac:dyDescent="0.25">
      <c r="A48" s="2">
        <v>44</v>
      </c>
      <c r="B48" s="32" t="s">
        <v>195</v>
      </c>
      <c r="C48" s="32" t="s">
        <v>54</v>
      </c>
      <c r="D48" s="32" t="s">
        <v>55</v>
      </c>
      <c r="E48" s="32" t="s">
        <v>41</v>
      </c>
      <c r="F48" s="32">
        <v>1703</v>
      </c>
      <c r="G48" s="32" t="s">
        <v>42</v>
      </c>
      <c r="H48" s="32" t="s">
        <v>43</v>
      </c>
      <c r="I48" s="32" t="s">
        <v>196</v>
      </c>
      <c r="J48" s="37">
        <v>46046</v>
      </c>
      <c r="K48" s="37">
        <v>46046</v>
      </c>
      <c r="L48" s="32">
        <v>1</v>
      </c>
      <c r="M48" s="33">
        <v>94065.2</v>
      </c>
      <c r="N48" s="33">
        <v>0</v>
      </c>
      <c r="O48" s="33">
        <v>-99.71</v>
      </c>
      <c r="P48" s="33">
        <v>8.7899999999999991</v>
      </c>
      <c r="Q48" s="33">
        <v>0</v>
      </c>
      <c r="R48" s="33">
        <v>0</v>
      </c>
      <c r="S48" s="33">
        <v>0</v>
      </c>
      <c r="T48" s="17">
        <f t="shared" si="3"/>
        <v>-90.919999999999987</v>
      </c>
      <c r="U48" s="17">
        <f t="shared" si="4"/>
        <v>-90.919999999999987</v>
      </c>
      <c r="V48" s="38"/>
      <c r="W48" s="33">
        <v>-84.86</v>
      </c>
      <c r="X48" s="33">
        <v>0</v>
      </c>
      <c r="Y48" s="33">
        <v>45.74</v>
      </c>
      <c r="Z48" s="17">
        <f t="shared" si="5"/>
        <v>-39.119999999999997</v>
      </c>
      <c r="AA48" s="32" t="s">
        <v>64</v>
      </c>
      <c r="AB48" s="32">
        <v>1</v>
      </c>
      <c r="AC48" s="33">
        <v>1973.92</v>
      </c>
      <c r="AD48" s="32" t="s">
        <v>46</v>
      </c>
      <c r="AE48" s="32"/>
      <c r="AF48" s="32" t="s">
        <v>197</v>
      </c>
    </row>
    <row r="49" spans="1:32" ht="50.1" customHeight="1" x14ac:dyDescent="0.25">
      <c r="A49" s="2">
        <v>45</v>
      </c>
      <c r="B49" s="32" t="s">
        <v>53</v>
      </c>
      <c r="C49" s="32" t="s">
        <v>54</v>
      </c>
      <c r="D49" s="32" t="s">
        <v>55</v>
      </c>
      <c r="E49" s="32" t="s">
        <v>56</v>
      </c>
      <c r="F49" s="32">
        <v>1721</v>
      </c>
      <c r="G49" s="32" t="s">
        <v>57</v>
      </c>
      <c r="H49" s="32" t="s">
        <v>43</v>
      </c>
      <c r="I49" s="32" t="s">
        <v>58</v>
      </c>
      <c r="J49" s="37">
        <v>46059</v>
      </c>
      <c r="K49" s="37">
        <v>46059</v>
      </c>
      <c r="L49" s="32">
        <v>1</v>
      </c>
      <c r="M49" s="33">
        <v>109230.61</v>
      </c>
      <c r="N49" s="33">
        <v>0</v>
      </c>
      <c r="O49" s="33">
        <v>0</v>
      </c>
      <c r="P49" s="33">
        <v>0</v>
      </c>
      <c r="Q49" s="33">
        <v>0</v>
      </c>
      <c r="R49" s="33">
        <v>-37</v>
      </c>
      <c r="S49" s="33">
        <v>0</v>
      </c>
      <c r="T49" s="17">
        <f t="shared" si="3"/>
        <v>-37</v>
      </c>
      <c r="U49" s="17">
        <f t="shared" si="4"/>
        <v>0</v>
      </c>
      <c r="V49" s="38"/>
      <c r="W49" s="33">
        <v>-29.78</v>
      </c>
      <c r="X49" s="33">
        <v>-29.78</v>
      </c>
      <c r="Y49" s="33">
        <v>0</v>
      </c>
      <c r="Z49" s="17">
        <f t="shared" si="5"/>
        <v>-59.56</v>
      </c>
      <c r="AA49" s="32" t="s">
        <v>64</v>
      </c>
      <c r="AB49" s="32">
        <v>1</v>
      </c>
      <c r="AC49" s="33">
        <v>445.41</v>
      </c>
      <c r="AD49" s="32" t="s">
        <v>46</v>
      </c>
      <c r="AE49" s="32"/>
      <c r="AF49" s="32" t="s">
        <v>198</v>
      </c>
    </row>
    <row r="50" spans="1:32" ht="50.1" customHeight="1" x14ac:dyDescent="0.25">
      <c r="A50" s="2">
        <v>46</v>
      </c>
      <c r="B50" s="32" t="s">
        <v>199</v>
      </c>
      <c r="C50" s="32" t="s">
        <v>54</v>
      </c>
      <c r="D50" s="32" t="s">
        <v>55</v>
      </c>
      <c r="E50" s="32" t="s">
        <v>41</v>
      </c>
      <c r="F50" s="32">
        <v>1746</v>
      </c>
      <c r="G50" s="32" t="s">
        <v>42</v>
      </c>
      <c r="H50" s="32" t="s">
        <v>43</v>
      </c>
      <c r="I50" s="32" t="s">
        <v>200</v>
      </c>
      <c r="J50" s="37">
        <v>46036</v>
      </c>
      <c r="K50" s="37">
        <v>46038</v>
      </c>
      <c r="L50" s="32">
        <v>1</v>
      </c>
      <c r="M50" s="33">
        <v>61190.53</v>
      </c>
      <c r="N50" s="33">
        <v>0</v>
      </c>
      <c r="O50" s="33">
        <v>-105.96</v>
      </c>
      <c r="P50" s="33">
        <v>96.27</v>
      </c>
      <c r="Q50" s="33">
        <v>0</v>
      </c>
      <c r="R50" s="33">
        <v>0</v>
      </c>
      <c r="S50" s="33">
        <v>0</v>
      </c>
      <c r="T50" s="17">
        <f t="shared" si="3"/>
        <v>-9.6899999999999977</v>
      </c>
      <c r="U50" s="17">
        <f t="shared" si="4"/>
        <v>-9.6899999999999977</v>
      </c>
      <c r="V50" s="38"/>
      <c r="W50" s="33">
        <v>-253.99</v>
      </c>
      <c r="X50" s="33">
        <v>0</v>
      </c>
      <c r="Y50" s="33">
        <v>258.20999999999998</v>
      </c>
      <c r="Z50" s="17">
        <f t="shared" si="5"/>
        <v>4.2199999999999704</v>
      </c>
      <c r="AA50" s="32" t="s">
        <v>104</v>
      </c>
      <c r="AB50" s="32">
        <v>1</v>
      </c>
      <c r="AC50" s="33">
        <v>0</v>
      </c>
      <c r="AD50" s="32" t="s">
        <v>46</v>
      </c>
      <c r="AE50" s="32"/>
      <c r="AF50" s="32" t="s">
        <v>201</v>
      </c>
    </row>
    <row r="51" spans="1:32" ht="50.1" customHeight="1" x14ac:dyDescent="0.25">
      <c r="A51" s="2">
        <v>47</v>
      </c>
      <c r="B51" s="32" t="s">
        <v>202</v>
      </c>
      <c r="C51" s="32" t="s">
        <v>54</v>
      </c>
      <c r="D51" s="32" t="s">
        <v>55</v>
      </c>
      <c r="E51" s="32" t="s">
        <v>56</v>
      </c>
      <c r="F51" s="32">
        <v>1743</v>
      </c>
      <c r="G51" s="32" t="s">
        <v>57</v>
      </c>
      <c r="H51" s="32" t="s">
        <v>43</v>
      </c>
      <c r="I51" s="32" t="s">
        <v>203</v>
      </c>
      <c r="J51" s="37">
        <v>46093</v>
      </c>
      <c r="K51" s="37">
        <v>46094</v>
      </c>
      <c r="L51" s="32">
        <v>1</v>
      </c>
      <c r="M51" s="33">
        <v>106382.35</v>
      </c>
      <c r="N51" s="33">
        <v>0</v>
      </c>
      <c r="O51" s="33">
        <v>0</v>
      </c>
      <c r="P51" s="33">
        <v>0</v>
      </c>
      <c r="Q51" s="33">
        <v>0</v>
      </c>
      <c r="R51" s="33">
        <v>0</v>
      </c>
      <c r="S51" s="33">
        <v>0</v>
      </c>
      <c r="T51" s="17">
        <f t="shared" si="3"/>
        <v>0</v>
      </c>
      <c r="U51" s="17">
        <f t="shared" si="4"/>
        <v>0</v>
      </c>
      <c r="V51" s="38"/>
      <c r="W51" s="33">
        <v>0</v>
      </c>
      <c r="X51" s="33">
        <v>0</v>
      </c>
      <c r="Y51" s="33">
        <v>0</v>
      </c>
      <c r="Z51" s="17">
        <f t="shared" si="5"/>
        <v>0</v>
      </c>
      <c r="AA51" s="32" t="s">
        <v>104</v>
      </c>
      <c r="AB51" s="32">
        <v>0</v>
      </c>
      <c r="AC51" s="33">
        <v>233.08</v>
      </c>
      <c r="AD51" s="32" t="s">
        <v>46</v>
      </c>
      <c r="AE51" s="32"/>
      <c r="AF51" s="32" t="s">
        <v>204</v>
      </c>
    </row>
    <row r="52" spans="1:32" ht="50.1" customHeight="1" x14ac:dyDescent="0.25">
      <c r="A52" s="2">
        <v>48</v>
      </c>
      <c r="B52" s="32" t="s">
        <v>205</v>
      </c>
      <c r="C52" s="32" t="s">
        <v>54</v>
      </c>
      <c r="D52" s="32" t="s">
        <v>55</v>
      </c>
      <c r="E52" s="32" t="s">
        <v>56</v>
      </c>
      <c r="F52" s="32">
        <v>1710</v>
      </c>
      <c r="G52" s="32" t="s">
        <v>57</v>
      </c>
      <c r="H52" s="32" t="s">
        <v>43</v>
      </c>
      <c r="I52" s="32" t="s">
        <v>206</v>
      </c>
      <c r="J52" s="37">
        <v>46063</v>
      </c>
      <c r="K52" s="37">
        <v>46063</v>
      </c>
      <c r="L52" s="32">
        <v>1</v>
      </c>
      <c r="M52" s="33">
        <v>99392.04</v>
      </c>
      <c r="N52" s="33">
        <v>12.8</v>
      </c>
      <c r="O52" s="33">
        <v>0</v>
      </c>
      <c r="P52" s="33">
        <v>0</v>
      </c>
      <c r="Q52" s="33">
        <v>0</v>
      </c>
      <c r="R52" s="33">
        <v>-753.59</v>
      </c>
      <c r="S52" s="33">
        <v>0</v>
      </c>
      <c r="T52" s="17">
        <f t="shared" si="3"/>
        <v>-740.79000000000008</v>
      </c>
      <c r="U52" s="17">
        <f t="shared" si="4"/>
        <v>12.8</v>
      </c>
      <c r="V52" s="38"/>
      <c r="W52" s="33">
        <v>-530.79999999999995</v>
      </c>
      <c r="X52" s="33">
        <v>-530.79999999999995</v>
      </c>
      <c r="Y52" s="33">
        <v>5.66</v>
      </c>
      <c r="Z52" s="17">
        <f t="shared" si="5"/>
        <v>-1055.9399999999998</v>
      </c>
      <c r="AA52" s="32" t="s">
        <v>64</v>
      </c>
      <c r="AB52" s="32">
        <v>1</v>
      </c>
      <c r="AC52" s="33">
        <v>0</v>
      </c>
      <c r="AD52" s="32" t="s">
        <v>46</v>
      </c>
      <c r="AE52" s="32"/>
      <c r="AF52" s="32" t="s">
        <v>207</v>
      </c>
    </row>
    <row r="53" spans="1:32" ht="50.1" customHeight="1" x14ac:dyDescent="0.25">
      <c r="A53" s="2">
        <v>49</v>
      </c>
      <c r="B53" s="32" t="s">
        <v>208</v>
      </c>
      <c r="C53" s="32" t="s">
        <v>54</v>
      </c>
      <c r="D53" s="32" t="s">
        <v>55</v>
      </c>
      <c r="E53" s="32" t="s">
        <v>49</v>
      </c>
      <c r="F53" s="32">
        <v>1707</v>
      </c>
      <c r="G53" s="32" t="s">
        <v>50</v>
      </c>
      <c r="H53" s="32" t="s">
        <v>43</v>
      </c>
      <c r="I53" s="32" t="s">
        <v>209</v>
      </c>
      <c r="J53" s="37">
        <v>46094</v>
      </c>
      <c r="K53" s="37">
        <v>46105</v>
      </c>
      <c r="L53" s="32">
        <v>1</v>
      </c>
      <c r="M53" s="33">
        <v>106249.49</v>
      </c>
      <c r="N53" s="33">
        <v>0</v>
      </c>
      <c r="O53" s="33">
        <v>0</v>
      </c>
      <c r="P53" s="33">
        <v>0</v>
      </c>
      <c r="Q53" s="33">
        <v>0</v>
      </c>
      <c r="R53" s="33">
        <v>-640.74</v>
      </c>
      <c r="S53" s="33">
        <v>0</v>
      </c>
      <c r="T53" s="17">
        <f t="shared" si="3"/>
        <v>-640.74</v>
      </c>
      <c r="U53" s="17">
        <f t="shared" si="4"/>
        <v>0</v>
      </c>
      <c r="V53" s="38"/>
      <c r="W53" s="33">
        <v>-451.3</v>
      </c>
      <c r="X53" s="33">
        <v>-451.3</v>
      </c>
      <c r="Y53" s="33">
        <v>0</v>
      </c>
      <c r="Z53" s="17">
        <f t="shared" si="5"/>
        <v>-902.6</v>
      </c>
      <c r="AA53" s="32" t="s">
        <v>64</v>
      </c>
      <c r="AB53" s="32">
        <v>1</v>
      </c>
      <c r="AC53" s="33">
        <v>0</v>
      </c>
      <c r="AD53" s="32" t="s">
        <v>46</v>
      </c>
      <c r="AE53" s="32"/>
      <c r="AF53" s="32" t="s">
        <v>210</v>
      </c>
    </row>
    <row r="54" spans="1:32" ht="50.1" customHeight="1" x14ac:dyDescent="0.25">
      <c r="A54" s="2">
        <v>50</v>
      </c>
      <c r="B54" s="32" t="s">
        <v>70</v>
      </c>
      <c r="C54" s="32" t="s">
        <v>54</v>
      </c>
      <c r="D54" s="32" t="s">
        <v>71</v>
      </c>
      <c r="E54" s="32" t="s">
        <v>49</v>
      </c>
      <c r="F54" s="32">
        <v>1715</v>
      </c>
      <c r="G54" s="32" t="s">
        <v>50</v>
      </c>
      <c r="H54" s="32" t="s">
        <v>43</v>
      </c>
      <c r="I54" s="32" t="s">
        <v>82</v>
      </c>
      <c r="J54" s="34">
        <v>46035</v>
      </c>
      <c r="K54" s="37">
        <v>46039</v>
      </c>
      <c r="L54" s="32">
        <v>1</v>
      </c>
      <c r="M54" s="33">
        <v>51691.7</v>
      </c>
      <c r="N54" s="33">
        <v>575.74</v>
      </c>
      <c r="O54" s="33">
        <v>-2592.44</v>
      </c>
      <c r="P54" s="33">
        <v>0</v>
      </c>
      <c r="Q54" s="33">
        <v>-47.5</v>
      </c>
      <c r="R54" s="33">
        <v>0</v>
      </c>
      <c r="S54" s="33">
        <v>0</v>
      </c>
      <c r="T54" s="17">
        <f t="shared" si="3"/>
        <v>-2064.1999999999998</v>
      </c>
      <c r="U54" s="17">
        <f t="shared" si="4"/>
        <v>-2064.1999999999998</v>
      </c>
      <c r="V54" s="38"/>
      <c r="W54" s="33">
        <v>-2639.94</v>
      </c>
      <c r="X54" s="33">
        <v>-47.5</v>
      </c>
      <c r="Y54" s="33">
        <v>575.74</v>
      </c>
      <c r="Z54" s="17">
        <f t="shared" si="5"/>
        <v>-2111.6999999999998</v>
      </c>
      <c r="AA54" s="32" t="s">
        <v>123</v>
      </c>
      <c r="AB54" s="32">
        <v>8</v>
      </c>
      <c r="AC54" s="33">
        <v>275.27</v>
      </c>
      <c r="AD54" s="32" t="s">
        <v>46</v>
      </c>
      <c r="AE54" s="32"/>
      <c r="AF54" s="32" t="s">
        <v>211</v>
      </c>
    </row>
    <row r="55" spans="1:32" ht="50.1" customHeight="1" x14ac:dyDescent="0.25">
      <c r="A55" s="2">
        <v>51</v>
      </c>
      <c r="B55" s="32" t="s">
        <v>100</v>
      </c>
      <c r="C55" s="32" t="s">
        <v>101</v>
      </c>
      <c r="D55" s="32" t="s">
        <v>102</v>
      </c>
      <c r="E55" s="32" t="s">
        <v>49</v>
      </c>
      <c r="F55" s="32">
        <v>3042</v>
      </c>
      <c r="G55" s="32" t="s">
        <v>50</v>
      </c>
      <c r="H55" s="32" t="s">
        <v>43</v>
      </c>
      <c r="I55" s="32" t="s">
        <v>212</v>
      </c>
      <c r="J55" s="37">
        <v>46057</v>
      </c>
      <c r="K55" s="37">
        <v>46057</v>
      </c>
      <c r="L55" s="32">
        <v>1</v>
      </c>
      <c r="M55" s="33">
        <v>12816.39</v>
      </c>
      <c r="N55" s="33">
        <v>328.37</v>
      </c>
      <c r="O55" s="33">
        <v>-777.27</v>
      </c>
      <c r="P55" s="33">
        <v>-117.98</v>
      </c>
      <c r="Q55" s="33">
        <v>0</v>
      </c>
      <c r="R55" s="33">
        <v>0</v>
      </c>
      <c r="S55" s="33">
        <v>0</v>
      </c>
      <c r="T55" s="17">
        <f t="shared" si="3"/>
        <v>-566.88</v>
      </c>
      <c r="U55" s="17">
        <f t="shared" si="4"/>
        <v>-566.88</v>
      </c>
      <c r="V55" s="38"/>
      <c r="W55" s="33">
        <v>-512.94000000000005</v>
      </c>
      <c r="X55" s="33">
        <v>0</v>
      </c>
      <c r="Y55" s="33">
        <v>608.61</v>
      </c>
      <c r="Z55" s="17">
        <f t="shared" si="5"/>
        <v>95.669999999999959</v>
      </c>
      <c r="AA55" s="32" t="s">
        <v>87</v>
      </c>
      <c r="AB55" s="32">
        <v>2</v>
      </c>
      <c r="AC55" s="33">
        <v>0</v>
      </c>
      <c r="AD55" s="39" t="s">
        <v>213</v>
      </c>
      <c r="AE55" s="39"/>
      <c r="AF55" s="32" t="s">
        <v>214</v>
      </c>
    </row>
    <row r="56" spans="1:32" ht="50.1" customHeight="1" x14ac:dyDescent="0.25">
      <c r="A56" s="2">
        <v>52</v>
      </c>
      <c r="B56" s="32" t="s">
        <v>215</v>
      </c>
      <c r="C56" s="32" t="s">
        <v>216</v>
      </c>
      <c r="D56" s="32" t="s">
        <v>217</v>
      </c>
      <c r="E56" s="32" t="s">
        <v>56</v>
      </c>
      <c r="F56" s="32">
        <v>1450</v>
      </c>
      <c r="G56" s="32" t="s">
        <v>57</v>
      </c>
      <c r="H56" s="32" t="s">
        <v>43</v>
      </c>
      <c r="I56" s="32" t="s">
        <v>218</v>
      </c>
      <c r="J56" s="37">
        <v>46048</v>
      </c>
      <c r="K56" s="37">
        <v>46048</v>
      </c>
      <c r="L56" s="32">
        <v>1</v>
      </c>
      <c r="M56" s="33">
        <v>16.23</v>
      </c>
      <c r="N56" s="33">
        <v>35.53</v>
      </c>
      <c r="O56" s="33">
        <v>0</v>
      </c>
      <c r="P56" s="33">
        <v>339.74</v>
      </c>
      <c r="Q56" s="33">
        <v>0</v>
      </c>
      <c r="R56" s="33">
        <v>0</v>
      </c>
      <c r="S56" s="33">
        <v>0</v>
      </c>
      <c r="T56" s="17">
        <f t="shared" si="3"/>
        <v>375.27</v>
      </c>
      <c r="U56" s="17">
        <f t="shared" si="4"/>
        <v>375.27</v>
      </c>
      <c r="V56" s="38"/>
      <c r="W56" s="33">
        <v>-118.46</v>
      </c>
      <c r="X56" s="33">
        <v>0</v>
      </c>
      <c r="Y56" s="33">
        <v>153.58000000000001</v>
      </c>
      <c r="Z56" s="17">
        <f t="shared" si="5"/>
        <v>35.120000000000019</v>
      </c>
      <c r="AA56" s="32" t="s">
        <v>73</v>
      </c>
      <c r="AB56" s="32">
        <v>5</v>
      </c>
      <c r="AC56" s="33">
        <v>84.05</v>
      </c>
      <c r="AD56" s="32" t="s">
        <v>46</v>
      </c>
      <c r="AE56" s="32"/>
      <c r="AF56" s="32" t="s">
        <v>219</v>
      </c>
    </row>
    <row r="57" spans="1:32" ht="50.1" customHeight="1" x14ac:dyDescent="0.25">
      <c r="A57" s="2">
        <v>53</v>
      </c>
      <c r="B57" s="32" t="s">
        <v>220</v>
      </c>
      <c r="C57" s="32" t="s">
        <v>54</v>
      </c>
      <c r="D57" s="32" t="s">
        <v>55</v>
      </c>
      <c r="E57" s="32" t="s">
        <v>49</v>
      </c>
      <c r="F57" s="32">
        <v>1702</v>
      </c>
      <c r="G57" s="32" t="s">
        <v>50</v>
      </c>
      <c r="H57" s="32" t="s">
        <v>43</v>
      </c>
      <c r="I57" s="32" t="s">
        <v>221</v>
      </c>
      <c r="J57" s="37">
        <v>46086</v>
      </c>
      <c r="K57" s="37">
        <v>46112</v>
      </c>
      <c r="L57" s="32">
        <v>1</v>
      </c>
      <c r="M57" s="33">
        <v>125350.78</v>
      </c>
      <c r="N57" s="33">
        <v>0</v>
      </c>
      <c r="O57" s="33">
        <v>0</v>
      </c>
      <c r="P57" s="33">
        <v>0</v>
      </c>
      <c r="Q57" s="33">
        <v>0</v>
      </c>
      <c r="R57" s="33">
        <v>0</v>
      </c>
      <c r="S57" s="33">
        <v>0</v>
      </c>
      <c r="T57" s="17">
        <f t="shared" si="3"/>
        <v>0</v>
      </c>
      <c r="U57" s="17">
        <f t="shared" si="4"/>
        <v>0</v>
      </c>
      <c r="V57" s="38"/>
      <c r="W57" s="33">
        <v>0</v>
      </c>
      <c r="X57" s="33">
        <v>0</v>
      </c>
      <c r="Y57" s="33">
        <v>0</v>
      </c>
      <c r="Z57" s="17">
        <f t="shared" si="5"/>
        <v>0</v>
      </c>
      <c r="AA57" s="32" t="s">
        <v>64</v>
      </c>
      <c r="AB57" s="32">
        <v>1</v>
      </c>
      <c r="AC57" s="33">
        <v>48.26</v>
      </c>
      <c r="AD57" s="32" t="s">
        <v>46</v>
      </c>
      <c r="AE57" s="32"/>
      <c r="AF57" s="32" t="s">
        <v>222</v>
      </c>
    </row>
    <row r="58" spans="1:32" ht="50.1" customHeight="1" x14ac:dyDescent="0.25">
      <c r="A58" s="2">
        <v>54</v>
      </c>
      <c r="B58" s="32" t="s">
        <v>199</v>
      </c>
      <c r="C58" s="32" t="s">
        <v>54</v>
      </c>
      <c r="D58" s="32" t="s">
        <v>55</v>
      </c>
      <c r="E58" s="32" t="s">
        <v>41</v>
      </c>
      <c r="F58" s="32">
        <v>1746</v>
      </c>
      <c r="G58" s="32" t="s">
        <v>42</v>
      </c>
      <c r="H58" s="32" t="s">
        <v>43</v>
      </c>
      <c r="I58" s="32" t="s">
        <v>223</v>
      </c>
      <c r="J58" s="37">
        <v>46105</v>
      </c>
      <c r="K58" s="37">
        <v>46112</v>
      </c>
      <c r="L58" s="32">
        <v>1</v>
      </c>
      <c r="M58" s="33">
        <v>68510.84</v>
      </c>
      <c r="N58" s="33">
        <v>0</v>
      </c>
      <c r="O58" s="33">
        <v>0</v>
      </c>
      <c r="P58" s="33">
        <v>0</v>
      </c>
      <c r="Q58" s="33">
        <v>-95.41</v>
      </c>
      <c r="R58" s="33">
        <v>-17.940000000000001</v>
      </c>
      <c r="S58" s="33">
        <v>0</v>
      </c>
      <c r="T58" s="17">
        <f t="shared" si="3"/>
        <v>-113.35</v>
      </c>
      <c r="U58" s="17">
        <f t="shared" si="4"/>
        <v>-95.41</v>
      </c>
      <c r="V58" s="38"/>
      <c r="W58" s="33">
        <v>-73.95</v>
      </c>
      <c r="X58" s="33">
        <v>-73.95</v>
      </c>
      <c r="Y58" s="33">
        <v>0</v>
      </c>
      <c r="Z58" s="17">
        <f t="shared" si="5"/>
        <v>-147.9</v>
      </c>
      <c r="AA58" s="32" t="s">
        <v>64</v>
      </c>
      <c r="AB58" s="32">
        <v>1</v>
      </c>
      <c r="AC58" s="33">
        <v>0</v>
      </c>
      <c r="AD58" s="32" t="s">
        <v>46</v>
      </c>
      <c r="AE58" s="32"/>
      <c r="AF58" s="32" t="s">
        <v>224</v>
      </c>
    </row>
    <row r="59" spans="1:32" ht="50.1" customHeight="1" x14ac:dyDescent="0.25">
      <c r="A59" s="2">
        <v>55</v>
      </c>
      <c r="B59" s="32" t="s">
        <v>202</v>
      </c>
      <c r="C59" s="32" t="s">
        <v>54</v>
      </c>
      <c r="D59" s="32" t="s">
        <v>55</v>
      </c>
      <c r="E59" s="32" t="s">
        <v>56</v>
      </c>
      <c r="F59" s="32">
        <v>1743</v>
      </c>
      <c r="G59" s="32" t="s">
        <v>57</v>
      </c>
      <c r="H59" s="32" t="s">
        <v>43</v>
      </c>
      <c r="I59" s="32" t="s">
        <v>225</v>
      </c>
      <c r="J59" s="37">
        <v>46051</v>
      </c>
      <c r="K59" s="37">
        <v>46051</v>
      </c>
      <c r="L59" s="32">
        <v>1</v>
      </c>
      <c r="M59" s="33">
        <v>110233.17</v>
      </c>
      <c r="N59" s="33">
        <v>0</v>
      </c>
      <c r="O59" s="33">
        <v>0</v>
      </c>
      <c r="P59" s="33">
        <v>0</v>
      </c>
      <c r="Q59" s="33">
        <v>0</v>
      </c>
      <c r="R59" s="33">
        <v>-23.32</v>
      </c>
      <c r="S59" s="33">
        <v>0</v>
      </c>
      <c r="T59" s="17">
        <f t="shared" si="3"/>
        <v>-23.32</v>
      </c>
      <c r="U59" s="17">
        <f t="shared" si="4"/>
        <v>0</v>
      </c>
      <c r="V59" s="38"/>
      <c r="W59" s="33">
        <v>-16.420000000000002</v>
      </c>
      <c r="X59" s="33">
        <v>-16.420000000000002</v>
      </c>
      <c r="Y59" s="33">
        <v>0</v>
      </c>
      <c r="Z59" s="17">
        <f t="shared" si="5"/>
        <v>-32.840000000000003</v>
      </c>
      <c r="AA59" s="32" t="s">
        <v>64</v>
      </c>
      <c r="AB59" s="32">
        <v>1</v>
      </c>
      <c r="AC59" s="33">
        <v>218.19</v>
      </c>
      <c r="AD59" s="32" t="s">
        <v>46</v>
      </c>
      <c r="AE59" s="32"/>
      <c r="AF59" s="32" t="s">
        <v>226</v>
      </c>
    </row>
    <row r="60" spans="1:32" ht="50.1" customHeight="1" x14ac:dyDescent="0.25">
      <c r="A60" s="2">
        <v>56</v>
      </c>
      <c r="B60" s="32" t="s">
        <v>208</v>
      </c>
      <c r="C60" s="32" t="s">
        <v>54</v>
      </c>
      <c r="D60" s="32" t="s">
        <v>55</v>
      </c>
      <c r="E60" s="32" t="s">
        <v>49</v>
      </c>
      <c r="F60" s="32">
        <v>1707</v>
      </c>
      <c r="G60" s="32" t="s">
        <v>50</v>
      </c>
      <c r="H60" s="32" t="s">
        <v>43</v>
      </c>
      <c r="I60" s="32" t="s">
        <v>227</v>
      </c>
      <c r="J60" s="37">
        <v>46073</v>
      </c>
      <c r="K60" s="37">
        <v>46076</v>
      </c>
      <c r="L60" s="32">
        <v>1</v>
      </c>
      <c r="M60" s="33">
        <v>107715.41</v>
      </c>
      <c r="N60" s="33">
        <v>0</v>
      </c>
      <c r="O60" s="33">
        <v>0</v>
      </c>
      <c r="P60" s="33">
        <v>-96.16</v>
      </c>
      <c r="Q60" s="33">
        <v>-13.69</v>
      </c>
      <c r="R60" s="33">
        <v>-640.74</v>
      </c>
      <c r="S60" s="33">
        <v>0</v>
      </c>
      <c r="T60" s="17">
        <f t="shared" si="3"/>
        <v>-750.59</v>
      </c>
      <c r="U60" s="17">
        <f t="shared" si="4"/>
        <v>-109.85</v>
      </c>
      <c r="V60" s="38"/>
      <c r="W60" s="33">
        <v>-1016.12</v>
      </c>
      <c r="X60" s="33">
        <v>-457.1</v>
      </c>
      <c r="Y60" s="33">
        <v>498.17</v>
      </c>
      <c r="Z60" s="17">
        <f t="shared" si="5"/>
        <v>-975.05</v>
      </c>
      <c r="AA60" s="32" t="s">
        <v>64</v>
      </c>
      <c r="AB60" s="32">
        <v>2</v>
      </c>
      <c r="AC60" s="33">
        <v>0</v>
      </c>
      <c r="AD60" s="32" t="s">
        <v>187</v>
      </c>
      <c r="AE60" s="32"/>
      <c r="AF60" s="32" t="s">
        <v>228</v>
      </c>
    </row>
    <row r="61" spans="1:32" ht="50.1" customHeight="1" x14ac:dyDescent="0.25">
      <c r="A61" s="2">
        <v>57</v>
      </c>
      <c r="B61" s="32" t="s">
        <v>229</v>
      </c>
      <c r="C61" s="32" t="s">
        <v>54</v>
      </c>
      <c r="D61" s="32" t="s">
        <v>55</v>
      </c>
      <c r="E61" s="32" t="s">
        <v>56</v>
      </c>
      <c r="F61" s="32">
        <v>1708</v>
      </c>
      <c r="G61" s="32" t="s">
        <v>57</v>
      </c>
      <c r="H61" s="32" t="s">
        <v>43</v>
      </c>
      <c r="I61" s="32" t="s">
        <v>230</v>
      </c>
      <c r="J61" s="37">
        <v>46064</v>
      </c>
      <c r="K61" s="37">
        <v>46064</v>
      </c>
      <c r="L61" s="32">
        <v>1</v>
      </c>
      <c r="M61" s="33">
        <v>79320.460000000006</v>
      </c>
      <c r="N61" s="33">
        <v>0</v>
      </c>
      <c r="O61" s="33">
        <v>0</v>
      </c>
      <c r="P61" s="33">
        <v>0</v>
      </c>
      <c r="Q61" s="33">
        <v>0</v>
      </c>
      <c r="R61" s="33">
        <v>-1172.6600000000001</v>
      </c>
      <c r="S61" s="33">
        <v>0</v>
      </c>
      <c r="T61" s="17">
        <f t="shared" si="3"/>
        <v>-1172.6600000000001</v>
      </c>
      <c r="U61" s="17">
        <f t="shared" si="4"/>
        <v>0</v>
      </c>
      <c r="V61" s="38"/>
      <c r="W61" s="33">
        <v>-549.16</v>
      </c>
      <c r="X61" s="33">
        <v>-549.16</v>
      </c>
      <c r="Y61" s="33">
        <v>0</v>
      </c>
      <c r="Z61" s="17">
        <f t="shared" si="5"/>
        <v>-1098.32</v>
      </c>
      <c r="AA61" s="32" t="s">
        <v>73</v>
      </c>
      <c r="AB61" s="32">
        <v>1</v>
      </c>
      <c r="AC61" s="33">
        <v>559.57000000000005</v>
      </c>
      <c r="AD61" s="32" t="s">
        <v>46</v>
      </c>
      <c r="AE61" s="32"/>
      <c r="AF61" s="32" t="s">
        <v>231</v>
      </c>
    </row>
    <row r="62" spans="1:32" ht="50.1" customHeight="1" x14ac:dyDescent="0.25">
      <c r="A62" s="2">
        <v>58</v>
      </c>
      <c r="B62" s="32" t="s">
        <v>232</v>
      </c>
      <c r="C62" s="32" t="s">
        <v>54</v>
      </c>
      <c r="D62" s="32" t="s">
        <v>55</v>
      </c>
      <c r="E62" s="32" t="s">
        <v>49</v>
      </c>
      <c r="F62" s="32">
        <v>1742</v>
      </c>
      <c r="G62" s="32" t="s">
        <v>50</v>
      </c>
      <c r="H62" s="32" t="s">
        <v>43</v>
      </c>
      <c r="I62" s="32" t="s">
        <v>233</v>
      </c>
      <c r="J62" s="37">
        <v>46049</v>
      </c>
      <c r="K62" s="37">
        <v>46049</v>
      </c>
      <c r="L62" s="32">
        <v>1</v>
      </c>
      <c r="M62" s="33">
        <v>118536.26</v>
      </c>
      <c r="N62" s="33">
        <v>104.2</v>
      </c>
      <c r="O62" s="33">
        <v>-396.54</v>
      </c>
      <c r="P62" s="33">
        <v>78.540000000000006</v>
      </c>
      <c r="Q62" s="33">
        <v>0</v>
      </c>
      <c r="R62" s="33">
        <v>0</v>
      </c>
      <c r="S62" s="33">
        <v>0</v>
      </c>
      <c r="T62" s="17">
        <f t="shared" si="3"/>
        <v>-213.8</v>
      </c>
      <c r="U62" s="17">
        <f t="shared" si="4"/>
        <v>-213.8</v>
      </c>
      <c r="V62" s="38"/>
      <c r="W62" s="33">
        <v>-463.03</v>
      </c>
      <c r="X62" s="33">
        <v>0</v>
      </c>
      <c r="Y62" s="33">
        <v>472.6</v>
      </c>
      <c r="Z62" s="17">
        <f t="shared" si="5"/>
        <v>9.57000000000005</v>
      </c>
      <c r="AA62" s="32" t="s">
        <v>104</v>
      </c>
      <c r="AB62" s="32">
        <v>0.01</v>
      </c>
      <c r="AC62" s="33">
        <v>0</v>
      </c>
      <c r="AD62" s="39" t="s">
        <v>95</v>
      </c>
      <c r="AE62" s="39"/>
      <c r="AF62" s="32" t="s">
        <v>234</v>
      </c>
    </row>
    <row r="63" spans="1:32" ht="114.75" customHeight="1" x14ac:dyDescent="0.25">
      <c r="A63" s="2">
        <v>59</v>
      </c>
      <c r="B63" s="45" t="s">
        <v>235</v>
      </c>
      <c r="C63" s="45" t="s">
        <v>67</v>
      </c>
      <c r="D63" s="45" t="s">
        <v>40</v>
      </c>
      <c r="E63" s="45" t="s">
        <v>56</v>
      </c>
      <c r="F63" s="45">
        <v>1510</v>
      </c>
      <c r="G63" s="45" t="s">
        <v>236</v>
      </c>
      <c r="H63" s="45" t="s">
        <v>43</v>
      </c>
      <c r="I63" s="45" t="s">
        <v>237</v>
      </c>
      <c r="J63" s="46">
        <v>46122</v>
      </c>
      <c r="K63" s="46">
        <v>46122</v>
      </c>
      <c r="L63" s="45" t="s">
        <v>238</v>
      </c>
      <c r="M63" s="47">
        <v>70103.287100000001</v>
      </c>
      <c r="N63" s="47">
        <v>122.88679999999999</v>
      </c>
      <c r="O63" s="47">
        <v>-245.69829999999999</v>
      </c>
      <c r="P63" s="47">
        <v>-54.190799999999847</v>
      </c>
      <c r="Q63" s="47">
        <v>0</v>
      </c>
      <c r="R63" s="47">
        <v>0</v>
      </c>
      <c r="S63" s="47">
        <v>0</v>
      </c>
      <c r="T63" s="47">
        <v>-177.00229999999979</v>
      </c>
      <c r="U63" s="47">
        <v>-177.00229999999979</v>
      </c>
      <c r="V63" s="47">
        <v>-77.532366666666775</v>
      </c>
      <c r="W63" s="47">
        <v>-657.44586666666669</v>
      </c>
      <c r="X63" s="47">
        <v>0</v>
      </c>
      <c r="Y63" s="47">
        <v>579.91349999999989</v>
      </c>
      <c r="Z63" s="47">
        <v>-77.532366666666803</v>
      </c>
      <c r="AA63" s="45"/>
      <c r="AB63" s="45"/>
      <c r="AC63" s="45"/>
      <c r="AD63" s="45" t="s">
        <v>239</v>
      </c>
      <c r="AE63" s="45" t="s">
        <v>240</v>
      </c>
      <c r="AF63" s="45" t="s">
        <v>241</v>
      </c>
    </row>
    <row r="64" spans="1:32" ht="25.5" customHeight="1" x14ac:dyDescent="0.25">
      <c r="A64" s="2">
        <v>60</v>
      </c>
      <c r="B64" s="56" t="s">
        <v>242</v>
      </c>
      <c r="C64" s="56" t="s">
        <v>54</v>
      </c>
      <c r="D64" s="56" t="s">
        <v>62</v>
      </c>
      <c r="E64" s="56" t="s">
        <v>41</v>
      </c>
      <c r="F64" s="56">
        <v>1758</v>
      </c>
      <c r="G64" s="56" t="s">
        <v>243</v>
      </c>
      <c r="H64" s="56" t="s">
        <v>43</v>
      </c>
      <c r="I64" s="56" t="s">
        <v>244</v>
      </c>
      <c r="J64" s="57">
        <v>46112</v>
      </c>
      <c r="K64" s="57">
        <v>46122</v>
      </c>
      <c r="L64" s="56" t="s">
        <v>245</v>
      </c>
      <c r="M64" s="58">
        <v>916481.99</v>
      </c>
      <c r="N64" s="58">
        <v>0</v>
      </c>
      <c r="O64" s="58">
        <v>0</v>
      </c>
      <c r="P64" s="58">
        <v>0</v>
      </c>
      <c r="Q64" s="58">
        <v>0</v>
      </c>
      <c r="R64" s="58">
        <v>0</v>
      </c>
      <c r="S64" s="58">
        <v>0</v>
      </c>
      <c r="T64" s="58">
        <v>0</v>
      </c>
      <c r="U64" s="58">
        <v>0</v>
      </c>
      <c r="V64" s="58">
        <v>0</v>
      </c>
      <c r="W64" s="58">
        <v>0</v>
      </c>
      <c r="X64" s="58">
        <v>0</v>
      </c>
      <c r="Y64" s="58">
        <v>0</v>
      </c>
      <c r="Z64" s="58">
        <v>0</v>
      </c>
      <c r="AA64" s="56"/>
      <c r="AB64" s="56"/>
      <c r="AC64" s="56"/>
      <c r="AD64" s="56" t="s">
        <v>239</v>
      </c>
      <c r="AE64" s="56" t="s">
        <v>246</v>
      </c>
      <c r="AF64" s="56" t="s">
        <v>247</v>
      </c>
    </row>
    <row r="65" spans="1:32" ht="25.5" x14ac:dyDescent="0.25">
      <c r="A65" s="62">
        <v>61</v>
      </c>
      <c r="B65" s="62" t="s">
        <v>242</v>
      </c>
      <c r="C65" s="62" t="s">
        <v>54</v>
      </c>
      <c r="D65" s="62" t="s">
        <v>62</v>
      </c>
      <c r="E65" s="62" t="s">
        <v>41</v>
      </c>
      <c r="F65" s="62">
        <v>1758</v>
      </c>
      <c r="G65" s="62" t="s">
        <v>248</v>
      </c>
      <c r="H65" s="62" t="s">
        <v>43</v>
      </c>
      <c r="I65" s="62" t="s">
        <v>249</v>
      </c>
      <c r="J65" s="63">
        <v>46112</v>
      </c>
      <c r="K65" s="63">
        <v>46122</v>
      </c>
      <c r="L65" s="62" t="s">
        <v>238</v>
      </c>
      <c r="M65" s="64">
        <v>916481.99</v>
      </c>
      <c r="N65" s="64">
        <v>0</v>
      </c>
      <c r="O65" s="64">
        <v>0</v>
      </c>
      <c r="P65" s="64">
        <v>0</v>
      </c>
      <c r="Q65" s="64">
        <v>0</v>
      </c>
      <c r="R65" s="64">
        <v>0</v>
      </c>
      <c r="S65" s="64">
        <v>0</v>
      </c>
      <c r="T65" s="64">
        <v>0</v>
      </c>
      <c r="U65" s="64">
        <v>0</v>
      </c>
      <c r="V65" s="64">
        <v>0</v>
      </c>
      <c r="W65" s="64">
        <v>0</v>
      </c>
      <c r="X65" s="64">
        <v>0</v>
      </c>
      <c r="Y65" s="64">
        <v>0</v>
      </c>
      <c r="Z65" s="64">
        <v>0</v>
      </c>
      <c r="AA65" s="62"/>
      <c r="AB65" s="62"/>
      <c r="AC65" s="62"/>
      <c r="AD65" s="62" t="s">
        <v>239</v>
      </c>
      <c r="AE65" s="62" t="s">
        <v>246</v>
      </c>
      <c r="AF65" s="62" t="s">
        <v>247</v>
      </c>
    </row>
  </sheetData>
  <mergeCells count="6">
    <mergeCell ref="V3:Z3"/>
    <mergeCell ref="A1:AF1"/>
    <mergeCell ref="M3:U3"/>
    <mergeCell ref="AA3:AF3"/>
    <mergeCell ref="A3:L3"/>
    <mergeCell ref="A2:AF2"/>
  </mergeCells>
  <conditionalFormatting sqref="AA5:AA1967">
    <cfRule type="expression" dxfId="6" priority="1">
      <formula>ISNUMBER(SEARCH("ALTO",AA5))</formula>
    </cfRule>
    <cfRule type="expression" dxfId="5" priority="2">
      <formula>ISNUMBER(SEARCH("MEDIO",AA5))</formula>
    </cfRule>
    <cfRule type="expression" dxfId="4" priority="3">
      <formula>ISNUMBER(SEARCH("BAJO",AA5))</formula>
    </cfRule>
  </conditionalFormatting>
  <conditionalFormatting sqref="AD5:AE1967">
    <cfRule type="expression" dxfId="3" priority="4">
      <formula>ISNUMBER(SEARCH("IA",AD5))</formula>
    </cfRule>
    <cfRule type="expression" dxfId="2" priority="5">
      <formula>ISNUMBER(SEARCH("Procesado",AD5))</formula>
    </cfRule>
    <cfRule type="expression" dxfId="1" priority="6">
      <formula>ISNUMBER(SEARCH("Error",AD5))</formula>
    </cfRule>
    <cfRule type="expression" dxfId="0" priority="7">
      <formula>ISNUMBER(SEARCH("proceso",AD5))</formula>
    </cfRule>
  </conditionalFormatting>
  <dataValidations count="1">
    <dataValidation type="list" sqref="AE63:AE65" xr:uid="{00000000-0002-0000-0000-000000000000}">
      <formula1>"Si,No"</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000-000001000000}">
          <x14:formula1>
            <xm:f>_Listas!$A$1:$A$10</xm:f>
          </x14:formula1>
          <xm:sqref>AD65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9"/>
  <sheetViews>
    <sheetView showGridLines="0" topLeftCell="D1" workbookViewId="0">
      <pane ySplit="3" topLeftCell="A173" activePane="bottomLeft" state="frozen"/>
      <selection pane="bottomLeft" activeCell="J180" sqref="J180"/>
    </sheetView>
  </sheetViews>
  <sheetFormatPr baseColWidth="10" defaultColWidth="9.140625" defaultRowHeight="15" x14ac:dyDescent="0.25"/>
  <cols>
    <col min="1" max="1" width="15.5703125" style="61" bestFit="1" customWidth="1"/>
    <col min="2" max="2" width="13.5703125" style="61" bestFit="1" customWidth="1"/>
    <col min="3" max="3" width="46" style="61" bestFit="1" customWidth="1"/>
    <col min="4" max="4" width="11.7109375" style="61" bestFit="1" customWidth="1"/>
    <col min="5" max="5" width="13.42578125" style="61" bestFit="1" customWidth="1"/>
    <col min="6" max="7" width="12.7109375" style="61" bestFit="1" customWidth="1"/>
    <col min="8" max="8" width="11" style="61" bestFit="1" customWidth="1"/>
    <col min="9" max="9" width="10.85546875" style="61" bestFit="1" customWidth="1"/>
    <col min="10" max="10" width="35.7109375" style="61" bestFit="1" customWidth="1"/>
    <col min="11" max="11" width="18.42578125" style="61" bestFit="1" customWidth="1"/>
    <col min="12" max="12" width="17" style="61" bestFit="1" customWidth="1"/>
  </cols>
  <sheetData>
    <row r="1" spans="1:12" ht="27.95" customHeight="1" x14ac:dyDescent="0.25">
      <c r="A1" s="72" t="s">
        <v>250</v>
      </c>
      <c r="B1" s="73"/>
      <c r="C1" s="73"/>
      <c r="D1" s="73"/>
      <c r="E1" s="73"/>
      <c r="F1" s="73"/>
      <c r="G1" s="73"/>
      <c r="H1" s="73"/>
      <c r="I1" s="73"/>
      <c r="J1" s="73"/>
      <c r="K1" s="73"/>
      <c r="L1" s="73"/>
    </row>
    <row r="2" spans="1:12" ht="14.1" customHeight="1" x14ac:dyDescent="0.25">
      <c r="A2" s="76" t="s">
        <v>251</v>
      </c>
      <c r="B2" s="73"/>
      <c r="C2" s="73"/>
      <c r="D2" s="73"/>
      <c r="E2" s="73"/>
      <c r="F2" s="73"/>
      <c r="G2" s="73"/>
      <c r="H2" s="73"/>
      <c r="I2" s="73"/>
      <c r="J2" s="73"/>
      <c r="K2" s="73"/>
      <c r="L2" s="73"/>
    </row>
    <row r="3" spans="1:12" ht="36" customHeight="1" x14ac:dyDescent="0.25">
      <c r="A3" s="1" t="s">
        <v>252</v>
      </c>
      <c r="B3" s="1" t="s">
        <v>253</v>
      </c>
      <c r="C3" s="1" t="s">
        <v>254</v>
      </c>
      <c r="D3" s="1" t="s">
        <v>255</v>
      </c>
      <c r="E3" s="1" t="s">
        <v>256</v>
      </c>
      <c r="F3" s="1" t="s">
        <v>257</v>
      </c>
      <c r="G3" s="1" t="s">
        <v>258</v>
      </c>
      <c r="H3" s="1" t="s">
        <v>259</v>
      </c>
      <c r="I3" s="1" t="s">
        <v>260</v>
      </c>
      <c r="J3" s="1" t="s">
        <v>14</v>
      </c>
      <c r="K3" s="1" t="s">
        <v>7</v>
      </c>
      <c r="L3" s="1" t="s">
        <v>15</v>
      </c>
    </row>
    <row r="4" spans="1:12" ht="21.95" customHeight="1" x14ac:dyDescent="0.25">
      <c r="A4" s="4" t="s">
        <v>261</v>
      </c>
      <c r="B4" s="4" t="s">
        <v>262</v>
      </c>
      <c r="C4" s="5" t="s">
        <v>263</v>
      </c>
      <c r="D4" s="4">
        <v>1512</v>
      </c>
      <c r="E4" s="4">
        <v>-3</v>
      </c>
      <c r="F4" s="18">
        <v>47.86</v>
      </c>
      <c r="G4" s="18">
        <v>112.72</v>
      </c>
      <c r="H4" s="18">
        <v>-143.58000000000001</v>
      </c>
      <c r="I4" s="18">
        <v>-338.16</v>
      </c>
      <c r="J4" s="4" t="s">
        <v>44</v>
      </c>
      <c r="K4" s="4" t="s">
        <v>38</v>
      </c>
      <c r="L4" s="19">
        <v>46086</v>
      </c>
    </row>
    <row r="5" spans="1:12" ht="21.95" customHeight="1" x14ac:dyDescent="0.25">
      <c r="A5" s="4" t="s">
        <v>261</v>
      </c>
      <c r="B5" s="4" t="s">
        <v>264</v>
      </c>
      <c r="C5" s="5" t="s">
        <v>265</v>
      </c>
      <c r="D5" s="4">
        <v>1512</v>
      </c>
      <c r="E5" s="4">
        <v>-2</v>
      </c>
      <c r="F5" s="18">
        <v>40.380000000000003</v>
      </c>
      <c r="G5" s="18">
        <v>87.79</v>
      </c>
      <c r="H5" s="18">
        <v>-80.75</v>
      </c>
      <c r="I5" s="18">
        <v>-175.58</v>
      </c>
      <c r="J5" s="4" t="s">
        <v>44</v>
      </c>
      <c r="K5" s="4" t="s">
        <v>38</v>
      </c>
      <c r="L5" s="19">
        <v>46086</v>
      </c>
    </row>
    <row r="6" spans="1:12" ht="21.95" customHeight="1" x14ac:dyDescent="0.25">
      <c r="A6" s="4" t="s">
        <v>261</v>
      </c>
      <c r="B6" s="4" t="s">
        <v>266</v>
      </c>
      <c r="C6" s="5" t="s">
        <v>267</v>
      </c>
      <c r="D6" s="4">
        <v>1512</v>
      </c>
      <c r="E6" s="4">
        <v>-1</v>
      </c>
      <c r="F6" s="18">
        <v>111.77</v>
      </c>
      <c r="G6" s="18">
        <v>163.68</v>
      </c>
      <c r="H6" s="18">
        <v>-111.77</v>
      </c>
      <c r="I6" s="18">
        <v>-163.68</v>
      </c>
      <c r="J6" s="4" t="s">
        <v>44</v>
      </c>
      <c r="K6" s="4" t="s">
        <v>38</v>
      </c>
      <c r="L6" s="19">
        <v>46086</v>
      </c>
    </row>
    <row r="7" spans="1:12" ht="21.95" customHeight="1" x14ac:dyDescent="0.25">
      <c r="A7" s="4" t="s">
        <v>261</v>
      </c>
      <c r="B7" s="4" t="s">
        <v>268</v>
      </c>
      <c r="C7" s="5" t="s">
        <v>269</v>
      </c>
      <c r="D7" s="4">
        <v>1512</v>
      </c>
      <c r="E7" s="4">
        <v>-1</v>
      </c>
      <c r="F7" s="18">
        <v>110.05</v>
      </c>
      <c r="G7" s="18">
        <v>151.32</v>
      </c>
      <c r="H7" s="18">
        <v>-110.05</v>
      </c>
      <c r="I7" s="18">
        <v>-151.32</v>
      </c>
      <c r="J7" s="4" t="s">
        <v>44</v>
      </c>
      <c r="K7" s="4" t="s">
        <v>38</v>
      </c>
      <c r="L7" s="19">
        <v>46086</v>
      </c>
    </row>
    <row r="8" spans="1:12" ht="21.95" customHeight="1" x14ac:dyDescent="0.25">
      <c r="A8" s="4" t="s">
        <v>261</v>
      </c>
      <c r="B8" s="4" t="s">
        <v>270</v>
      </c>
      <c r="C8" s="5" t="s">
        <v>271</v>
      </c>
      <c r="D8" s="4">
        <v>1512</v>
      </c>
      <c r="E8" s="4">
        <v>-1</v>
      </c>
      <c r="F8" s="18">
        <v>91.17</v>
      </c>
      <c r="G8" s="18">
        <v>133.5</v>
      </c>
      <c r="H8" s="18">
        <v>-91.17</v>
      </c>
      <c r="I8" s="18">
        <v>-133.5</v>
      </c>
      <c r="J8" s="4" t="s">
        <v>44</v>
      </c>
      <c r="K8" s="4" t="s">
        <v>38</v>
      </c>
      <c r="L8" s="19">
        <v>46086</v>
      </c>
    </row>
    <row r="9" spans="1:12" ht="21.95" customHeight="1" x14ac:dyDescent="0.25">
      <c r="A9" s="4" t="s">
        <v>261</v>
      </c>
      <c r="B9" s="4" t="s">
        <v>272</v>
      </c>
      <c r="C9" s="5" t="s">
        <v>273</v>
      </c>
      <c r="D9" s="4">
        <v>1512</v>
      </c>
      <c r="E9" s="4">
        <v>-1</v>
      </c>
      <c r="F9" s="18">
        <v>66.459999999999994</v>
      </c>
      <c r="G9" s="18">
        <v>91.38</v>
      </c>
      <c r="H9" s="18">
        <v>-66.459999999999994</v>
      </c>
      <c r="I9" s="18">
        <v>-91.38</v>
      </c>
      <c r="J9" s="4" t="s">
        <v>44</v>
      </c>
      <c r="K9" s="4" t="s">
        <v>38</v>
      </c>
      <c r="L9" s="19">
        <v>46086</v>
      </c>
    </row>
    <row r="10" spans="1:12" ht="21.95" customHeight="1" x14ac:dyDescent="0.25">
      <c r="A10" s="4" t="s">
        <v>261</v>
      </c>
      <c r="B10" s="4" t="s">
        <v>274</v>
      </c>
      <c r="C10" s="5" t="s">
        <v>275</v>
      </c>
      <c r="D10" s="4">
        <v>1512</v>
      </c>
      <c r="E10" s="4">
        <v>-3</v>
      </c>
      <c r="F10" s="18">
        <v>20.9</v>
      </c>
      <c r="G10" s="18">
        <v>27.82</v>
      </c>
      <c r="H10" s="18">
        <v>-62.69</v>
      </c>
      <c r="I10" s="18">
        <v>-83.46</v>
      </c>
      <c r="J10" s="4" t="s">
        <v>44</v>
      </c>
      <c r="K10" s="4" t="s">
        <v>38</v>
      </c>
      <c r="L10" s="19">
        <v>46086</v>
      </c>
    </row>
    <row r="11" spans="1:12" ht="21.95" customHeight="1" x14ac:dyDescent="0.25">
      <c r="A11" s="4" t="s">
        <v>261</v>
      </c>
      <c r="B11" s="4" t="s">
        <v>276</v>
      </c>
      <c r="C11" s="5" t="s">
        <v>277</v>
      </c>
      <c r="D11" s="4">
        <v>1512</v>
      </c>
      <c r="E11" s="4">
        <v>-1</v>
      </c>
      <c r="F11" s="18">
        <v>29.56</v>
      </c>
      <c r="G11" s="18">
        <v>73.48</v>
      </c>
      <c r="H11" s="18">
        <v>-29.56</v>
      </c>
      <c r="I11" s="18">
        <v>-73.48</v>
      </c>
      <c r="J11" s="4" t="s">
        <v>44</v>
      </c>
      <c r="K11" s="4" t="s">
        <v>38</v>
      </c>
      <c r="L11" s="19">
        <v>46086</v>
      </c>
    </row>
    <row r="12" spans="1:12" ht="21.95" customHeight="1" x14ac:dyDescent="0.25">
      <c r="A12" s="4" t="s">
        <v>261</v>
      </c>
      <c r="B12" s="4" t="s">
        <v>278</v>
      </c>
      <c r="C12" s="5" t="s">
        <v>279</v>
      </c>
      <c r="D12" s="4">
        <v>1512</v>
      </c>
      <c r="E12" s="4">
        <v>-1</v>
      </c>
      <c r="F12" s="18">
        <v>25.11</v>
      </c>
      <c r="G12" s="18">
        <v>66.930000000000007</v>
      </c>
      <c r="H12" s="18">
        <v>-25.11</v>
      </c>
      <c r="I12" s="18">
        <v>-66.930000000000007</v>
      </c>
      <c r="J12" s="4" t="s">
        <v>44</v>
      </c>
      <c r="K12" s="4" t="s">
        <v>38</v>
      </c>
      <c r="L12" s="19">
        <v>46086</v>
      </c>
    </row>
    <row r="13" spans="1:12" ht="21.95" customHeight="1" x14ac:dyDescent="0.25">
      <c r="A13" s="4" t="s">
        <v>261</v>
      </c>
      <c r="B13" s="4" t="s">
        <v>280</v>
      </c>
      <c r="C13" s="5" t="s">
        <v>281</v>
      </c>
      <c r="D13" s="4">
        <v>1512</v>
      </c>
      <c r="E13" s="4">
        <v>-1</v>
      </c>
      <c r="F13" s="18">
        <v>42.39</v>
      </c>
      <c r="G13" s="18">
        <v>64.03</v>
      </c>
      <c r="H13" s="18">
        <v>-42.39</v>
      </c>
      <c r="I13" s="18">
        <v>-64.03</v>
      </c>
      <c r="J13" s="4" t="s">
        <v>44</v>
      </c>
      <c r="K13" s="4" t="s">
        <v>38</v>
      </c>
      <c r="L13" s="19">
        <v>46086</v>
      </c>
    </row>
    <row r="14" spans="1:12" ht="21.95" customHeight="1" x14ac:dyDescent="0.25">
      <c r="A14" s="4" t="s">
        <v>261</v>
      </c>
      <c r="B14" s="4" t="s">
        <v>282</v>
      </c>
      <c r="C14" s="5" t="s">
        <v>283</v>
      </c>
      <c r="D14" s="4">
        <v>1512</v>
      </c>
      <c r="E14" s="4">
        <v>-3</v>
      </c>
      <c r="F14" s="18">
        <v>10.33</v>
      </c>
      <c r="G14" s="18">
        <v>21.06</v>
      </c>
      <c r="H14" s="18">
        <v>-30.98</v>
      </c>
      <c r="I14" s="18">
        <v>-63.18</v>
      </c>
      <c r="J14" s="4" t="s">
        <v>44</v>
      </c>
      <c r="K14" s="4" t="s">
        <v>38</v>
      </c>
      <c r="L14" s="19">
        <v>46086</v>
      </c>
    </row>
    <row r="15" spans="1:12" ht="21.95" customHeight="1" x14ac:dyDescent="0.25">
      <c r="A15" s="4" t="s">
        <v>261</v>
      </c>
      <c r="B15" s="4" t="s">
        <v>284</v>
      </c>
      <c r="C15" s="5" t="s">
        <v>285</v>
      </c>
      <c r="D15" s="4">
        <v>1512</v>
      </c>
      <c r="E15" s="4">
        <v>-1</v>
      </c>
      <c r="F15" s="18">
        <v>31.37</v>
      </c>
      <c r="G15" s="18">
        <v>60.48</v>
      </c>
      <c r="H15" s="18">
        <v>-31.37</v>
      </c>
      <c r="I15" s="18">
        <v>-60.48</v>
      </c>
      <c r="J15" s="4" t="s">
        <v>44</v>
      </c>
      <c r="K15" s="4" t="s">
        <v>38</v>
      </c>
      <c r="L15" s="19">
        <v>46086</v>
      </c>
    </row>
    <row r="16" spans="1:12" ht="21.95" customHeight="1" x14ac:dyDescent="0.25">
      <c r="A16" s="4" t="s">
        <v>261</v>
      </c>
      <c r="B16" s="4" t="s">
        <v>286</v>
      </c>
      <c r="C16" s="5" t="s">
        <v>287</v>
      </c>
      <c r="D16" s="4">
        <v>1512</v>
      </c>
      <c r="E16" s="4">
        <v>-6</v>
      </c>
      <c r="F16" s="18">
        <v>4.18</v>
      </c>
      <c r="G16" s="18">
        <v>9.89</v>
      </c>
      <c r="H16" s="18">
        <v>-25.09</v>
      </c>
      <c r="I16" s="18">
        <v>-59.34</v>
      </c>
      <c r="J16" s="4" t="s">
        <v>44</v>
      </c>
      <c r="K16" s="4" t="s">
        <v>38</v>
      </c>
      <c r="L16" s="19">
        <v>46086</v>
      </c>
    </row>
    <row r="17" spans="1:12" ht="21.95" customHeight="1" x14ac:dyDescent="0.25">
      <c r="A17" s="4" t="s">
        <v>261</v>
      </c>
      <c r="B17" s="4" t="s">
        <v>288</v>
      </c>
      <c r="C17" s="5" t="s">
        <v>289</v>
      </c>
      <c r="D17" s="4">
        <v>1512</v>
      </c>
      <c r="E17" s="4">
        <v>-1</v>
      </c>
      <c r="F17" s="18">
        <v>34.479999999999997</v>
      </c>
      <c r="G17" s="18">
        <v>50.47</v>
      </c>
      <c r="H17" s="18">
        <v>-34.479999999999997</v>
      </c>
      <c r="I17" s="18">
        <v>-50.47</v>
      </c>
      <c r="J17" s="4" t="s">
        <v>44</v>
      </c>
      <c r="K17" s="4" t="s">
        <v>38</v>
      </c>
      <c r="L17" s="19">
        <v>46086</v>
      </c>
    </row>
    <row r="18" spans="1:12" ht="21.95" customHeight="1" x14ac:dyDescent="0.25">
      <c r="A18" s="4" t="s">
        <v>261</v>
      </c>
      <c r="B18" s="4" t="s">
        <v>290</v>
      </c>
      <c r="C18" s="5" t="s">
        <v>291</v>
      </c>
      <c r="D18" s="4">
        <v>1512</v>
      </c>
      <c r="E18" s="4">
        <v>-1</v>
      </c>
      <c r="F18" s="18">
        <v>31.82</v>
      </c>
      <c r="G18" s="18">
        <v>46.42</v>
      </c>
      <c r="H18" s="18">
        <v>-31.82</v>
      </c>
      <c r="I18" s="18">
        <v>-46.42</v>
      </c>
      <c r="J18" s="4" t="s">
        <v>44</v>
      </c>
      <c r="K18" s="4" t="s">
        <v>38</v>
      </c>
      <c r="L18" s="19">
        <v>46086</v>
      </c>
    </row>
    <row r="19" spans="1:12" ht="21.95" customHeight="1" x14ac:dyDescent="0.25">
      <c r="A19" s="4" t="s">
        <v>261</v>
      </c>
      <c r="B19" s="4" t="s">
        <v>292</v>
      </c>
      <c r="C19" s="5" t="s">
        <v>293</v>
      </c>
      <c r="D19" s="4">
        <v>1512</v>
      </c>
      <c r="E19" s="4">
        <v>-1</v>
      </c>
      <c r="F19" s="18">
        <v>15.27</v>
      </c>
      <c r="G19" s="18">
        <v>30.5</v>
      </c>
      <c r="H19" s="18">
        <v>-15.27</v>
      </c>
      <c r="I19" s="18">
        <v>-30.5</v>
      </c>
      <c r="J19" s="4" t="s">
        <v>44</v>
      </c>
      <c r="K19" s="4" t="s">
        <v>38</v>
      </c>
      <c r="L19" s="19">
        <v>46086</v>
      </c>
    </row>
    <row r="20" spans="1:12" ht="21.95" customHeight="1" x14ac:dyDescent="0.25">
      <c r="A20" s="4" t="s">
        <v>261</v>
      </c>
      <c r="B20" s="4" t="s">
        <v>294</v>
      </c>
      <c r="C20" s="5" t="s">
        <v>295</v>
      </c>
      <c r="D20" s="4">
        <v>1512</v>
      </c>
      <c r="E20" s="4">
        <v>-2</v>
      </c>
      <c r="F20" s="18">
        <v>7.33</v>
      </c>
      <c r="G20" s="18">
        <v>14.44</v>
      </c>
      <c r="H20" s="18">
        <v>-14.66</v>
      </c>
      <c r="I20" s="18">
        <v>-28.88</v>
      </c>
      <c r="J20" s="4" t="s">
        <v>44</v>
      </c>
      <c r="K20" s="4" t="s">
        <v>38</v>
      </c>
      <c r="L20" s="19">
        <v>46086</v>
      </c>
    </row>
    <row r="21" spans="1:12" ht="21.95" customHeight="1" x14ac:dyDescent="0.25">
      <c r="A21" s="4" t="s">
        <v>261</v>
      </c>
      <c r="B21" s="4" t="s">
        <v>296</v>
      </c>
      <c r="C21" s="5" t="s">
        <v>297</v>
      </c>
      <c r="D21" s="4">
        <v>1512</v>
      </c>
      <c r="E21" s="4">
        <v>-1</v>
      </c>
      <c r="F21" s="18">
        <v>16</v>
      </c>
      <c r="G21" s="18">
        <v>27.82</v>
      </c>
      <c r="H21" s="18">
        <v>-16</v>
      </c>
      <c r="I21" s="18">
        <v>-27.82</v>
      </c>
      <c r="J21" s="4" t="s">
        <v>44</v>
      </c>
      <c r="K21" s="4" t="s">
        <v>38</v>
      </c>
      <c r="L21" s="19">
        <v>46086</v>
      </c>
    </row>
    <row r="22" spans="1:12" ht="21.95" customHeight="1" x14ac:dyDescent="0.25">
      <c r="A22" s="4" t="s">
        <v>261</v>
      </c>
      <c r="B22" s="4" t="s">
        <v>298</v>
      </c>
      <c r="C22" s="5" t="s">
        <v>299</v>
      </c>
      <c r="D22" s="4">
        <v>1512</v>
      </c>
      <c r="E22" s="4">
        <v>-1</v>
      </c>
      <c r="F22" s="18">
        <v>9.2899999999999991</v>
      </c>
      <c r="G22" s="18">
        <v>25.04</v>
      </c>
      <c r="H22" s="18">
        <v>-9.2899999999999991</v>
      </c>
      <c r="I22" s="18">
        <v>-25.04</v>
      </c>
      <c r="J22" s="4" t="s">
        <v>44</v>
      </c>
      <c r="K22" s="4" t="s">
        <v>38</v>
      </c>
      <c r="L22" s="19">
        <v>46086</v>
      </c>
    </row>
    <row r="23" spans="1:12" ht="21.95" customHeight="1" x14ac:dyDescent="0.25">
      <c r="A23" s="4" t="s">
        <v>261</v>
      </c>
      <c r="B23" s="4" t="s">
        <v>300</v>
      </c>
      <c r="C23" s="5" t="s">
        <v>301</v>
      </c>
      <c r="D23" s="4">
        <v>1512</v>
      </c>
      <c r="E23" s="4">
        <v>-2</v>
      </c>
      <c r="F23" s="18">
        <v>5.5</v>
      </c>
      <c r="G23" s="18">
        <v>11.65</v>
      </c>
      <c r="H23" s="18">
        <v>-11</v>
      </c>
      <c r="I23" s="18">
        <v>-23.3</v>
      </c>
      <c r="J23" s="4" t="s">
        <v>44</v>
      </c>
      <c r="K23" s="4" t="s">
        <v>38</v>
      </c>
      <c r="L23" s="19">
        <v>46086</v>
      </c>
    </row>
    <row r="24" spans="1:12" ht="21.95" customHeight="1" x14ac:dyDescent="0.25">
      <c r="A24" s="4" t="s">
        <v>261</v>
      </c>
      <c r="B24" s="4" t="s">
        <v>302</v>
      </c>
      <c r="C24" s="5" t="s">
        <v>303</v>
      </c>
      <c r="D24" s="4">
        <v>1512</v>
      </c>
      <c r="E24" s="4">
        <v>-1</v>
      </c>
      <c r="F24" s="18">
        <v>7.95</v>
      </c>
      <c r="G24" s="18">
        <v>23.06</v>
      </c>
      <c r="H24" s="18">
        <v>-7.95</v>
      </c>
      <c r="I24" s="18">
        <v>-23.06</v>
      </c>
      <c r="J24" s="4" t="s">
        <v>44</v>
      </c>
      <c r="K24" s="4" t="s">
        <v>38</v>
      </c>
      <c r="L24" s="19">
        <v>46086</v>
      </c>
    </row>
    <row r="25" spans="1:12" ht="21.95" customHeight="1" x14ac:dyDescent="0.25">
      <c r="A25" s="4" t="s">
        <v>261</v>
      </c>
      <c r="B25" s="4" t="s">
        <v>304</v>
      </c>
      <c r="C25" s="5" t="s">
        <v>305</v>
      </c>
      <c r="D25" s="4">
        <v>1512</v>
      </c>
      <c r="E25" s="4">
        <v>-1</v>
      </c>
      <c r="F25" s="18">
        <v>10.37</v>
      </c>
      <c r="G25" s="18">
        <v>21.36</v>
      </c>
      <c r="H25" s="18">
        <v>-10.37</v>
      </c>
      <c r="I25" s="18">
        <v>-21.36</v>
      </c>
      <c r="J25" s="4" t="s">
        <v>44</v>
      </c>
      <c r="K25" s="4" t="s">
        <v>38</v>
      </c>
      <c r="L25" s="19">
        <v>46086</v>
      </c>
    </row>
    <row r="26" spans="1:12" ht="21.95" customHeight="1" x14ac:dyDescent="0.25">
      <c r="A26" s="4" t="s">
        <v>261</v>
      </c>
      <c r="B26" s="4" t="s">
        <v>306</v>
      </c>
      <c r="C26" s="5" t="s">
        <v>307</v>
      </c>
      <c r="D26" s="4">
        <v>1512</v>
      </c>
      <c r="E26" s="4">
        <v>-5</v>
      </c>
      <c r="F26" s="18">
        <v>2.41</v>
      </c>
      <c r="G26" s="18">
        <v>3.94</v>
      </c>
      <c r="H26" s="18">
        <v>-12.06</v>
      </c>
      <c r="I26" s="18">
        <v>-19.7</v>
      </c>
      <c r="J26" s="4" t="s">
        <v>44</v>
      </c>
      <c r="K26" s="4" t="s">
        <v>38</v>
      </c>
      <c r="L26" s="19">
        <v>46086</v>
      </c>
    </row>
    <row r="27" spans="1:12" ht="21.95" customHeight="1" x14ac:dyDescent="0.25">
      <c r="A27" s="4" t="s">
        <v>261</v>
      </c>
      <c r="B27" s="4" t="s">
        <v>308</v>
      </c>
      <c r="C27" s="5" t="s">
        <v>309</v>
      </c>
      <c r="D27" s="4">
        <v>1512</v>
      </c>
      <c r="E27" s="4">
        <v>-1</v>
      </c>
      <c r="F27" s="18">
        <v>8.33</v>
      </c>
      <c r="G27" s="18">
        <v>18.25</v>
      </c>
      <c r="H27" s="18">
        <v>-8.33</v>
      </c>
      <c r="I27" s="18">
        <v>-18.25</v>
      </c>
      <c r="J27" s="4" t="s">
        <v>44</v>
      </c>
      <c r="K27" s="4" t="s">
        <v>38</v>
      </c>
      <c r="L27" s="19">
        <v>46086</v>
      </c>
    </row>
    <row r="28" spans="1:12" ht="21.95" customHeight="1" x14ac:dyDescent="0.25">
      <c r="A28" s="4" t="s">
        <v>261</v>
      </c>
      <c r="B28" s="4" t="s">
        <v>310</v>
      </c>
      <c r="C28" s="5" t="s">
        <v>311</v>
      </c>
      <c r="D28" s="4">
        <v>1512</v>
      </c>
      <c r="E28" s="4">
        <v>-1</v>
      </c>
      <c r="F28" s="18">
        <v>6.94</v>
      </c>
      <c r="G28" s="18">
        <v>17.649999999999999</v>
      </c>
      <c r="H28" s="18">
        <v>-6.94</v>
      </c>
      <c r="I28" s="18">
        <v>-17.649999999999999</v>
      </c>
      <c r="J28" s="4" t="s">
        <v>44</v>
      </c>
      <c r="K28" s="4" t="s">
        <v>38</v>
      </c>
      <c r="L28" s="19">
        <v>46086</v>
      </c>
    </row>
    <row r="29" spans="1:12" ht="21.95" customHeight="1" x14ac:dyDescent="0.25">
      <c r="A29" s="4" t="s">
        <v>261</v>
      </c>
      <c r="B29" s="4" t="s">
        <v>312</v>
      </c>
      <c r="C29" s="5" t="s">
        <v>313</v>
      </c>
      <c r="D29" s="4">
        <v>1512</v>
      </c>
      <c r="E29" s="4">
        <v>-3</v>
      </c>
      <c r="F29" s="18">
        <v>3.16</v>
      </c>
      <c r="G29" s="18">
        <v>5.77</v>
      </c>
      <c r="H29" s="18">
        <v>-9.4700000000000006</v>
      </c>
      <c r="I29" s="18">
        <v>-17.309999999999999</v>
      </c>
      <c r="J29" s="4" t="s">
        <v>44</v>
      </c>
      <c r="K29" s="4" t="s">
        <v>38</v>
      </c>
      <c r="L29" s="19">
        <v>46086</v>
      </c>
    </row>
    <row r="30" spans="1:12" ht="21.95" customHeight="1" x14ac:dyDescent="0.25">
      <c r="A30" s="4" t="s">
        <v>261</v>
      </c>
      <c r="B30" s="4" t="s">
        <v>314</v>
      </c>
      <c r="C30" s="5" t="s">
        <v>315</v>
      </c>
      <c r="D30" s="4">
        <v>1512</v>
      </c>
      <c r="E30" s="4">
        <v>-3</v>
      </c>
      <c r="F30" s="18">
        <v>3.5</v>
      </c>
      <c r="G30" s="18">
        <v>5.75</v>
      </c>
      <c r="H30" s="18">
        <v>-10.5</v>
      </c>
      <c r="I30" s="18">
        <v>-17.25</v>
      </c>
      <c r="J30" s="4" t="s">
        <v>44</v>
      </c>
      <c r="K30" s="4" t="s">
        <v>38</v>
      </c>
      <c r="L30" s="19">
        <v>46086</v>
      </c>
    </row>
    <row r="31" spans="1:12" ht="21.95" customHeight="1" x14ac:dyDescent="0.25">
      <c r="A31" s="4" t="s">
        <v>261</v>
      </c>
      <c r="B31" s="4" t="s">
        <v>316</v>
      </c>
      <c r="C31" s="5" t="s">
        <v>317</v>
      </c>
      <c r="D31" s="4">
        <v>1512</v>
      </c>
      <c r="E31" s="4">
        <v>-2</v>
      </c>
      <c r="F31" s="18">
        <v>3.49</v>
      </c>
      <c r="G31" s="18">
        <v>6.65</v>
      </c>
      <c r="H31" s="18">
        <v>-6.98</v>
      </c>
      <c r="I31" s="18">
        <v>-13.3</v>
      </c>
      <c r="J31" s="4" t="s">
        <v>44</v>
      </c>
      <c r="K31" s="4" t="s">
        <v>38</v>
      </c>
      <c r="L31" s="19">
        <v>46086</v>
      </c>
    </row>
    <row r="32" spans="1:12" ht="21.95" customHeight="1" x14ac:dyDescent="0.25">
      <c r="A32" s="4" t="s">
        <v>261</v>
      </c>
      <c r="B32" s="4" t="s">
        <v>318</v>
      </c>
      <c r="C32" s="5" t="s">
        <v>319</v>
      </c>
      <c r="D32" s="4">
        <v>1512</v>
      </c>
      <c r="E32" s="4">
        <v>-1</v>
      </c>
      <c r="F32" s="18">
        <v>5.46</v>
      </c>
      <c r="G32" s="18">
        <v>11.25</v>
      </c>
      <c r="H32" s="18">
        <v>-5.46</v>
      </c>
      <c r="I32" s="18">
        <v>-11.25</v>
      </c>
      <c r="J32" s="4" t="s">
        <v>44</v>
      </c>
      <c r="K32" s="4" t="s">
        <v>38</v>
      </c>
      <c r="L32" s="19">
        <v>46086</v>
      </c>
    </row>
    <row r="33" spans="1:12" ht="21.95" customHeight="1" x14ac:dyDescent="0.25">
      <c r="A33" s="4" t="s">
        <v>261</v>
      </c>
      <c r="B33" s="4" t="s">
        <v>320</v>
      </c>
      <c r="C33" s="5" t="s">
        <v>321</v>
      </c>
      <c r="D33" s="4">
        <v>1512</v>
      </c>
      <c r="E33" s="4">
        <v>-1</v>
      </c>
      <c r="F33" s="18">
        <v>6.86</v>
      </c>
      <c r="G33" s="18">
        <v>10.46</v>
      </c>
      <c r="H33" s="18">
        <v>-6.86</v>
      </c>
      <c r="I33" s="18">
        <v>-10.46</v>
      </c>
      <c r="J33" s="4" t="s">
        <v>44</v>
      </c>
      <c r="K33" s="4" t="s">
        <v>38</v>
      </c>
      <c r="L33" s="19">
        <v>46086</v>
      </c>
    </row>
    <row r="34" spans="1:12" ht="21.95" customHeight="1" x14ac:dyDescent="0.25">
      <c r="A34" s="4" t="s">
        <v>261</v>
      </c>
      <c r="B34" s="4" t="s">
        <v>322</v>
      </c>
      <c r="C34" s="5" t="s">
        <v>323</v>
      </c>
      <c r="D34" s="4">
        <v>1512</v>
      </c>
      <c r="E34" s="4">
        <v>-1</v>
      </c>
      <c r="F34" s="18">
        <v>6.79</v>
      </c>
      <c r="G34" s="18">
        <v>10.37</v>
      </c>
      <c r="H34" s="18">
        <v>-6.79</v>
      </c>
      <c r="I34" s="18">
        <v>-10.37</v>
      </c>
      <c r="J34" s="4" t="s">
        <v>44</v>
      </c>
      <c r="K34" s="4" t="s">
        <v>38</v>
      </c>
      <c r="L34" s="19">
        <v>46086</v>
      </c>
    </row>
    <row r="35" spans="1:12" ht="21.95" customHeight="1" x14ac:dyDescent="0.25">
      <c r="A35" s="4" t="s">
        <v>261</v>
      </c>
      <c r="B35" s="4" t="s">
        <v>324</v>
      </c>
      <c r="C35" s="5" t="s">
        <v>325</v>
      </c>
      <c r="D35" s="4">
        <v>1512</v>
      </c>
      <c r="E35" s="4">
        <v>-1</v>
      </c>
      <c r="F35" s="18">
        <v>4.6900000000000004</v>
      </c>
      <c r="G35" s="18">
        <v>8.99</v>
      </c>
      <c r="H35" s="18">
        <v>-4.6900000000000004</v>
      </c>
      <c r="I35" s="18">
        <v>-8.99</v>
      </c>
      <c r="J35" s="4" t="s">
        <v>44</v>
      </c>
      <c r="K35" s="4" t="s">
        <v>38</v>
      </c>
      <c r="L35" s="19">
        <v>46086</v>
      </c>
    </row>
    <row r="36" spans="1:12" ht="21.95" customHeight="1" x14ac:dyDescent="0.25">
      <c r="A36" s="4" t="s">
        <v>261</v>
      </c>
      <c r="B36" s="4" t="s">
        <v>326</v>
      </c>
      <c r="C36" s="5" t="s">
        <v>327</v>
      </c>
      <c r="D36" s="4">
        <v>1512</v>
      </c>
      <c r="E36" s="4">
        <v>-1</v>
      </c>
      <c r="F36" s="18">
        <v>4.6900000000000004</v>
      </c>
      <c r="G36" s="18">
        <v>8.99</v>
      </c>
      <c r="H36" s="18">
        <v>-4.6900000000000004</v>
      </c>
      <c r="I36" s="18">
        <v>-8.99</v>
      </c>
      <c r="J36" s="4" t="s">
        <v>44</v>
      </c>
      <c r="K36" s="4" t="s">
        <v>38</v>
      </c>
      <c r="L36" s="19">
        <v>46086</v>
      </c>
    </row>
    <row r="37" spans="1:12" ht="21.95" customHeight="1" x14ac:dyDescent="0.25">
      <c r="A37" s="4" t="s">
        <v>261</v>
      </c>
      <c r="B37" s="4" t="s">
        <v>328</v>
      </c>
      <c r="C37" s="5" t="s">
        <v>329</v>
      </c>
      <c r="D37" s="4">
        <v>1512</v>
      </c>
      <c r="E37" s="4">
        <v>-1</v>
      </c>
      <c r="F37" s="18">
        <v>4.3899999999999997</v>
      </c>
      <c r="G37" s="18">
        <v>8.41</v>
      </c>
      <c r="H37" s="18">
        <v>-4.3899999999999997</v>
      </c>
      <c r="I37" s="18">
        <v>-8.41</v>
      </c>
      <c r="J37" s="4" t="s">
        <v>44</v>
      </c>
      <c r="K37" s="4" t="s">
        <v>38</v>
      </c>
      <c r="L37" s="19">
        <v>46086</v>
      </c>
    </row>
    <row r="38" spans="1:12" ht="21.95" customHeight="1" x14ac:dyDescent="0.25">
      <c r="A38" s="4" t="s">
        <v>261</v>
      </c>
      <c r="B38" s="4" t="s">
        <v>330</v>
      </c>
      <c r="C38" s="5" t="s">
        <v>331</v>
      </c>
      <c r="D38" s="4">
        <v>1512</v>
      </c>
      <c r="E38" s="4">
        <v>-1</v>
      </c>
      <c r="F38" s="18">
        <v>4.6900000000000004</v>
      </c>
      <c r="G38" s="18">
        <v>7.05</v>
      </c>
      <c r="H38" s="18">
        <v>-4.6900000000000004</v>
      </c>
      <c r="I38" s="18">
        <v>-7.05</v>
      </c>
      <c r="J38" s="4" t="s">
        <v>44</v>
      </c>
      <c r="K38" s="4" t="s">
        <v>38</v>
      </c>
      <c r="L38" s="19">
        <v>46086</v>
      </c>
    </row>
    <row r="39" spans="1:12" ht="21.95" customHeight="1" x14ac:dyDescent="0.25">
      <c r="A39" s="4" t="s">
        <v>261</v>
      </c>
      <c r="B39" s="4" t="s">
        <v>332</v>
      </c>
      <c r="C39" s="5" t="s">
        <v>333</v>
      </c>
      <c r="D39" s="4">
        <v>1512</v>
      </c>
      <c r="E39" s="4">
        <v>-1</v>
      </c>
      <c r="F39" s="18">
        <v>4.05</v>
      </c>
      <c r="G39" s="18">
        <v>6.29</v>
      </c>
      <c r="H39" s="18">
        <v>-4.05</v>
      </c>
      <c r="I39" s="18">
        <v>-6.29</v>
      </c>
      <c r="J39" s="4" t="s">
        <v>44</v>
      </c>
      <c r="K39" s="4" t="s">
        <v>38</v>
      </c>
      <c r="L39" s="19">
        <v>46086</v>
      </c>
    </row>
    <row r="40" spans="1:12" ht="21.95" customHeight="1" x14ac:dyDescent="0.25">
      <c r="A40" s="4" t="s">
        <v>261</v>
      </c>
      <c r="B40" s="4" t="s">
        <v>334</v>
      </c>
      <c r="C40" s="5" t="s">
        <v>335</v>
      </c>
      <c r="D40" s="4">
        <v>1512</v>
      </c>
      <c r="E40" s="4">
        <v>-2</v>
      </c>
      <c r="F40" s="18">
        <v>1.8</v>
      </c>
      <c r="G40" s="18">
        <v>2.96</v>
      </c>
      <c r="H40" s="18">
        <v>-3.6</v>
      </c>
      <c r="I40" s="18">
        <v>-5.92</v>
      </c>
      <c r="J40" s="4" t="s">
        <v>44</v>
      </c>
      <c r="K40" s="4" t="s">
        <v>38</v>
      </c>
      <c r="L40" s="19">
        <v>46086</v>
      </c>
    </row>
    <row r="41" spans="1:12" ht="21.95" customHeight="1" x14ac:dyDescent="0.25">
      <c r="A41" s="4" t="s">
        <v>261</v>
      </c>
      <c r="B41" s="4" t="s">
        <v>336</v>
      </c>
      <c r="C41" s="5" t="s">
        <v>337</v>
      </c>
      <c r="D41" s="4">
        <v>1512</v>
      </c>
      <c r="E41" s="4">
        <v>-2</v>
      </c>
      <c r="F41" s="18">
        <v>1.8</v>
      </c>
      <c r="G41" s="18">
        <v>2.96</v>
      </c>
      <c r="H41" s="18">
        <v>-3.6</v>
      </c>
      <c r="I41" s="18">
        <v>-5.92</v>
      </c>
      <c r="J41" s="4" t="s">
        <v>44</v>
      </c>
      <c r="K41" s="4" t="s">
        <v>38</v>
      </c>
      <c r="L41" s="19">
        <v>46086</v>
      </c>
    </row>
    <row r="42" spans="1:12" ht="21.95" customHeight="1" x14ac:dyDescent="0.25">
      <c r="A42" s="4" t="s">
        <v>261</v>
      </c>
      <c r="B42" s="4" t="s">
        <v>338</v>
      </c>
      <c r="C42" s="5" t="s">
        <v>339</v>
      </c>
      <c r="D42" s="4">
        <v>1512</v>
      </c>
      <c r="E42" s="4">
        <v>-1</v>
      </c>
      <c r="F42" s="18">
        <v>3.15</v>
      </c>
      <c r="G42" s="18">
        <v>5.18</v>
      </c>
      <c r="H42" s="18">
        <v>-3.15</v>
      </c>
      <c r="I42" s="18">
        <v>-5.18</v>
      </c>
      <c r="J42" s="4" t="s">
        <v>44</v>
      </c>
      <c r="K42" s="4" t="s">
        <v>38</v>
      </c>
      <c r="L42" s="19">
        <v>46086</v>
      </c>
    </row>
    <row r="43" spans="1:12" ht="21.95" customHeight="1" x14ac:dyDescent="0.25">
      <c r="A43" s="4" t="s">
        <v>261</v>
      </c>
      <c r="B43" s="4" t="s">
        <v>340</v>
      </c>
      <c r="C43" s="5" t="s">
        <v>341</v>
      </c>
      <c r="D43" s="4">
        <v>1512</v>
      </c>
      <c r="E43" s="4">
        <v>-1</v>
      </c>
      <c r="F43" s="18">
        <v>2.2999999999999998</v>
      </c>
      <c r="G43" s="18">
        <v>3.78</v>
      </c>
      <c r="H43" s="18">
        <v>-2.2999999999999998</v>
      </c>
      <c r="I43" s="18">
        <v>-3.78</v>
      </c>
      <c r="J43" s="4" t="s">
        <v>44</v>
      </c>
      <c r="K43" s="4" t="s">
        <v>38</v>
      </c>
      <c r="L43" s="19">
        <v>46086</v>
      </c>
    </row>
    <row r="44" spans="1:12" ht="21.95" customHeight="1" x14ac:dyDescent="0.25">
      <c r="A44" s="4" t="s">
        <v>261</v>
      </c>
      <c r="B44" s="4" t="s">
        <v>342</v>
      </c>
      <c r="C44" s="5" t="s">
        <v>343</v>
      </c>
      <c r="D44" s="4">
        <v>1512</v>
      </c>
      <c r="E44" s="4">
        <v>-1</v>
      </c>
      <c r="F44" s="18">
        <v>3.52</v>
      </c>
      <c r="G44" s="18">
        <v>3.62</v>
      </c>
      <c r="H44" s="18">
        <v>-3.52</v>
      </c>
      <c r="I44" s="18">
        <v>-3.62</v>
      </c>
      <c r="J44" s="4" t="s">
        <v>44</v>
      </c>
      <c r="K44" s="4" t="s">
        <v>38</v>
      </c>
      <c r="L44" s="19">
        <v>46086</v>
      </c>
    </row>
    <row r="45" spans="1:12" ht="21.95" customHeight="1" x14ac:dyDescent="0.25">
      <c r="A45" s="4" t="s">
        <v>261</v>
      </c>
      <c r="B45" s="4" t="s">
        <v>344</v>
      </c>
      <c r="C45" s="5" t="s">
        <v>345</v>
      </c>
      <c r="D45" s="4">
        <v>1512</v>
      </c>
      <c r="E45" s="4">
        <v>-47</v>
      </c>
      <c r="F45" s="18">
        <v>0.04</v>
      </c>
      <c r="G45" s="18">
        <v>0.06</v>
      </c>
      <c r="H45" s="18">
        <v>-1.99</v>
      </c>
      <c r="I45" s="18">
        <v>-2.82</v>
      </c>
      <c r="J45" s="4" t="s">
        <v>44</v>
      </c>
      <c r="K45" s="4" t="s">
        <v>38</v>
      </c>
      <c r="L45" s="19">
        <v>46086</v>
      </c>
    </row>
    <row r="46" spans="1:12" ht="21.95" customHeight="1" x14ac:dyDescent="0.25">
      <c r="A46" s="4" t="s">
        <v>261</v>
      </c>
      <c r="B46" s="4" t="s">
        <v>346</v>
      </c>
      <c r="C46" s="5" t="s">
        <v>347</v>
      </c>
      <c r="D46" s="4">
        <v>1512</v>
      </c>
      <c r="E46" s="4">
        <v>-1</v>
      </c>
      <c r="F46" s="18">
        <v>0.83</v>
      </c>
      <c r="G46" s="18">
        <v>1.28</v>
      </c>
      <c r="H46" s="18">
        <v>-0.83</v>
      </c>
      <c r="I46" s="18">
        <v>-1.28</v>
      </c>
      <c r="J46" s="4" t="s">
        <v>44</v>
      </c>
      <c r="K46" s="4" t="s">
        <v>38</v>
      </c>
      <c r="L46" s="19">
        <v>46086</v>
      </c>
    </row>
    <row r="47" spans="1:12" ht="21.95" customHeight="1" x14ac:dyDescent="0.25">
      <c r="A47" s="6" t="s">
        <v>348</v>
      </c>
      <c r="B47" s="6" t="s">
        <v>349</v>
      </c>
      <c r="C47" s="7" t="s">
        <v>350</v>
      </c>
      <c r="D47" s="6">
        <v>1512</v>
      </c>
      <c r="E47" s="6">
        <v>2</v>
      </c>
      <c r="F47" s="20">
        <v>35.68</v>
      </c>
      <c r="G47" s="20">
        <v>77.94</v>
      </c>
      <c r="H47" s="20">
        <v>71.349999999999994</v>
      </c>
      <c r="I47" s="20">
        <v>155.88</v>
      </c>
      <c r="J47" s="6" t="s">
        <v>44</v>
      </c>
      <c r="K47" s="6" t="s">
        <v>38</v>
      </c>
      <c r="L47" s="21">
        <v>46086</v>
      </c>
    </row>
    <row r="48" spans="1:12" ht="21.95" customHeight="1" x14ac:dyDescent="0.25">
      <c r="A48" s="6" t="s">
        <v>348</v>
      </c>
      <c r="B48" s="6" t="s">
        <v>351</v>
      </c>
      <c r="C48" s="7" t="s">
        <v>352</v>
      </c>
      <c r="D48" s="6">
        <v>1512</v>
      </c>
      <c r="E48" s="6">
        <v>1</v>
      </c>
      <c r="F48" s="20">
        <v>81.69</v>
      </c>
      <c r="G48" s="20">
        <v>150.62</v>
      </c>
      <c r="H48" s="20">
        <v>81.69</v>
      </c>
      <c r="I48" s="20">
        <v>150.62</v>
      </c>
      <c r="J48" s="6" t="s">
        <v>44</v>
      </c>
      <c r="K48" s="6" t="s">
        <v>38</v>
      </c>
      <c r="L48" s="21">
        <v>46086</v>
      </c>
    </row>
    <row r="49" spans="1:12" ht="21.95" customHeight="1" x14ac:dyDescent="0.25">
      <c r="A49" s="6" t="s">
        <v>348</v>
      </c>
      <c r="B49" s="6" t="s">
        <v>353</v>
      </c>
      <c r="C49" s="7" t="s">
        <v>354</v>
      </c>
      <c r="D49" s="6">
        <v>1512</v>
      </c>
      <c r="E49" s="6">
        <v>1</v>
      </c>
      <c r="F49" s="20">
        <v>68.37</v>
      </c>
      <c r="G49" s="20">
        <v>144.54</v>
      </c>
      <c r="H49" s="20">
        <v>68.37</v>
      </c>
      <c r="I49" s="20">
        <v>144.54</v>
      </c>
      <c r="J49" s="6" t="s">
        <v>44</v>
      </c>
      <c r="K49" s="6" t="s">
        <v>38</v>
      </c>
      <c r="L49" s="21">
        <v>46086</v>
      </c>
    </row>
    <row r="50" spans="1:12" ht="21.95" customHeight="1" x14ac:dyDescent="0.25">
      <c r="A50" s="6" t="s">
        <v>348</v>
      </c>
      <c r="B50" s="6" t="s">
        <v>355</v>
      </c>
      <c r="C50" s="7" t="s">
        <v>356</v>
      </c>
      <c r="D50" s="6">
        <v>1512</v>
      </c>
      <c r="E50" s="6">
        <v>1</v>
      </c>
      <c r="F50" s="20">
        <v>95.36</v>
      </c>
      <c r="G50" s="20">
        <v>131.11000000000001</v>
      </c>
      <c r="H50" s="20">
        <v>95.36</v>
      </c>
      <c r="I50" s="20">
        <v>131.11000000000001</v>
      </c>
      <c r="J50" s="6" t="s">
        <v>44</v>
      </c>
      <c r="K50" s="6" t="s">
        <v>38</v>
      </c>
      <c r="L50" s="21">
        <v>46086</v>
      </c>
    </row>
    <row r="51" spans="1:12" ht="21.95" customHeight="1" x14ac:dyDescent="0.25">
      <c r="A51" s="6" t="s">
        <v>348</v>
      </c>
      <c r="B51" s="6" t="s">
        <v>357</v>
      </c>
      <c r="C51" s="7" t="s">
        <v>358</v>
      </c>
      <c r="D51" s="6">
        <v>1512</v>
      </c>
      <c r="E51" s="6">
        <v>1</v>
      </c>
      <c r="F51" s="20">
        <v>84.77</v>
      </c>
      <c r="G51" s="20">
        <v>126.61</v>
      </c>
      <c r="H51" s="20">
        <v>84.77</v>
      </c>
      <c r="I51" s="20">
        <v>126.61</v>
      </c>
      <c r="J51" s="6" t="s">
        <v>44</v>
      </c>
      <c r="K51" s="6" t="s">
        <v>38</v>
      </c>
      <c r="L51" s="21">
        <v>46086</v>
      </c>
    </row>
    <row r="52" spans="1:12" ht="21.95" customHeight="1" x14ac:dyDescent="0.25">
      <c r="A52" s="6" t="s">
        <v>348</v>
      </c>
      <c r="B52" s="6" t="s">
        <v>359</v>
      </c>
      <c r="C52" s="7" t="s">
        <v>360</v>
      </c>
      <c r="D52" s="6">
        <v>1512</v>
      </c>
      <c r="E52" s="6">
        <v>1</v>
      </c>
      <c r="F52" s="20">
        <v>86.47</v>
      </c>
      <c r="G52" s="20">
        <v>126.61</v>
      </c>
      <c r="H52" s="20">
        <v>86.47</v>
      </c>
      <c r="I52" s="20">
        <v>126.61</v>
      </c>
      <c r="J52" s="6" t="s">
        <v>44</v>
      </c>
      <c r="K52" s="6" t="s">
        <v>38</v>
      </c>
      <c r="L52" s="21">
        <v>46086</v>
      </c>
    </row>
    <row r="53" spans="1:12" ht="21.95" customHeight="1" x14ac:dyDescent="0.25">
      <c r="A53" s="6" t="s">
        <v>348</v>
      </c>
      <c r="B53" s="6" t="s">
        <v>361</v>
      </c>
      <c r="C53" s="7" t="s">
        <v>362</v>
      </c>
      <c r="D53" s="6">
        <v>1512</v>
      </c>
      <c r="E53" s="6">
        <v>1</v>
      </c>
      <c r="F53" s="20">
        <v>83.86</v>
      </c>
      <c r="G53" s="20">
        <v>119.06</v>
      </c>
      <c r="H53" s="20">
        <v>83.86</v>
      </c>
      <c r="I53" s="20">
        <v>119.06</v>
      </c>
      <c r="J53" s="6" t="s">
        <v>44</v>
      </c>
      <c r="K53" s="6" t="s">
        <v>38</v>
      </c>
      <c r="L53" s="21">
        <v>46086</v>
      </c>
    </row>
    <row r="54" spans="1:12" ht="21.95" customHeight="1" x14ac:dyDescent="0.25">
      <c r="A54" s="6" t="s">
        <v>348</v>
      </c>
      <c r="B54" s="6" t="s">
        <v>363</v>
      </c>
      <c r="C54" s="7" t="s">
        <v>364</v>
      </c>
      <c r="D54" s="6">
        <v>1512</v>
      </c>
      <c r="E54" s="6">
        <v>1</v>
      </c>
      <c r="F54" s="20">
        <v>59.83</v>
      </c>
      <c r="G54" s="20">
        <v>117.53</v>
      </c>
      <c r="H54" s="20">
        <v>59.83</v>
      </c>
      <c r="I54" s="20">
        <v>117.53</v>
      </c>
      <c r="J54" s="6" t="s">
        <v>44</v>
      </c>
      <c r="K54" s="6" t="s">
        <v>38</v>
      </c>
      <c r="L54" s="21">
        <v>46086</v>
      </c>
    </row>
    <row r="55" spans="1:12" ht="21.95" customHeight="1" x14ac:dyDescent="0.25">
      <c r="A55" s="6" t="s">
        <v>348</v>
      </c>
      <c r="B55" s="6" t="s">
        <v>365</v>
      </c>
      <c r="C55" s="7" t="s">
        <v>366</v>
      </c>
      <c r="D55" s="6">
        <v>1512</v>
      </c>
      <c r="E55" s="6">
        <v>4</v>
      </c>
      <c r="F55" s="20">
        <v>10.81</v>
      </c>
      <c r="G55" s="20">
        <v>21.42</v>
      </c>
      <c r="H55" s="20">
        <v>43.22</v>
      </c>
      <c r="I55" s="20">
        <v>85.68</v>
      </c>
      <c r="J55" s="6" t="s">
        <v>44</v>
      </c>
      <c r="K55" s="6" t="s">
        <v>38</v>
      </c>
      <c r="L55" s="21">
        <v>46086</v>
      </c>
    </row>
    <row r="56" spans="1:12" ht="21.95" customHeight="1" x14ac:dyDescent="0.25">
      <c r="A56" s="6" t="s">
        <v>348</v>
      </c>
      <c r="B56" s="6" t="s">
        <v>367</v>
      </c>
      <c r="C56" s="7" t="s">
        <v>368</v>
      </c>
      <c r="D56" s="6">
        <v>1512</v>
      </c>
      <c r="E56" s="6">
        <v>1</v>
      </c>
      <c r="F56" s="20">
        <v>33.6</v>
      </c>
      <c r="G56" s="20">
        <v>84.23</v>
      </c>
      <c r="H56" s="20">
        <v>33.6</v>
      </c>
      <c r="I56" s="20">
        <v>84.23</v>
      </c>
      <c r="J56" s="6" t="s">
        <v>44</v>
      </c>
      <c r="K56" s="6" t="s">
        <v>38</v>
      </c>
      <c r="L56" s="21">
        <v>46086</v>
      </c>
    </row>
    <row r="57" spans="1:12" ht="21.95" customHeight="1" x14ac:dyDescent="0.25">
      <c r="A57" s="6" t="s">
        <v>348</v>
      </c>
      <c r="B57" s="6" t="s">
        <v>369</v>
      </c>
      <c r="C57" s="7" t="s">
        <v>370</v>
      </c>
      <c r="D57" s="6">
        <v>1512</v>
      </c>
      <c r="E57" s="6">
        <v>1</v>
      </c>
      <c r="F57" s="20">
        <v>59.42</v>
      </c>
      <c r="G57" s="20">
        <v>84.13</v>
      </c>
      <c r="H57" s="20">
        <v>59.42</v>
      </c>
      <c r="I57" s="20">
        <v>84.13</v>
      </c>
      <c r="J57" s="6" t="s">
        <v>44</v>
      </c>
      <c r="K57" s="6" t="s">
        <v>38</v>
      </c>
      <c r="L57" s="21">
        <v>46086</v>
      </c>
    </row>
    <row r="58" spans="1:12" ht="21.95" customHeight="1" x14ac:dyDescent="0.25">
      <c r="A58" s="6" t="s">
        <v>348</v>
      </c>
      <c r="B58" s="6" t="s">
        <v>371</v>
      </c>
      <c r="C58" s="7" t="s">
        <v>372</v>
      </c>
      <c r="D58" s="6">
        <v>1512</v>
      </c>
      <c r="E58" s="6">
        <v>1</v>
      </c>
      <c r="F58" s="20">
        <v>57.38</v>
      </c>
      <c r="G58" s="20">
        <v>84.01</v>
      </c>
      <c r="H58" s="20">
        <v>57.38</v>
      </c>
      <c r="I58" s="20">
        <v>84.01</v>
      </c>
      <c r="J58" s="6" t="s">
        <v>44</v>
      </c>
      <c r="K58" s="6" t="s">
        <v>38</v>
      </c>
      <c r="L58" s="21">
        <v>46086</v>
      </c>
    </row>
    <row r="59" spans="1:12" ht="21.95" customHeight="1" x14ac:dyDescent="0.25">
      <c r="A59" s="6" t="s">
        <v>348</v>
      </c>
      <c r="B59" s="6" t="s">
        <v>373</v>
      </c>
      <c r="C59" s="7" t="s">
        <v>374</v>
      </c>
      <c r="D59" s="6">
        <v>1512</v>
      </c>
      <c r="E59" s="6">
        <v>1</v>
      </c>
      <c r="F59" s="20">
        <v>60.29</v>
      </c>
      <c r="G59" s="20">
        <v>83.92</v>
      </c>
      <c r="H59" s="20">
        <v>60.29</v>
      </c>
      <c r="I59" s="20">
        <v>83.92</v>
      </c>
      <c r="J59" s="6" t="s">
        <v>44</v>
      </c>
      <c r="K59" s="6" t="s">
        <v>38</v>
      </c>
      <c r="L59" s="21">
        <v>46086</v>
      </c>
    </row>
    <row r="60" spans="1:12" ht="21.95" customHeight="1" x14ac:dyDescent="0.25">
      <c r="A60" s="6" t="s">
        <v>348</v>
      </c>
      <c r="B60" s="6" t="s">
        <v>375</v>
      </c>
      <c r="C60" s="7" t="s">
        <v>376</v>
      </c>
      <c r="D60" s="6">
        <v>1512</v>
      </c>
      <c r="E60" s="6">
        <v>1</v>
      </c>
      <c r="F60" s="20">
        <v>51.46</v>
      </c>
      <c r="G60" s="20">
        <v>81.069999999999993</v>
      </c>
      <c r="H60" s="20">
        <v>51.46</v>
      </c>
      <c r="I60" s="20">
        <v>81.069999999999993</v>
      </c>
      <c r="J60" s="6" t="s">
        <v>44</v>
      </c>
      <c r="K60" s="6" t="s">
        <v>38</v>
      </c>
      <c r="L60" s="21">
        <v>46086</v>
      </c>
    </row>
    <row r="61" spans="1:12" ht="21.95" customHeight="1" x14ac:dyDescent="0.25">
      <c r="A61" s="6" t="s">
        <v>348</v>
      </c>
      <c r="B61" s="6" t="s">
        <v>377</v>
      </c>
      <c r="C61" s="7" t="s">
        <v>378</v>
      </c>
      <c r="D61" s="6">
        <v>1512</v>
      </c>
      <c r="E61" s="6">
        <v>1</v>
      </c>
      <c r="F61" s="20">
        <v>31.18</v>
      </c>
      <c r="G61" s="20">
        <v>79.5</v>
      </c>
      <c r="H61" s="20">
        <v>31.18</v>
      </c>
      <c r="I61" s="20">
        <v>79.5</v>
      </c>
      <c r="J61" s="6" t="s">
        <v>44</v>
      </c>
      <c r="K61" s="6" t="s">
        <v>38</v>
      </c>
      <c r="L61" s="21">
        <v>46086</v>
      </c>
    </row>
    <row r="62" spans="1:12" ht="21.95" customHeight="1" x14ac:dyDescent="0.25">
      <c r="A62" s="6" t="s">
        <v>348</v>
      </c>
      <c r="B62" s="6" t="s">
        <v>379</v>
      </c>
      <c r="C62" s="7" t="s">
        <v>380</v>
      </c>
      <c r="D62" s="6">
        <v>1512</v>
      </c>
      <c r="E62" s="6">
        <v>1</v>
      </c>
      <c r="F62" s="20">
        <v>26.5</v>
      </c>
      <c r="G62" s="20">
        <v>59.17</v>
      </c>
      <c r="H62" s="20">
        <v>26.5</v>
      </c>
      <c r="I62" s="20">
        <v>59.17</v>
      </c>
      <c r="J62" s="6" t="s">
        <v>44</v>
      </c>
      <c r="K62" s="6" t="s">
        <v>38</v>
      </c>
      <c r="L62" s="21">
        <v>46086</v>
      </c>
    </row>
    <row r="63" spans="1:12" ht="21.95" customHeight="1" x14ac:dyDescent="0.25">
      <c r="A63" s="6" t="s">
        <v>348</v>
      </c>
      <c r="B63" s="6" t="s">
        <v>381</v>
      </c>
      <c r="C63" s="7" t="s">
        <v>382</v>
      </c>
      <c r="D63" s="6">
        <v>1512</v>
      </c>
      <c r="E63" s="6">
        <v>1</v>
      </c>
      <c r="F63" s="20">
        <v>14.98</v>
      </c>
      <c r="G63" s="20">
        <v>54.32</v>
      </c>
      <c r="H63" s="20">
        <v>14.98</v>
      </c>
      <c r="I63" s="20">
        <v>54.32</v>
      </c>
      <c r="J63" s="6" t="s">
        <v>44</v>
      </c>
      <c r="K63" s="6" t="s">
        <v>38</v>
      </c>
      <c r="L63" s="21">
        <v>46086</v>
      </c>
    </row>
    <row r="64" spans="1:12" ht="21.95" customHeight="1" x14ac:dyDescent="0.25">
      <c r="A64" s="6" t="s">
        <v>348</v>
      </c>
      <c r="B64" s="6" t="s">
        <v>383</v>
      </c>
      <c r="C64" s="7" t="s">
        <v>384</v>
      </c>
      <c r="D64" s="6">
        <v>1512</v>
      </c>
      <c r="E64" s="6">
        <v>1</v>
      </c>
      <c r="F64" s="20">
        <v>22.21</v>
      </c>
      <c r="G64" s="20">
        <v>38.46</v>
      </c>
      <c r="H64" s="20">
        <v>22.21</v>
      </c>
      <c r="I64" s="20">
        <v>38.46</v>
      </c>
      <c r="J64" s="6" t="s">
        <v>44</v>
      </c>
      <c r="K64" s="6" t="s">
        <v>38</v>
      </c>
      <c r="L64" s="21">
        <v>46086</v>
      </c>
    </row>
    <row r="65" spans="1:12" ht="21.95" customHeight="1" x14ac:dyDescent="0.25">
      <c r="A65" s="6" t="s">
        <v>348</v>
      </c>
      <c r="B65" s="6" t="s">
        <v>385</v>
      </c>
      <c r="C65" s="7" t="s">
        <v>386</v>
      </c>
      <c r="D65" s="6">
        <v>1512</v>
      </c>
      <c r="E65" s="6">
        <v>1</v>
      </c>
      <c r="F65" s="20">
        <v>27.6</v>
      </c>
      <c r="G65" s="20">
        <v>37.950000000000003</v>
      </c>
      <c r="H65" s="20">
        <v>27.6</v>
      </c>
      <c r="I65" s="20">
        <v>37.950000000000003</v>
      </c>
      <c r="J65" s="6" t="s">
        <v>44</v>
      </c>
      <c r="K65" s="6" t="s">
        <v>38</v>
      </c>
      <c r="L65" s="21">
        <v>46086</v>
      </c>
    </row>
    <row r="66" spans="1:12" ht="21.95" customHeight="1" x14ac:dyDescent="0.25">
      <c r="A66" s="6" t="s">
        <v>348</v>
      </c>
      <c r="B66" s="6" t="s">
        <v>387</v>
      </c>
      <c r="C66" s="7" t="s">
        <v>388</v>
      </c>
      <c r="D66" s="6">
        <v>1512</v>
      </c>
      <c r="E66" s="6">
        <v>1</v>
      </c>
      <c r="F66" s="20">
        <v>25.59</v>
      </c>
      <c r="G66" s="20">
        <v>37.47</v>
      </c>
      <c r="H66" s="20">
        <v>25.59</v>
      </c>
      <c r="I66" s="20">
        <v>37.47</v>
      </c>
      <c r="J66" s="6" t="s">
        <v>44</v>
      </c>
      <c r="K66" s="6" t="s">
        <v>38</v>
      </c>
      <c r="L66" s="21">
        <v>46086</v>
      </c>
    </row>
    <row r="67" spans="1:12" ht="21.95" customHeight="1" x14ac:dyDescent="0.25">
      <c r="A67" s="6" t="s">
        <v>348</v>
      </c>
      <c r="B67" s="6" t="s">
        <v>389</v>
      </c>
      <c r="C67" s="7" t="s">
        <v>390</v>
      </c>
      <c r="D67" s="6">
        <v>1512</v>
      </c>
      <c r="E67" s="6">
        <v>1</v>
      </c>
      <c r="F67" s="20">
        <v>16.760000000000002</v>
      </c>
      <c r="G67" s="20">
        <v>33.119999999999997</v>
      </c>
      <c r="H67" s="20">
        <v>16.760000000000002</v>
      </c>
      <c r="I67" s="20">
        <v>33.119999999999997</v>
      </c>
      <c r="J67" s="6" t="s">
        <v>44</v>
      </c>
      <c r="K67" s="6" t="s">
        <v>38</v>
      </c>
      <c r="L67" s="21">
        <v>46086</v>
      </c>
    </row>
    <row r="68" spans="1:12" ht="21.95" customHeight="1" x14ac:dyDescent="0.25">
      <c r="A68" s="6" t="s">
        <v>348</v>
      </c>
      <c r="B68" s="6" t="s">
        <v>391</v>
      </c>
      <c r="C68" s="7" t="s">
        <v>392</v>
      </c>
      <c r="D68" s="6">
        <v>1512</v>
      </c>
      <c r="E68" s="6">
        <v>1</v>
      </c>
      <c r="F68" s="20">
        <v>14.16</v>
      </c>
      <c r="G68" s="20">
        <v>32.81</v>
      </c>
      <c r="H68" s="20">
        <v>14.16</v>
      </c>
      <c r="I68" s="20">
        <v>32.81</v>
      </c>
      <c r="J68" s="6" t="s">
        <v>44</v>
      </c>
      <c r="K68" s="6" t="s">
        <v>38</v>
      </c>
      <c r="L68" s="21">
        <v>46086</v>
      </c>
    </row>
    <row r="69" spans="1:12" ht="21.95" customHeight="1" x14ac:dyDescent="0.25">
      <c r="A69" s="6" t="s">
        <v>348</v>
      </c>
      <c r="B69" s="6" t="s">
        <v>393</v>
      </c>
      <c r="C69" s="7" t="s">
        <v>394</v>
      </c>
      <c r="D69" s="6">
        <v>1512</v>
      </c>
      <c r="E69" s="6">
        <v>1</v>
      </c>
      <c r="F69" s="20">
        <v>15.35</v>
      </c>
      <c r="G69" s="20">
        <v>32.51</v>
      </c>
      <c r="H69" s="20">
        <v>15.35</v>
      </c>
      <c r="I69" s="20">
        <v>32.51</v>
      </c>
      <c r="J69" s="6" t="s">
        <v>44</v>
      </c>
      <c r="K69" s="6" t="s">
        <v>38</v>
      </c>
      <c r="L69" s="21">
        <v>46086</v>
      </c>
    </row>
    <row r="70" spans="1:12" ht="21.95" customHeight="1" x14ac:dyDescent="0.25">
      <c r="A70" s="6" t="s">
        <v>348</v>
      </c>
      <c r="B70" s="6" t="s">
        <v>395</v>
      </c>
      <c r="C70" s="7" t="s">
        <v>396</v>
      </c>
      <c r="D70" s="6">
        <v>1512</v>
      </c>
      <c r="E70" s="6">
        <v>8</v>
      </c>
      <c r="F70" s="20">
        <v>2.2999999999999998</v>
      </c>
      <c r="G70" s="20">
        <v>3.78</v>
      </c>
      <c r="H70" s="20">
        <v>18.399999999999999</v>
      </c>
      <c r="I70" s="20">
        <v>30.24</v>
      </c>
      <c r="J70" s="6" t="s">
        <v>44</v>
      </c>
      <c r="K70" s="6" t="s">
        <v>38</v>
      </c>
      <c r="L70" s="21">
        <v>46086</v>
      </c>
    </row>
    <row r="71" spans="1:12" ht="21.95" customHeight="1" x14ac:dyDescent="0.25">
      <c r="A71" s="6" t="s">
        <v>348</v>
      </c>
      <c r="B71" s="6" t="s">
        <v>397</v>
      </c>
      <c r="C71" s="7" t="s">
        <v>398</v>
      </c>
      <c r="D71" s="6">
        <v>1512</v>
      </c>
      <c r="E71" s="6">
        <v>1</v>
      </c>
      <c r="F71" s="20">
        <v>26.5</v>
      </c>
      <c r="G71" s="20">
        <v>29.17</v>
      </c>
      <c r="H71" s="20">
        <v>26.5</v>
      </c>
      <c r="I71" s="20">
        <v>29.17</v>
      </c>
      <c r="J71" s="6" t="s">
        <v>44</v>
      </c>
      <c r="K71" s="6" t="s">
        <v>38</v>
      </c>
      <c r="L71" s="21">
        <v>46086</v>
      </c>
    </row>
    <row r="72" spans="1:12" ht="21.95" customHeight="1" x14ac:dyDescent="0.25">
      <c r="A72" s="6" t="s">
        <v>348</v>
      </c>
      <c r="B72" s="6" t="s">
        <v>399</v>
      </c>
      <c r="C72" s="7" t="s">
        <v>400</v>
      </c>
      <c r="D72" s="6">
        <v>1512</v>
      </c>
      <c r="E72" s="6">
        <v>1</v>
      </c>
      <c r="F72" s="20">
        <v>19.059999999999999</v>
      </c>
      <c r="G72" s="20">
        <v>27.92</v>
      </c>
      <c r="H72" s="20">
        <v>19.059999999999999</v>
      </c>
      <c r="I72" s="20">
        <v>27.92</v>
      </c>
      <c r="J72" s="6" t="s">
        <v>44</v>
      </c>
      <c r="K72" s="6" t="s">
        <v>38</v>
      </c>
      <c r="L72" s="21">
        <v>46086</v>
      </c>
    </row>
    <row r="73" spans="1:12" ht="21.95" customHeight="1" x14ac:dyDescent="0.25">
      <c r="A73" s="6" t="s">
        <v>348</v>
      </c>
      <c r="B73" s="6" t="s">
        <v>401</v>
      </c>
      <c r="C73" s="7" t="s">
        <v>402</v>
      </c>
      <c r="D73" s="6">
        <v>1512</v>
      </c>
      <c r="E73" s="6">
        <v>1</v>
      </c>
      <c r="F73" s="20">
        <v>9.77</v>
      </c>
      <c r="G73" s="20">
        <v>26.31</v>
      </c>
      <c r="H73" s="20">
        <v>9.77</v>
      </c>
      <c r="I73" s="20">
        <v>26.31</v>
      </c>
      <c r="J73" s="6" t="s">
        <v>44</v>
      </c>
      <c r="K73" s="6" t="s">
        <v>38</v>
      </c>
      <c r="L73" s="21">
        <v>46086</v>
      </c>
    </row>
    <row r="74" spans="1:12" ht="21.95" customHeight="1" x14ac:dyDescent="0.25">
      <c r="A74" s="6" t="s">
        <v>348</v>
      </c>
      <c r="B74" s="6" t="s">
        <v>403</v>
      </c>
      <c r="C74" s="7" t="s">
        <v>404</v>
      </c>
      <c r="D74" s="6">
        <v>1512</v>
      </c>
      <c r="E74" s="6">
        <v>1</v>
      </c>
      <c r="F74" s="20">
        <v>9.77</v>
      </c>
      <c r="G74" s="20">
        <v>24.75</v>
      </c>
      <c r="H74" s="20">
        <v>9.77</v>
      </c>
      <c r="I74" s="20">
        <v>24.75</v>
      </c>
      <c r="J74" s="6" t="s">
        <v>44</v>
      </c>
      <c r="K74" s="6" t="s">
        <v>38</v>
      </c>
      <c r="L74" s="21">
        <v>46086</v>
      </c>
    </row>
    <row r="75" spans="1:12" ht="21.95" customHeight="1" x14ac:dyDescent="0.25">
      <c r="A75" s="6" t="s">
        <v>348</v>
      </c>
      <c r="B75" s="6" t="s">
        <v>405</v>
      </c>
      <c r="C75" s="7" t="s">
        <v>406</v>
      </c>
      <c r="D75" s="6">
        <v>1512</v>
      </c>
      <c r="E75" s="6">
        <v>3</v>
      </c>
      <c r="F75" s="20">
        <v>3.5</v>
      </c>
      <c r="G75" s="20">
        <v>5.75</v>
      </c>
      <c r="H75" s="20">
        <v>10.5</v>
      </c>
      <c r="I75" s="20">
        <v>17.25</v>
      </c>
      <c r="J75" s="6" t="s">
        <v>44</v>
      </c>
      <c r="K75" s="6" t="s">
        <v>38</v>
      </c>
      <c r="L75" s="21">
        <v>46086</v>
      </c>
    </row>
    <row r="76" spans="1:12" ht="21.95" customHeight="1" x14ac:dyDescent="0.25">
      <c r="A76" s="6" t="s">
        <v>348</v>
      </c>
      <c r="B76" s="6" t="s">
        <v>407</v>
      </c>
      <c r="C76" s="7" t="s">
        <v>408</v>
      </c>
      <c r="D76" s="6">
        <v>1512</v>
      </c>
      <c r="E76" s="6">
        <v>2</v>
      </c>
      <c r="F76" s="20">
        <v>2.2999999999999998</v>
      </c>
      <c r="G76" s="20">
        <v>3.78</v>
      </c>
      <c r="H76" s="20">
        <v>4.5999999999999996</v>
      </c>
      <c r="I76" s="20">
        <v>7.56</v>
      </c>
      <c r="J76" s="6" t="s">
        <v>44</v>
      </c>
      <c r="K76" s="6" t="s">
        <v>38</v>
      </c>
      <c r="L76" s="21">
        <v>46086</v>
      </c>
    </row>
    <row r="77" spans="1:12" ht="21.95" customHeight="1" x14ac:dyDescent="0.25">
      <c r="A77" s="6" t="s">
        <v>348</v>
      </c>
      <c r="B77" s="6" t="s">
        <v>409</v>
      </c>
      <c r="C77" s="7" t="s">
        <v>410</v>
      </c>
      <c r="D77" s="6">
        <v>1512</v>
      </c>
      <c r="E77" s="6">
        <v>1</v>
      </c>
      <c r="F77" s="20">
        <v>2.09</v>
      </c>
      <c r="G77" s="20">
        <v>4.9400000000000004</v>
      </c>
      <c r="H77" s="20">
        <v>2.09</v>
      </c>
      <c r="I77" s="20">
        <v>4.9400000000000004</v>
      </c>
      <c r="J77" s="6" t="s">
        <v>44</v>
      </c>
      <c r="K77" s="6" t="s">
        <v>38</v>
      </c>
      <c r="L77" s="21">
        <v>46086</v>
      </c>
    </row>
    <row r="78" spans="1:12" ht="21.95" customHeight="1" x14ac:dyDescent="0.25">
      <c r="A78" s="6" t="s">
        <v>348</v>
      </c>
      <c r="B78" s="6" t="s">
        <v>411</v>
      </c>
      <c r="C78" s="7" t="s">
        <v>412</v>
      </c>
      <c r="D78" s="6">
        <v>1512</v>
      </c>
      <c r="E78" s="6">
        <v>1</v>
      </c>
      <c r="F78" s="20">
        <v>2.2999999999999998</v>
      </c>
      <c r="G78" s="20">
        <v>3.78</v>
      </c>
      <c r="H78" s="20">
        <v>2.2999999999999998</v>
      </c>
      <c r="I78" s="20">
        <v>3.78</v>
      </c>
      <c r="J78" s="6" t="s">
        <v>44</v>
      </c>
      <c r="K78" s="6" t="s">
        <v>38</v>
      </c>
      <c r="L78" s="21">
        <v>46086</v>
      </c>
    </row>
    <row r="79" spans="1:12" ht="21.95" customHeight="1" x14ac:dyDescent="0.25">
      <c r="A79" s="6" t="s">
        <v>348</v>
      </c>
      <c r="B79" s="6" t="s">
        <v>413</v>
      </c>
      <c r="C79" s="7" t="s">
        <v>414</v>
      </c>
      <c r="D79" s="6">
        <v>1512</v>
      </c>
      <c r="E79" s="6">
        <v>1</v>
      </c>
      <c r="F79" s="20">
        <v>1.8</v>
      </c>
      <c r="G79" s="20">
        <v>2.96</v>
      </c>
      <c r="H79" s="20">
        <v>1.8</v>
      </c>
      <c r="I79" s="20">
        <v>2.96</v>
      </c>
      <c r="J79" s="6" t="s">
        <v>44</v>
      </c>
      <c r="K79" s="6" t="s">
        <v>38</v>
      </c>
      <c r="L79" s="21">
        <v>46086</v>
      </c>
    </row>
    <row r="80" spans="1:12" ht="21.95" customHeight="1" x14ac:dyDescent="0.25">
      <c r="A80" s="6" t="s">
        <v>348</v>
      </c>
      <c r="B80" s="6" t="s">
        <v>415</v>
      </c>
      <c r="C80" s="7" t="s">
        <v>416</v>
      </c>
      <c r="D80" s="6">
        <v>1512</v>
      </c>
      <c r="E80" s="6">
        <v>1</v>
      </c>
      <c r="F80" s="20">
        <v>0.31</v>
      </c>
      <c r="G80" s="20">
        <v>0.69</v>
      </c>
      <c r="H80" s="20">
        <v>0.31</v>
      </c>
      <c r="I80" s="20">
        <v>0.69</v>
      </c>
      <c r="J80" s="6" t="s">
        <v>44</v>
      </c>
      <c r="K80" s="6" t="s">
        <v>38</v>
      </c>
      <c r="L80" s="21">
        <v>46086</v>
      </c>
    </row>
    <row r="81" spans="1:12" ht="21.95" customHeight="1" x14ac:dyDescent="0.25">
      <c r="A81" s="8" t="s">
        <v>417</v>
      </c>
      <c r="B81" s="8" t="s">
        <v>418</v>
      </c>
      <c r="C81" s="9" t="s">
        <v>419</v>
      </c>
      <c r="D81" s="8">
        <v>1512</v>
      </c>
      <c r="E81" s="8">
        <v>1</v>
      </c>
      <c r="F81" s="22">
        <v>98.07</v>
      </c>
      <c r="G81" s="22">
        <v>149.49</v>
      </c>
      <c r="H81" s="22">
        <v>98.07</v>
      </c>
      <c r="I81" s="22">
        <v>149.49</v>
      </c>
      <c r="J81" s="8" t="s">
        <v>44</v>
      </c>
      <c r="K81" s="8" t="s">
        <v>38</v>
      </c>
      <c r="L81" s="23">
        <v>46086</v>
      </c>
    </row>
    <row r="82" spans="1:12" ht="21.95" customHeight="1" x14ac:dyDescent="0.25">
      <c r="A82" s="10" t="s">
        <v>420</v>
      </c>
      <c r="B82" s="10" t="s">
        <v>421</v>
      </c>
      <c r="C82" s="11" t="s">
        <v>422</v>
      </c>
      <c r="D82" s="10">
        <v>1512</v>
      </c>
      <c r="E82" s="10">
        <v>-1</v>
      </c>
      <c r="F82" s="24">
        <v>167.08</v>
      </c>
      <c r="G82" s="24">
        <v>244.64</v>
      </c>
      <c r="H82" s="24">
        <v>-167.08</v>
      </c>
      <c r="I82" s="24">
        <v>-244.64</v>
      </c>
      <c r="J82" s="10" t="s">
        <v>44</v>
      </c>
      <c r="K82" s="10" t="s">
        <v>38</v>
      </c>
      <c r="L82" s="25">
        <v>46086</v>
      </c>
    </row>
    <row r="83" spans="1:12" ht="21.95" customHeight="1" x14ac:dyDescent="0.25">
      <c r="A83" s="8" t="s">
        <v>417</v>
      </c>
      <c r="B83" s="8" t="s">
        <v>423</v>
      </c>
      <c r="C83" s="9" t="s">
        <v>424</v>
      </c>
      <c r="D83" s="8">
        <v>1512</v>
      </c>
      <c r="E83" s="8">
        <v>1</v>
      </c>
      <c r="F83" s="22">
        <v>78.34</v>
      </c>
      <c r="G83" s="22">
        <v>146.91</v>
      </c>
      <c r="H83" s="22">
        <v>78.34</v>
      </c>
      <c r="I83" s="22">
        <v>146.91</v>
      </c>
      <c r="J83" s="8" t="s">
        <v>44</v>
      </c>
      <c r="K83" s="8" t="s">
        <v>38</v>
      </c>
      <c r="L83" s="23">
        <v>46086</v>
      </c>
    </row>
    <row r="84" spans="1:12" ht="21.95" customHeight="1" x14ac:dyDescent="0.25">
      <c r="A84" s="10" t="s">
        <v>420</v>
      </c>
      <c r="B84" s="10" t="s">
        <v>425</v>
      </c>
      <c r="C84" s="11" t="s">
        <v>426</v>
      </c>
      <c r="D84" s="10">
        <v>1512</v>
      </c>
      <c r="E84" s="10">
        <v>-1</v>
      </c>
      <c r="F84" s="24">
        <v>80.319999999999993</v>
      </c>
      <c r="G84" s="24">
        <v>150.19</v>
      </c>
      <c r="H84" s="24">
        <v>-80.319999999999993</v>
      </c>
      <c r="I84" s="24">
        <v>-150.19</v>
      </c>
      <c r="J84" s="10" t="s">
        <v>44</v>
      </c>
      <c r="K84" s="10" t="s">
        <v>38</v>
      </c>
      <c r="L84" s="25">
        <v>46086</v>
      </c>
    </row>
    <row r="85" spans="1:12" ht="21.95" customHeight="1" x14ac:dyDescent="0.25">
      <c r="A85" s="8" t="s">
        <v>417</v>
      </c>
      <c r="B85" s="8" t="s">
        <v>427</v>
      </c>
      <c r="C85" s="9" t="s">
        <v>428</v>
      </c>
      <c r="D85" s="8">
        <v>1512</v>
      </c>
      <c r="E85" s="8">
        <v>1</v>
      </c>
      <c r="F85" s="22">
        <v>66.650000000000006</v>
      </c>
      <c r="G85" s="22">
        <v>126.48</v>
      </c>
      <c r="H85" s="22">
        <v>66.650000000000006</v>
      </c>
      <c r="I85" s="22">
        <v>126.48</v>
      </c>
      <c r="J85" s="8" t="s">
        <v>44</v>
      </c>
      <c r="K85" s="8" t="s">
        <v>38</v>
      </c>
      <c r="L85" s="23">
        <v>46086</v>
      </c>
    </row>
    <row r="86" spans="1:12" ht="21.95" customHeight="1" x14ac:dyDescent="0.25">
      <c r="A86" s="10" t="s">
        <v>420</v>
      </c>
      <c r="B86" s="10" t="s">
        <v>429</v>
      </c>
      <c r="C86" s="11" t="s">
        <v>430</v>
      </c>
      <c r="D86" s="10">
        <v>1512</v>
      </c>
      <c r="E86" s="10">
        <v>-1</v>
      </c>
      <c r="F86" s="24">
        <v>66.650000000000006</v>
      </c>
      <c r="G86" s="24">
        <v>126.48</v>
      </c>
      <c r="H86" s="24">
        <v>-66.650000000000006</v>
      </c>
      <c r="I86" s="24">
        <v>-126.48</v>
      </c>
      <c r="J86" s="10" t="s">
        <v>44</v>
      </c>
      <c r="K86" s="10" t="s">
        <v>38</v>
      </c>
      <c r="L86" s="25">
        <v>46086</v>
      </c>
    </row>
    <row r="87" spans="1:12" ht="21.95" customHeight="1" x14ac:dyDescent="0.25">
      <c r="A87" s="8" t="s">
        <v>417</v>
      </c>
      <c r="B87" s="8" t="s">
        <v>431</v>
      </c>
      <c r="C87" s="9" t="s">
        <v>432</v>
      </c>
      <c r="D87" s="8">
        <v>1512</v>
      </c>
      <c r="E87" s="8">
        <v>1</v>
      </c>
      <c r="F87" s="22">
        <v>30.03</v>
      </c>
      <c r="G87" s="22">
        <v>84.81</v>
      </c>
      <c r="H87" s="22">
        <v>30.03</v>
      </c>
      <c r="I87" s="22">
        <v>84.81</v>
      </c>
      <c r="J87" s="8" t="s">
        <v>44</v>
      </c>
      <c r="K87" s="8" t="s">
        <v>38</v>
      </c>
      <c r="L87" s="23">
        <v>46086</v>
      </c>
    </row>
    <row r="88" spans="1:12" ht="21.95" customHeight="1" x14ac:dyDescent="0.25">
      <c r="A88" s="10" t="s">
        <v>420</v>
      </c>
      <c r="B88" s="10" t="s">
        <v>433</v>
      </c>
      <c r="C88" s="11" t="s">
        <v>434</v>
      </c>
      <c r="D88" s="10">
        <v>1512</v>
      </c>
      <c r="E88" s="10">
        <v>-1</v>
      </c>
      <c r="F88" s="24">
        <v>30.07</v>
      </c>
      <c r="G88" s="24">
        <v>84.81</v>
      </c>
      <c r="H88" s="24">
        <v>-30.07</v>
      </c>
      <c r="I88" s="24">
        <v>-84.81</v>
      </c>
      <c r="J88" s="10" t="s">
        <v>44</v>
      </c>
      <c r="K88" s="10" t="s">
        <v>38</v>
      </c>
      <c r="L88" s="25">
        <v>46086</v>
      </c>
    </row>
    <row r="89" spans="1:12" ht="21.95" customHeight="1" x14ac:dyDescent="0.25">
      <c r="A89" s="8" t="s">
        <v>417</v>
      </c>
      <c r="B89" s="8" t="s">
        <v>435</v>
      </c>
      <c r="C89" s="9" t="s">
        <v>436</v>
      </c>
      <c r="D89" s="8">
        <v>1512</v>
      </c>
      <c r="E89" s="8">
        <v>1</v>
      </c>
      <c r="F89" s="22">
        <v>98.7</v>
      </c>
      <c r="G89" s="22">
        <v>142.97999999999999</v>
      </c>
      <c r="H89" s="22">
        <v>98.7</v>
      </c>
      <c r="I89" s="22">
        <v>142.97999999999999</v>
      </c>
      <c r="J89" s="8" t="s">
        <v>44</v>
      </c>
      <c r="K89" s="8" t="s">
        <v>38</v>
      </c>
      <c r="L89" s="23">
        <v>46086</v>
      </c>
    </row>
    <row r="90" spans="1:12" ht="21.95" customHeight="1" x14ac:dyDescent="0.25">
      <c r="A90" s="10" t="s">
        <v>420</v>
      </c>
      <c r="B90" s="10" t="s">
        <v>437</v>
      </c>
      <c r="C90" s="11" t="s">
        <v>438</v>
      </c>
      <c r="D90" s="10">
        <v>1512</v>
      </c>
      <c r="E90" s="10">
        <v>-1</v>
      </c>
      <c r="F90" s="24">
        <v>64.73</v>
      </c>
      <c r="G90" s="24">
        <v>82.03</v>
      </c>
      <c r="H90" s="24">
        <v>-64.73</v>
      </c>
      <c r="I90" s="24">
        <v>-82.03</v>
      </c>
      <c r="J90" s="10" t="s">
        <v>44</v>
      </c>
      <c r="K90" s="10" t="s">
        <v>38</v>
      </c>
      <c r="L90" s="25">
        <v>46086</v>
      </c>
    </row>
    <row r="91" spans="1:12" ht="21.95" customHeight="1" x14ac:dyDescent="0.25">
      <c r="A91" s="8" t="s">
        <v>417</v>
      </c>
      <c r="B91" s="8" t="s">
        <v>439</v>
      </c>
      <c r="C91" s="9" t="s">
        <v>440</v>
      </c>
      <c r="D91" s="8">
        <v>1512</v>
      </c>
      <c r="E91" s="8">
        <v>1</v>
      </c>
      <c r="F91" s="22">
        <v>31.95</v>
      </c>
      <c r="G91" s="22">
        <v>88.51</v>
      </c>
      <c r="H91" s="22">
        <v>31.95</v>
      </c>
      <c r="I91" s="22">
        <v>88.51</v>
      </c>
      <c r="J91" s="8" t="s">
        <v>44</v>
      </c>
      <c r="K91" s="8" t="s">
        <v>38</v>
      </c>
      <c r="L91" s="23">
        <v>46086</v>
      </c>
    </row>
    <row r="92" spans="1:12" ht="21.95" customHeight="1" x14ac:dyDescent="0.25">
      <c r="A92" s="10" t="s">
        <v>420</v>
      </c>
      <c r="B92" s="10" t="s">
        <v>441</v>
      </c>
      <c r="C92" s="11" t="s">
        <v>442</v>
      </c>
      <c r="D92" s="10">
        <v>1512</v>
      </c>
      <c r="E92" s="10">
        <v>-1</v>
      </c>
      <c r="F92" s="24">
        <v>31.94</v>
      </c>
      <c r="G92" s="24">
        <v>79.88</v>
      </c>
      <c r="H92" s="24">
        <v>-31.94</v>
      </c>
      <c r="I92" s="24">
        <v>-79.88</v>
      </c>
      <c r="J92" s="10" t="s">
        <v>44</v>
      </c>
      <c r="K92" s="10" t="s">
        <v>38</v>
      </c>
      <c r="L92" s="25">
        <v>46086</v>
      </c>
    </row>
    <row r="93" spans="1:12" ht="21.95" customHeight="1" x14ac:dyDescent="0.25">
      <c r="A93" s="8" t="s">
        <v>417</v>
      </c>
      <c r="B93" s="8" t="s">
        <v>443</v>
      </c>
      <c r="C93" s="9" t="s">
        <v>444</v>
      </c>
      <c r="D93" s="8">
        <v>1512</v>
      </c>
      <c r="E93" s="8">
        <v>2</v>
      </c>
      <c r="F93" s="22">
        <v>18.579999999999998</v>
      </c>
      <c r="G93" s="22">
        <v>40.380000000000003</v>
      </c>
      <c r="H93" s="22">
        <v>37.15</v>
      </c>
      <c r="I93" s="22">
        <v>80.760000000000005</v>
      </c>
      <c r="J93" s="8" t="s">
        <v>44</v>
      </c>
      <c r="K93" s="8" t="s">
        <v>38</v>
      </c>
      <c r="L93" s="23">
        <v>46086</v>
      </c>
    </row>
    <row r="94" spans="1:12" ht="21.95" customHeight="1" x14ac:dyDescent="0.25">
      <c r="A94" s="10" t="s">
        <v>420</v>
      </c>
      <c r="B94" s="10" t="s">
        <v>445</v>
      </c>
      <c r="C94" s="11" t="s">
        <v>446</v>
      </c>
      <c r="D94" s="10">
        <v>1512</v>
      </c>
      <c r="E94" s="10">
        <v>-2</v>
      </c>
      <c r="F94" s="24">
        <v>17.579999999999998</v>
      </c>
      <c r="G94" s="24">
        <v>38.21</v>
      </c>
      <c r="H94" s="24">
        <v>-35.15</v>
      </c>
      <c r="I94" s="24">
        <v>-76.42</v>
      </c>
      <c r="J94" s="10" t="s">
        <v>44</v>
      </c>
      <c r="K94" s="10" t="s">
        <v>38</v>
      </c>
      <c r="L94" s="25">
        <v>46086</v>
      </c>
    </row>
    <row r="95" spans="1:12" ht="21.95" customHeight="1" x14ac:dyDescent="0.25">
      <c r="A95" s="8" t="s">
        <v>417</v>
      </c>
      <c r="B95" s="8" t="s">
        <v>447</v>
      </c>
      <c r="C95" s="9" t="s">
        <v>448</v>
      </c>
      <c r="D95" s="8">
        <v>1512</v>
      </c>
      <c r="E95" s="8">
        <v>1</v>
      </c>
      <c r="F95" s="22">
        <v>28.43</v>
      </c>
      <c r="G95" s="22">
        <v>69.819999999999993</v>
      </c>
      <c r="H95" s="22">
        <v>28.43</v>
      </c>
      <c r="I95" s="22">
        <v>69.819999999999993</v>
      </c>
      <c r="J95" s="8" t="s">
        <v>44</v>
      </c>
      <c r="K95" s="8" t="s">
        <v>38</v>
      </c>
      <c r="L95" s="23">
        <v>46086</v>
      </c>
    </row>
    <row r="96" spans="1:12" ht="21.95" customHeight="1" x14ac:dyDescent="0.25">
      <c r="A96" s="10" t="s">
        <v>420</v>
      </c>
      <c r="B96" s="10" t="s">
        <v>449</v>
      </c>
      <c r="C96" s="11" t="s">
        <v>450</v>
      </c>
      <c r="D96" s="10">
        <v>1512</v>
      </c>
      <c r="E96" s="10">
        <v>-1</v>
      </c>
      <c r="F96" s="24">
        <v>28.43</v>
      </c>
      <c r="G96" s="24">
        <v>69.819999999999993</v>
      </c>
      <c r="H96" s="24">
        <v>-28.43</v>
      </c>
      <c r="I96" s="24">
        <v>-69.819999999999993</v>
      </c>
      <c r="J96" s="10" t="s">
        <v>44</v>
      </c>
      <c r="K96" s="10" t="s">
        <v>38</v>
      </c>
      <c r="L96" s="25">
        <v>46086</v>
      </c>
    </row>
    <row r="97" spans="1:12" ht="21.95" customHeight="1" x14ac:dyDescent="0.25">
      <c r="A97" s="8" t="s">
        <v>417</v>
      </c>
      <c r="B97" s="8" t="s">
        <v>451</v>
      </c>
      <c r="C97" s="9" t="s">
        <v>452</v>
      </c>
      <c r="D97" s="8">
        <v>1512</v>
      </c>
      <c r="E97" s="8">
        <v>1</v>
      </c>
      <c r="F97" s="22">
        <v>93.77</v>
      </c>
      <c r="G97" s="22">
        <v>128.93</v>
      </c>
      <c r="H97" s="22">
        <v>93.77</v>
      </c>
      <c r="I97" s="22">
        <v>128.93</v>
      </c>
      <c r="J97" s="8" t="s">
        <v>44</v>
      </c>
      <c r="K97" s="8" t="s">
        <v>38</v>
      </c>
      <c r="L97" s="23">
        <v>46086</v>
      </c>
    </row>
    <row r="98" spans="1:12" ht="21.95" customHeight="1" x14ac:dyDescent="0.25">
      <c r="A98" s="10" t="s">
        <v>420</v>
      </c>
      <c r="B98" s="10" t="s">
        <v>453</v>
      </c>
      <c r="C98" s="11" t="s">
        <v>454</v>
      </c>
      <c r="D98" s="10">
        <v>1512</v>
      </c>
      <c r="E98" s="10">
        <v>-1</v>
      </c>
      <c r="F98" s="24">
        <v>24.68</v>
      </c>
      <c r="G98" s="24">
        <v>55.34</v>
      </c>
      <c r="H98" s="24">
        <v>-24.68</v>
      </c>
      <c r="I98" s="24">
        <v>-55.34</v>
      </c>
      <c r="J98" s="10" t="s">
        <v>44</v>
      </c>
      <c r="K98" s="10" t="s">
        <v>38</v>
      </c>
      <c r="L98" s="25">
        <v>46086</v>
      </c>
    </row>
    <row r="99" spans="1:12" ht="21.95" customHeight="1" x14ac:dyDescent="0.25">
      <c r="A99" s="8" t="s">
        <v>417</v>
      </c>
      <c r="B99" s="8" t="s">
        <v>455</v>
      </c>
      <c r="C99" s="9" t="s">
        <v>456</v>
      </c>
      <c r="D99" s="8">
        <v>1512</v>
      </c>
      <c r="E99" s="8">
        <v>1</v>
      </c>
      <c r="F99" s="22">
        <v>19.57</v>
      </c>
      <c r="G99" s="22">
        <v>51.14</v>
      </c>
      <c r="H99" s="22">
        <v>19.57</v>
      </c>
      <c r="I99" s="22">
        <v>51.14</v>
      </c>
      <c r="J99" s="8" t="s">
        <v>44</v>
      </c>
      <c r="K99" s="8" t="s">
        <v>38</v>
      </c>
      <c r="L99" s="23">
        <v>46086</v>
      </c>
    </row>
    <row r="100" spans="1:12" ht="21.95" customHeight="1" x14ac:dyDescent="0.25">
      <c r="A100" s="10" t="s">
        <v>420</v>
      </c>
      <c r="B100" s="10" t="s">
        <v>457</v>
      </c>
      <c r="C100" s="11" t="s">
        <v>458</v>
      </c>
      <c r="D100" s="10">
        <v>1512</v>
      </c>
      <c r="E100" s="10">
        <v>-1</v>
      </c>
      <c r="F100" s="24">
        <v>19.57</v>
      </c>
      <c r="G100" s="24">
        <v>51.14</v>
      </c>
      <c r="H100" s="24">
        <v>-19.57</v>
      </c>
      <c r="I100" s="24">
        <v>-51.14</v>
      </c>
      <c r="J100" s="10" t="s">
        <v>44</v>
      </c>
      <c r="K100" s="10" t="s">
        <v>38</v>
      </c>
      <c r="L100" s="25">
        <v>46086</v>
      </c>
    </row>
    <row r="101" spans="1:12" ht="21.95" customHeight="1" x14ac:dyDescent="0.25">
      <c r="A101" s="8" t="s">
        <v>417</v>
      </c>
      <c r="B101" s="8" t="s">
        <v>459</v>
      </c>
      <c r="C101" s="9" t="s">
        <v>460</v>
      </c>
      <c r="D101" s="8">
        <v>1512</v>
      </c>
      <c r="E101" s="8">
        <v>1</v>
      </c>
      <c r="F101" s="22">
        <v>36.18</v>
      </c>
      <c r="G101" s="22">
        <v>50.36</v>
      </c>
      <c r="H101" s="22">
        <v>36.18</v>
      </c>
      <c r="I101" s="22">
        <v>50.36</v>
      </c>
      <c r="J101" s="8" t="s">
        <v>44</v>
      </c>
      <c r="K101" s="8" t="s">
        <v>38</v>
      </c>
      <c r="L101" s="23">
        <v>46086</v>
      </c>
    </row>
    <row r="102" spans="1:12" ht="21.95" customHeight="1" x14ac:dyDescent="0.25">
      <c r="A102" s="10" t="s">
        <v>420</v>
      </c>
      <c r="B102" s="10" t="s">
        <v>461</v>
      </c>
      <c r="C102" s="11" t="s">
        <v>462</v>
      </c>
      <c r="D102" s="10">
        <v>1512</v>
      </c>
      <c r="E102" s="10">
        <v>-1</v>
      </c>
      <c r="F102" s="24">
        <v>28</v>
      </c>
      <c r="G102" s="24">
        <v>41</v>
      </c>
      <c r="H102" s="24">
        <v>-28</v>
      </c>
      <c r="I102" s="24">
        <v>-41</v>
      </c>
      <c r="J102" s="10" t="s">
        <v>44</v>
      </c>
      <c r="K102" s="10" t="s">
        <v>38</v>
      </c>
      <c r="L102" s="25">
        <v>46086</v>
      </c>
    </row>
    <row r="103" spans="1:12" ht="21.95" customHeight="1" x14ac:dyDescent="0.25">
      <c r="A103" s="8" t="s">
        <v>417</v>
      </c>
      <c r="B103" s="8" t="s">
        <v>463</v>
      </c>
      <c r="C103" s="9" t="s">
        <v>464</v>
      </c>
      <c r="D103" s="8">
        <v>1512</v>
      </c>
      <c r="E103" s="8">
        <v>1</v>
      </c>
      <c r="F103" s="22">
        <v>9.07</v>
      </c>
      <c r="G103" s="22">
        <v>22.46</v>
      </c>
      <c r="H103" s="22">
        <v>9.07</v>
      </c>
      <c r="I103" s="22">
        <v>22.46</v>
      </c>
      <c r="J103" s="8" t="s">
        <v>44</v>
      </c>
      <c r="K103" s="8" t="s">
        <v>38</v>
      </c>
      <c r="L103" s="23">
        <v>46086</v>
      </c>
    </row>
    <row r="104" spans="1:12" ht="21.95" customHeight="1" x14ac:dyDescent="0.25">
      <c r="A104" s="10" t="s">
        <v>420</v>
      </c>
      <c r="B104" s="10" t="s">
        <v>465</v>
      </c>
      <c r="C104" s="11" t="s">
        <v>466</v>
      </c>
      <c r="D104" s="10">
        <v>1512</v>
      </c>
      <c r="E104" s="10">
        <v>-1</v>
      </c>
      <c r="F104" s="24">
        <v>12.5</v>
      </c>
      <c r="G104" s="24">
        <v>30.94</v>
      </c>
      <c r="H104" s="24">
        <v>-12.5</v>
      </c>
      <c r="I104" s="24">
        <v>-30.94</v>
      </c>
      <c r="J104" s="10" t="s">
        <v>44</v>
      </c>
      <c r="K104" s="10" t="s">
        <v>38</v>
      </c>
      <c r="L104" s="25">
        <v>46086</v>
      </c>
    </row>
    <row r="105" spans="1:12" ht="21.95" customHeight="1" x14ac:dyDescent="0.25">
      <c r="A105" s="8" t="s">
        <v>417</v>
      </c>
      <c r="B105" s="8" t="s">
        <v>467</v>
      </c>
      <c r="C105" s="9" t="s">
        <v>468</v>
      </c>
      <c r="D105" s="8">
        <v>1512</v>
      </c>
      <c r="E105" s="8">
        <v>1</v>
      </c>
      <c r="F105" s="22">
        <v>28.34</v>
      </c>
      <c r="G105" s="22">
        <v>38.97</v>
      </c>
      <c r="H105" s="22">
        <v>28.34</v>
      </c>
      <c r="I105" s="22">
        <v>38.97</v>
      </c>
      <c r="J105" s="8" t="s">
        <v>44</v>
      </c>
      <c r="K105" s="8" t="s">
        <v>38</v>
      </c>
      <c r="L105" s="23">
        <v>46086</v>
      </c>
    </row>
    <row r="106" spans="1:12" ht="21.95" customHeight="1" x14ac:dyDescent="0.25">
      <c r="A106" s="10" t="s">
        <v>420</v>
      </c>
      <c r="B106" s="10" t="s">
        <v>469</v>
      </c>
      <c r="C106" s="11" t="s">
        <v>470</v>
      </c>
      <c r="D106" s="10">
        <v>1512</v>
      </c>
      <c r="E106" s="10">
        <v>-1</v>
      </c>
      <c r="F106" s="24">
        <v>19.399999999999999</v>
      </c>
      <c r="G106" s="24">
        <v>29.68</v>
      </c>
      <c r="H106" s="24">
        <v>-19.399999999999999</v>
      </c>
      <c r="I106" s="24">
        <v>-29.68</v>
      </c>
      <c r="J106" s="10" t="s">
        <v>44</v>
      </c>
      <c r="K106" s="10" t="s">
        <v>38</v>
      </c>
      <c r="L106" s="25">
        <v>46086</v>
      </c>
    </row>
    <row r="107" spans="1:12" ht="21.95" customHeight="1" x14ac:dyDescent="0.25">
      <c r="A107" s="8" t="s">
        <v>417</v>
      </c>
      <c r="B107" s="8" t="s">
        <v>471</v>
      </c>
      <c r="C107" s="9" t="s">
        <v>472</v>
      </c>
      <c r="D107" s="8">
        <v>1512</v>
      </c>
      <c r="E107" s="8">
        <v>1</v>
      </c>
      <c r="F107" s="22">
        <v>17.07</v>
      </c>
      <c r="G107" s="22">
        <v>24.05</v>
      </c>
      <c r="H107" s="22">
        <v>17.07</v>
      </c>
      <c r="I107" s="22">
        <v>24.05</v>
      </c>
      <c r="J107" s="8" t="s">
        <v>44</v>
      </c>
      <c r="K107" s="8" t="s">
        <v>38</v>
      </c>
      <c r="L107" s="23">
        <v>46086</v>
      </c>
    </row>
    <row r="108" spans="1:12" ht="21.95" customHeight="1" x14ac:dyDescent="0.25">
      <c r="A108" s="10" t="s">
        <v>420</v>
      </c>
      <c r="B108" s="10" t="s">
        <v>473</v>
      </c>
      <c r="C108" s="11" t="s">
        <v>474</v>
      </c>
      <c r="D108" s="10">
        <v>1512</v>
      </c>
      <c r="E108" s="10">
        <v>-1</v>
      </c>
      <c r="F108" s="24">
        <v>8.0399999999999991</v>
      </c>
      <c r="G108" s="24">
        <v>28.11</v>
      </c>
      <c r="H108" s="24">
        <v>-8.0399999999999991</v>
      </c>
      <c r="I108" s="24">
        <v>-28.11</v>
      </c>
      <c r="J108" s="10" t="s">
        <v>44</v>
      </c>
      <c r="K108" s="10" t="s">
        <v>38</v>
      </c>
      <c r="L108" s="25">
        <v>46086</v>
      </c>
    </row>
    <row r="109" spans="1:12" ht="21.95" customHeight="1" x14ac:dyDescent="0.25">
      <c r="A109" s="12" t="s">
        <v>475</v>
      </c>
      <c r="B109" s="12" t="s">
        <v>476</v>
      </c>
      <c r="C109" s="13" t="s">
        <v>477</v>
      </c>
      <c r="D109" s="12">
        <v>1512</v>
      </c>
      <c r="E109" s="12">
        <v>-5</v>
      </c>
      <c r="F109" s="12"/>
      <c r="G109" s="12"/>
      <c r="H109" s="26">
        <v>-180.85</v>
      </c>
      <c r="I109" s="26">
        <v>-259.5</v>
      </c>
      <c r="J109" s="12" t="s">
        <v>44</v>
      </c>
      <c r="K109" s="12" t="s">
        <v>38</v>
      </c>
      <c r="L109" s="27">
        <v>46086</v>
      </c>
    </row>
    <row r="110" spans="1:12" ht="21.95" customHeight="1" x14ac:dyDescent="0.25">
      <c r="A110" s="4" t="s">
        <v>261</v>
      </c>
      <c r="B110" s="4" t="s">
        <v>478</v>
      </c>
      <c r="C110" s="5" t="s">
        <v>479</v>
      </c>
      <c r="D110" s="4">
        <v>1501</v>
      </c>
      <c r="E110" s="4">
        <v>-1</v>
      </c>
      <c r="F110" s="18">
        <v>21.42</v>
      </c>
      <c r="G110" s="18">
        <v>55.73</v>
      </c>
      <c r="H110" s="18">
        <v>-21.42</v>
      </c>
      <c r="I110" s="18">
        <v>-55.73</v>
      </c>
      <c r="J110" s="4" t="s">
        <v>51</v>
      </c>
      <c r="K110" s="4" t="s">
        <v>48</v>
      </c>
      <c r="L110" s="19">
        <v>46079</v>
      </c>
    </row>
    <row r="111" spans="1:12" ht="21.95" customHeight="1" x14ac:dyDescent="0.25">
      <c r="A111" s="4" t="s">
        <v>261</v>
      </c>
      <c r="B111" s="4" t="s">
        <v>480</v>
      </c>
      <c r="C111" s="5" t="s">
        <v>481</v>
      </c>
      <c r="D111" s="4">
        <v>1501</v>
      </c>
      <c r="E111" s="4">
        <v>-1</v>
      </c>
      <c r="F111" s="18">
        <v>26.69</v>
      </c>
      <c r="G111" s="18">
        <v>39.090000000000003</v>
      </c>
      <c r="H111" s="18">
        <v>-26.69</v>
      </c>
      <c r="I111" s="18">
        <v>-39.090000000000003</v>
      </c>
      <c r="J111" s="4" t="s">
        <v>51</v>
      </c>
      <c r="K111" s="4" t="s">
        <v>48</v>
      </c>
      <c r="L111" s="19">
        <v>46079</v>
      </c>
    </row>
    <row r="112" spans="1:12" ht="21.95" customHeight="1" x14ac:dyDescent="0.25">
      <c r="A112" s="4" t="s">
        <v>261</v>
      </c>
      <c r="B112" s="4" t="s">
        <v>482</v>
      </c>
      <c r="C112" s="5" t="s">
        <v>483</v>
      </c>
      <c r="D112" s="4">
        <v>1501</v>
      </c>
      <c r="E112" s="4">
        <v>-1</v>
      </c>
      <c r="F112" s="18">
        <v>19.649999999999999</v>
      </c>
      <c r="G112" s="18">
        <v>28.77</v>
      </c>
      <c r="H112" s="18">
        <v>-19.649999999999999</v>
      </c>
      <c r="I112" s="18">
        <v>-28.77</v>
      </c>
      <c r="J112" s="4" t="s">
        <v>51</v>
      </c>
      <c r="K112" s="4" t="s">
        <v>48</v>
      </c>
      <c r="L112" s="19">
        <v>46079</v>
      </c>
    </row>
    <row r="113" spans="1:12" ht="21.95" customHeight="1" x14ac:dyDescent="0.25">
      <c r="A113" s="4" t="s">
        <v>261</v>
      </c>
      <c r="B113" s="4" t="s">
        <v>484</v>
      </c>
      <c r="C113" s="5" t="s">
        <v>485</v>
      </c>
      <c r="D113" s="4">
        <v>1501</v>
      </c>
      <c r="E113" s="4">
        <v>-1</v>
      </c>
      <c r="F113" s="18">
        <v>8.9700000000000006</v>
      </c>
      <c r="G113" s="18">
        <v>22.74</v>
      </c>
      <c r="H113" s="18">
        <v>-8.9700000000000006</v>
      </c>
      <c r="I113" s="18">
        <v>-22.74</v>
      </c>
      <c r="J113" s="4" t="s">
        <v>51</v>
      </c>
      <c r="K113" s="4" t="s">
        <v>48</v>
      </c>
      <c r="L113" s="19">
        <v>46079</v>
      </c>
    </row>
    <row r="114" spans="1:12" ht="21.95" customHeight="1" x14ac:dyDescent="0.25">
      <c r="A114" s="4" t="s">
        <v>261</v>
      </c>
      <c r="B114" s="4" t="s">
        <v>486</v>
      </c>
      <c r="C114" s="5" t="s">
        <v>487</v>
      </c>
      <c r="D114" s="4">
        <v>1501</v>
      </c>
      <c r="E114" s="4">
        <v>-2</v>
      </c>
      <c r="F114" s="18">
        <v>4.75</v>
      </c>
      <c r="G114" s="18">
        <v>11.24</v>
      </c>
      <c r="H114" s="18">
        <v>-9.5</v>
      </c>
      <c r="I114" s="18">
        <v>-22.48</v>
      </c>
      <c r="J114" s="4" t="s">
        <v>51</v>
      </c>
      <c r="K114" s="4" t="s">
        <v>48</v>
      </c>
      <c r="L114" s="19">
        <v>46079</v>
      </c>
    </row>
    <row r="115" spans="1:12" ht="21.95" customHeight="1" x14ac:dyDescent="0.25">
      <c r="A115" s="4" t="s">
        <v>261</v>
      </c>
      <c r="B115" s="4" t="s">
        <v>488</v>
      </c>
      <c r="C115" s="5" t="s">
        <v>489</v>
      </c>
      <c r="D115" s="4">
        <v>1501</v>
      </c>
      <c r="E115" s="4">
        <v>-1</v>
      </c>
      <c r="F115" s="18">
        <v>10.9</v>
      </c>
      <c r="G115" s="18">
        <v>20.74</v>
      </c>
      <c r="H115" s="18">
        <v>-10.9</v>
      </c>
      <c r="I115" s="18">
        <v>-20.74</v>
      </c>
      <c r="J115" s="4" t="s">
        <v>51</v>
      </c>
      <c r="K115" s="4" t="s">
        <v>48</v>
      </c>
      <c r="L115" s="19">
        <v>46079</v>
      </c>
    </row>
    <row r="116" spans="1:12" ht="21.95" customHeight="1" x14ac:dyDescent="0.25">
      <c r="A116" s="4" t="s">
        <v>261</v>
      </c>
      <c r="B116" s="4" t="s">
        <v>490</v>
      </c>
      <c r="C116" s="5" t="s">
        <v>491</v>
      </c>
      <c r="D116" s="4">
        <v>1501</v>
      </c>
      <c r="E116" s="4">
        <v>-1</v>
      </c>
      <c r="F116" s="18">
        <v>5.56</v>
      </c>
      <c r="G116" s="18">
        <v>19.79</v>
      </c>
      <c r="H116" s="18">
        <v>-5.56</v>
      </c>
      <c r="I116" s="18">
        <v>-19.79</v>
      </c>
      <c r="J116" s="4" t="s">
        <v>51</v>
      </c>
      <c r="K116" s="4" t="s">
        <v>48</v>
      </c>
      <c r="L116" s="19">
        <v>46079</v>
      </c>
    </row>
    <row r="117" spans="1:12" ht="21.95" customHeight="1" x14ac:dyDescent="0.25">
      <c r="A117" s="4" t="s">
        <v>261</v>
      </c>
      <c r="B117" s="4" t="s">
        <v>413</v>
      </c>
      <c r="C117" s="5" t="s">
        <v>414</v>
      </c>
      <c r="D117" s="4">
        <v>1501</v>
      </c>
      <c r="E117" s="4">
        <v>-6</v>
      </c>
      <c r="F117" s="18">
        <v>1.8</v>
      </c>
      <c r="G117" s="18">
        <v>2.96</v>
      </c>
      <c r="H117" s="18">
        <v>-10.81</v>
      </c>
      <c r="I117" s="18">
        <v>-17.760000000000002</v>
      </c>
      <c r="J117" s="4" t="s">
        <v>51</v>
      </c>
      <c r="K117" s="4" t="s">
        <v>48</v>
      </c>
      <c r="L117" s="19">
        <v>46079</v>
      </c>
    </row>
    <row r="118" spans="1:12" ht="21.95" customHeight="1" x14ac:dyDescent="0.25">
      <c r="A118" s="4" t="s">
        <v>261</v>
      </c>
      <c r="B118" s="4" t="s">
        <v>492</v>
      </c>
      <c r="C118" s="5" t="s">
        <v>493</v>
      </c>
      <c r="D118" s="4">
        <v>1501</v>
      </c>
      <c r="E118" s="4">
        <v>-1</v>
      </c>
      <c r="F118" s="18">
        <v>10.01</v>
      </c>
      <c r="G118" s="18">
        <v>16.170000000000002</v>
      </c>
      <c r="H118" s="18">
        <v>-10.01</v>
      </c>
      <c r="I118" s="18">
        <v>-16.170000000000002</v>
      </c>
      <c r="J118" s="4" t="s">
        <v>51</v>
      </c>
      <c r="K118" s="4" t="s">
        <v>48</v>
      </c>
      <c r="L118" s="19">
        <v>46079</v>
      </c>
    </row>
    <row r="119" spans="1:12" ht="21.95" customHeight="1" x14ac:dyDescent="0.25">
      <c r="A119" s="4" t="s">
        <v>261</v>
      </c>
      <c r="B119" s="4" t="s">
        <v>494</v>
      </c>
      <c r="C119" s="5" t="s">
        <v>495</v>
      </c>
      <c r="D119" s="4">
        <v>1501</v>
      </c>
      <c r="E119" s="4">
        <v>-1</v>
      </c>
      <c r="F119" s="18">
        <v>7.46</v>
      </c>
      <c r="G119" s="18">
        <v>16.12</v>
      </c>
      <c r="H119" s="18">
        <v>-7.46</v>
      </c>
      <c r="I119" s="18">
        <v>-16.12</v>
      </c>
      <c r="J119" s="4" t="s">
        <v>51</v>
      </c>
      <c r="K119" s="4" t="s">
        <v>48</v>
      </c>
      <c r="L119" s="19">
        <v>46079</v>
      </c>
    </row>
    <row r="120" spans="1:12" ht="21.95" customHeight="1" x14ac:dyDescent="0.25">
      <c r="A120" s="4" t="s">
        <v>261</v>
      </c>
      <c r="B120" s="4" t="s">
        <v>496</v>
      </c>
      <c r="C120" s="5" t="s">
        <v>497</v>
      </c>
      <c r="D120" s="4">
        <v>1501</v>
      </c>
      <c r="E120" s="4">
        <v>-1</v>
      </c>
      <c r="F120" s="18">
        <v>8.0299999999999994</v>
      </c>
      <c r="G120" s="18">
        <v>15.87</v>
      </c>
      <c r="H120" s="18">
        <v>-8.0299999999999994</v>
      </c>
      <c r="I120" s="18">
        <v>-15.87</v>
      </c>
      <c r="J120" s="4" t="s">
        <v>51</v>
      </c>
      <c r="K120" s="4" t="s">
        <v>48</v>
      </c>
      <c r="L120" s="19">
        <v>46079</v>
      </c>
    </row>
    <row r="121" spans="1:12" ht="21.95" customHeight="1" x14ac:dyDescent="0.25">
      <c r="A121" s="4" t="s">
        <v>261</v>
      </c>
      <c r="B121" s="4" t="s">
        <v>498</v>
      </c>
      <c r="C121" s="5" t="s">
        <v>499</v>
      </c>
      <c r="D121" s="4">
        <v>1501</v>
      </c>
      <c r="E121" s="4">
        <v>-2</v>
      </c>
      <c r="F121" s="18">
        <v>2.93</v>
      </c>
      <c r="G121" s="18">
        <v>5.86</v>
      </c>
      <c r="H121" s="18">
        <v>-5.87</v>
      </c>
      <c r="I121" s="18">
        <v>-11.72</v>
      </c>
      <c r="J121" s="4" t="s">
        <v>51</v>
      </c>
      <c r="K121" s="4" t="s">
        <v>48</v>
      </c>
      <c r="L121" s="19">
        <v>46079</v>
      </c>
    </row>
    <row r="122" spans="1:12" ht="21.95" customHeight="1" x14ac:dyDescent="0.25">
      <c r="A122" s="4" t="s">
        <v>261</v>
      </c>
      <c r="B122" s="4" t="s">
        <v>300</v>
      </c>
      <c r="C122" s="5" t="s">
        <v>301</v>
      </c>
      <c r="D122" s="4">
        <v>1501</v>
      </c>
      <c r="E122" s="4">
        <v>-1</v>
      </c>
      <c r="F122" s="18">
        <v>5.5</v>
      </c>
      <c r="G122" s="18">
        <v>11.65</v>
      </c>
      <c r="H122" s="18">
        <v>-5.5</v>
      </c>
      <c r="I122" s="18">
        <v>-11.65</v>
      </c>
      <c r="J122" s="4" t="s">
        <v>51</v>
      </c>
      <c r="K122" s="4" t="s">
        <v>48</v>
      </c>
      <c r="L122" s="19">
        <v>46079</v>
      </c>
    </row>
    <row r="123" spans="1:12" ht="21.95" customHeight="1" x14ac:dyDescent="0.25">
      <c r="A123" s="4" t="s">
        <v>261</v>
      </c>
      <c r="B123" s="4" t="s">
        <v>320</v>
      </c>
      <c r="C123" s="5" t="s">
        <v>321</v>
      </c>
      <c r="D123" s="4">
        <v>1501</v>
      </c>
      <c r="E123" s="4">
        <v>-1</v>
      </c>
      <c r="F123" s="18">
        <v>6.85</v>
      </c>
      <c r="G123" s="18">
        <v>10.46</v>
      </c>
      <c r="H123" s="18">
        <v>-6.85</v>
      </c>
      <c r="I123" s="18">
        <v>-10.46</v>
      </c>
      <c r="J123" s="4" t="s">
        <v>51</v>
      </c>
      <c r="K123" s="4" t="s">
        <v>48</v>
      </c>
      <c r="L123" s="19">
        <v>46079</v>
      </c>
    </row>
    <row r="124" spans="1:12" ht="21.95" customHeight="1" x14ac:dyDescent="0.25">
      <c r="A124" s="4" t="s">
        <v>261</v>
      </c>
      <c r="B124" s="4" t="s">
        <v>322</v>
      </c>
      <c r="C124" s="5" t="s">
        <v>323</v>
      </c>
      <c r="D124" s="4">
        <v>1501</v>
      </c>
      <c r="E124" s="4">
        <v>-1</v>
      </c>
      <c r="F124" s="18">
        <v>6.88</v>
      </c>
      <c r="G124" s="18">
        <v>10.37</v>
      </c>
      <c r="H124" s="18">
        <v>-6.88</v>
      </c>
      <c r="I124" s="18">
        <v>-10.37</v>
      </c>
      <c r="J124" s="4" t="s">
        <v>51</v>
      </c>
      <c r="K124" s="4" t="s">
        <v>48</v>
      </c>
      <c r="L124" s="19">
        <v>46079</v>
      </c>
    </row>
    <row r="125" spans="1:12" ht="21.95" customHeight="1" x14ac:dyDescent="0.25">
      <c r="A125" s="4" t="s">
        <v>261</v>
      </c>
      <c r="B125" s="4" t="s">
        <v>500</v>
      </c>
      <c r="C125" s="5" t="s">
        <v>501</v>
      </c>
      <c r="D125" s="4">
        <v>1501</v>
      </c>
      <c r="E125" s="4">
        <v>-1</v>
      </c>
      <c r="F125" s="18">
        <v>4.7699999999999996</v>
      </c>
      <c r="G125" s="18">
        <v>9.43</v>
      </c>
      <c r="H125" s="18">
        <v>-4.7699999999999996</v>
      </c>
      <c r="I125" s="18">
        <v>-9.43</v>
      </c>
      <c r="J125" s="4" t="s">
        <v>51</v>
      </c>
      <c r="K125" s="4" t="s">
        <v>48</v>
      </c>
      <c r="L125" s="19">
        <v>46079</v>
      </c>
    </row>
    <row r="126" spans="1:12" ht="21.95" customHeight="1" x14ac:dyDescent="0.25">
      <c r="A126" s="4" t="s">
        <v>261</v>
      </c>
      <c r="B126" s="4" t="s">
        <v>502</v>
      </c>
      <c r="C126" s="5" t="s">
        <v>503</v>
      </c>
      <c r="D126" s="4">
        <v>1501</v>
      </c>
      <c r="E126" s="4">
        <v>-1</v>
      </c>
      <c r="F126" s="18">
        <v>3.44</v>
      </c>
      <c r="G126" s="18">
        <v>8.86</v>
      </c>
      <c r="H126" s="18">
        <v>-3.44</v>
      </c>
      <c r="I126" s="18">
        <v>-8.86</v>
      </c>
      <c r="J126" s="4" t="s">
        <v>51</v>
      </c>
      <c r="K126" s="4" t="s">
        <v>48</v>
      </c>
      <c r="L126" s="19">
        <v>46079</v>
      </c>
    </row>
    <row r="127" spans="1:12" ht="21.95" customHeight="1" x14ac:dyDescent="0.25">
      <c r="A127" s="4" t="s">
        <v>261</v>
      </c>
      <c r="B127" s="4" t="s">
        <v>504</v>
      </c>
      <c r="C127" s="5" t="s">
        <v>505</v>
      </c>
      <c r="D127" s="4">
        <v>1501</v>
      </c>
      <c r="E127" s="4">
        <v>-3</v>
      </c>
      <c r="F127" s="18">
        <v>0.7</v>
      </c>
      <c r="G127" s="18">
        <v>1.78</v>
      </c>
      <c r="H127" s="18">
        <v>-2.1</v>
      </c>
      <c r="I127" s="18">
        <v>-5.34</v>
      </c>
      <c r="J127" s="4" t="s">
        <v>51</v>
      </c>
      <c r="K127" s="4" t="s">
        <v>48</v>
      </c>
      <c r="L127" s="19">
        <v>46079</v>
      </c>
    </row>
    <row r="128" spans="1:12" ht="21.95" customHeight="1" x14ac:dyDescent="0.25">
      <c r="A128" s="4" t="s">
        <v>261</v>
      </c>
      <c r="B128" s="4" t="s">
        <v>506</v>
      </c>
      <c r="C128" s="5" t="s">
        <v>507</v>
      </c>
      <c r="D128" s="4">
        <v>1501</v>
      </c>
      <c r="E128" s="4">
        <v>-1</v>
      </c>
      <c r="F128" s="18">
        <v>1.96</v>
      </c>
      <c r="G128" s="18">
        <v>4.9400000000000004</v>
      </c>
      <c r="H128" s="18">
        <v>-1.96</v>
      </c>
      <c r="I128" s="18">
        <v>-4.9400000000000004</v>
      </c>
      <c r="J128" s="4" t="s">
        <v>51</v>
      </c>
      <c r="K128" s="4" t="s">
        <v>48</v>
      </c>
      <c r="L128" s="19">
        <v>46079</v>
      </c>
    </row>
    <row r="129" spans="1:12" ht="21.95" customHeight="1" x14ac:dyDescent="0.25">
      <c r="A129" s="4" t="s">
        <v>261</v>
      </c>
      <c r="B129" s="4" t="s">
        <v>508</v>
      </c>
      <c r="C129" s="5" t="s">
        <v>509</v>
      </c>
      <c r="D129" s="4">
        <v>1501</v>
      </c>
      <c r="E129" s="4">
        <v>-1</v>
      </c>
      <c r="F129" s="18">
        <v>1.1100000000000001</v>
      </c>
      <c r="G129" s="18">
        <v>3.96</v>
      </c>
      <c r="H129" s="18">
        <v>-1.1100000000000001</v>
      </c>
      <c r="I129" s="18">
        <v>-3.96</v>
      </c>
      <c r="J129" s="4" t="s">
        <v>51</v>
      </c>
      <c r="K129" s="4" t="s">
        <v>48</v>
      </c>
      <c r="L129" s="19">
        <v>46079</v>
      </c>
    </row>
    <row r="130" spans="1:12" ht="21.95" customHeight="1" x14ac:dyDescent="0.25">
      <c r="A130" s="4" t="s">
        <v>261</v>
      </c>
      <c r="B130" s="4" t="s">
        <v>395</v>
      </c>
      <c r="C130" s="5" t="s">
        <v>396</v>
      </c>
      <c r="D130" s="4">
        <v>1501</v>
      </c>
      <c r="E130" s="4">
        <v>-1</v>
      </c>
      <c r="F130" s="18">
        <v>2.2999999999999998</v>
      </c>
      <c r="G130" s="18">
        <v>3.78</v>
      </c>
      <c r="H130" s="18">
        <v>-2.2999999999999998</v>
      </c>
      <c r="I130" s="18">
        <v>-3.78</v>
      </c>
      <c r="J130" s="4" t="s">
        <v>51</v>
      </c>
      <c r="K130" s="4" t="s">
        <v>48</v>
      </c>
      <c r="L130" s="19">
        <v>46079</v>
      </c>
    </row>
    <row r="131" spans="1:12" ht="21.95" customHeight="1" x14ac:dyDescent="0.25">
      <c r="A131" s="4" t="s">
        <v>261</v>
      </c>
      <c r="B131" s="4" t="s">
        <v>407</v>
      </c>
      <c r="C131" s="5" t="s">
        <v>408</v>
      </c>
      <c r="D131" s="4">
        <v>1501</v>
      </c>
      <c r="E131" s="4">
        <v>-1</v>
      </c>
      <c r="F131" s="18">
        <v>2.2999999999999998</v>
      </c>
      <c r="G131" s="18">
        <v>3.78</v>
      </c>
      <c r="H131" s="18">
        <v>-2.2999999999999998</v>
      </c>
      <c r="I131" s="18">
        <v>-3.78</v>
      </c>
      <c r="J131" s="4" t="s">
        <v>51</v>
      </c>
      <c r="K131" s="4" t="s">
        <v>48</v>
      </c>
      <c r="L131" s="19">
        <v>46079</v>
      </c>
    </row>
    <row r="132" spans="1:12" ht="21.95" customHeight="1" x14ac:dyDescent="0.25">
      <c r="A132" s="4" t="s">
        <v>261</v>
      </c>
      <c r="B132" s="4" t="s">
        <v>510</v>
      </c>
      <c r="C132" s="5" t="s">
        <v>511</v>
      </c>
      <c r="D132" s="4">
        <v>1501</v>
      </c>
      <c r="E132" s="4">
        <v>-2</v>
      </c>
      <c r="F132" s="18">
        <v>0.75</v>
      </c>
      <c r="G132" s="18">
        <v>1.62</v>
      </c>
      <c r="H132" s="18">
        <v>-1.51</v>
      </c>
      <c r="I132" s="18">
        <v>-3.24</v>
      </c>
      <c r="J132" s="4" t="s">
        <v>51</v>
      </c>
      <c r="K132" s="4" t="s">
        <v>48</v>
      </c>
      <c r="L132" s="19">
        <v>46079</v>
      </c>
    </row>
    <row r="133" spans="1:12" ht="21.95" customHeight="1" x14ac:dyDescent="0.25">
      <c r="A133" s="4" t="s">
        <v>261</v>
      </c>
      <c r="B133" s="4" t="s">
        <v>336</v>
      </c>
      <c r="C133" s="5" t="s">
        <v>337</v>
      </c>
      <c r="D133" s="4">
        <v>1501</v>
      </c>
      <c r="E133" s="4">
        <v>-1</v>
      </c>
      <c r="F133" s="18">
        <v>1.81</v>
      </c>
      <c r="G133" s="18">
        <v>2.96</v>
      </c>
      <c r="H133" s="18">
        <v>-1.81</v>
      </c>
      <c r="I133" s="18">
        <v>-2.96</v>
      </c>
      <c r="J133" s="4" t="s">
        <v>51</v>
      </c>
      <c r="K133" s="4" t="s">
        <v>48</v>
      </c>
      <c r="L133" s="19">
        <v>46079</v>
      </c>
    </row>
    <row r="134" spans="1:12" ht="21.95" customHeight="1" x14ac:dyDescent="0.25">
      <c r="A134" s="4" t="s">
        <v>261</v>
      </c>
      <c r="B134" s="4" t="s">
        <v>334</v>
      </c>
      <c r="C134" s="5" t="s">
        <v>335</v>
      </c>
      <c r="D134" s="4">
        <v>1501</v>
      </c>
      <c r="E134" s="4">
        <v>-1</v>
      </c>
      <c r="F134" s="18">
        <v>1.8</v>
      </c>
      <c r="G134" s="18">
        <v>2.96</v>
      </c>
      <c r="H134" s="18">
        <v>-1.8</v>
      </c>
      <c r="I134" s="18">
        <v>-2.96</v>
      </c>
      <c r="J134" s="4" t="s">
        <v>51</v>
      </c>
      <c r="K134" s="4" t="s">
        <v>48</v>
      </c>
      <c r="L134" s="19">
        <v>46079</v>
      </c>
    </row>
    <row r="135" spans="1:12" ht="21.95" customHeight="1" x14ac:dyDescent="0.25">
      <c r="A135" s="4" t="s">
        <v>261</v>
      </c>
      <c r="B135" s="4" t="s">
        <v>344</v>
      </c>
      <c r="C135" s="5" t="s">
        <v>345</v>
      </c>
      <c r="D135" s="4">
        <v>1501</v>
      </c>
      <c r="E135" s="4">
        <v>-8</v>
      </c>
      <c r="F135" s="18">
        <v>0.04</v>
      </c>
      <c r="G135" s="18">
        <v>0.06</v>
      </c>
      <c r="H135" s="18">
        <v>-0.34</v>
      </c>
      <c r="I135" s="18">
        <v>-0.48</v>
      </c>
      <c r="J135" s="4" t="s">
        <v>51</v>
      </c>
      <c r="K135" s="4" t="s">
        <v>48</v>
      </c>
      <c r="L135" s="19">
        <v>46079</v>
      </c>
    </row>
    <row r="136" spans="1:12" ht="21.95" customHeight="1" x14ac:dyDescent="0.25">
      <c r="A136" s="6" t="s">
        <v>348</v>
      </c>
      <c r="B136" s="6" t="s">
        <v>512</v>
      </c>
      <c r="C136" s="7" t="s">
        <v>513</v>
      </c>
      <c r="D136" s="6">
        <v>1501</v>
      </c>
      <c r="E136" s="6">
        <v>1</v>
      </c>
      <c r="F136" s="20">
        <v>72.7</v>
      </c>
      <c r="G136" s="20">
        <v>101.87</v>
      </c>
      <c r="H136" s="20">
        <v>72.7</v>
      </c>
      <c r="I136" s="20">
        <v>101.87</v>
      </c>
      <c r="J136" s="6" t="s">
        <v>51</v>
      </c>
      <c r="K136" s="6" t="s">
        <v>48</v>
      </c>
      <c r="L136" s="21">
        <v>46079</v>
      </c>
    </row>
    <row r="137" spans="1:12" ht="21.95" customHeight="1" x14ac:dyDescent="0.25">
      <c r="A137" s="6" t="s">
        <v>348</v>
      </c>
      <c r="B137" s="6" t="s">
        <v>514</v>
      </c>
      <c r="C137" s="7" t="s">
        <v>515</v>
      </c>
      <c r="D137" s="6">
        <v>1501</v>
      </c>
      <c r="E137" s="6">
        <v>1</v>
      </c>
      <c r="F137" s="20">
        <v>28.43</v>
      </c>
      <c r="G137" s="20">
        <v>69.819999999999993</v>
      </c>
      <c r="H137" s="20">
        <v>28.43</v>
      </c>
      <c r="I137" s="20">
        <v>69.819999999999993</v>
      </c>
      <c r="J137" s="6" t="s">
        <v>51</v>
      </c>
      <c r="K137" s="6" t="s">
        <v>48</v>
      </c>
      <c r="L137" s="21">
        <v>46079</v>
      </c>
    </row>
    <row r="138" spans="1:12" ht="21.95" customHeight="1" x14ac:dyDescent="0.25">
      <c r="A138" s="6" t="s">
        <v>348</v>
      </c>
      <c r="B138" s="6" t="s">
        <v>473</v>
      </c>
      <c r="C138" s="7" t="s">
        <v>474</v>
      </c>
      <c r="D138" s="6">
        <v>1501</v>
      </c>
      <c r="E138" s="6">
        <v>1</v>
      </c>
      <c r="F138" s="20">
        <v>7.96</v>
      </c>
      <c r="G138" s="20">
        <v>28.11</v>
      </c>
      <c r="H138" s="20">
        <v>7.96</v>
      </c>
      <c r="I138" s="20">
        <v>28.11</v>
      </c>
      <c r="J138" s="6" t="s">
        <v>51</v>
      </c>
      <c r="K138" s="6" t="s">
        <v>48</v>
      </c>
      <c r="L138" s="21">
        <v>46079</v>
      </c>
    </row>
    <row r="139" spans="1:12" ht="21.95" customHeight="1" x14ac:dyDescent="0.25">
      <c r="A139" s="6" t="s">
        <v>348</v>
      </c>
      <c r="B139" s="6" t="s">
        <v>516</v>
      </c>
      <c r="C139" s="7" t="s">
        <v>517</v>
      </c>
      <c r="D139" s="6">
        <v>1501</v>
      </c>
      <c r="E139" s="6">
        <v>2</v>
      </c>
      <c r="F139" s="20">
        <v>4.7300000000000004</v>
      </c>
      <c r="G139" s="20">
        <v>13.88</v>
      </c>
      <c r="H139" s="20">
        <v>9.4600000000000009</v>
      </c>
      <c r="I139" s="20">
        <v>27.76</v>
      </c>
      <c r="J139" s="6" t="s">
        <v>51</v>
      </c>
      <c r="K139" s="6" t="s">
        <v>48</v>
      </c>
      <c r="L139" s="21">
        <v>46079</v>
      </c>
    </row>
    <row r="140" spans="1:12" ht="21.95" customHeight="1" x14ac:dyDescent="0.25">
      <c r="A140" s="6" t="s">
        <v>348</v>
      </c>
      <c r="B140" s="6" t="s">
        <v>518</v>
      </c>
      <c r="C140" s="7" t="s">
        <v>519</v>
      </c>
      <c r="D140" s="6">
        <v>1501</v>
      </c>
      <c r="E140" s="6">
        <v>1</v>
      </c>
      <c r="F140" s="20">
        <v>4.74</v>
      </c>
      <c r="G140" s="20">
        <v>13.76</v>
      </c>
      <c r="H140" s="20">
        <v>4.74</v>
      </c>
      <c r="I140" s="20">
        <v>13.76</v>
      </c>
      <c r="J140" s="6" t="s">
        <v>51</v>
      </c>
      <c r="K140" s="6" t="s">
        <v>48</v>
      </c>
      <c r="L140" s="21">
        <v>46079</v>
      </c>
    </row>
    <row r="141" spans="1:12" ht="21.95" customHeight="1" x14ac:dyDescent="0.25">
      <c r="A141" s="6" t="s">
        <v>348</v>
      </c>
      <c r="B141" s="6" t="s">
        <v>520</v>
      </c>
      <c r="C141" s="7" t="s">
        <v>521</v>
      </c>
      <c r="D141" s="6">
        <v>1501</v>
      </c>
      <c r="E141" s="6">
        <v>1</v>
      </c>
      <c r="F141" s="20">
        <v>3.54</v>
      </c>
      <c r="G141" s="20">
        <v>7.78</v>
      </c>
      <c r="H141" s="20">
        <v>3.54</v>
      </c>
      <c r="I141" s="20">
        <v>7.78</v>
      </c>
      <c r="J141" s="6" t="s">
        <v>51</v>
      </c>
      <c r="K141" s="6" t="s">
        <v>48</v>
      </c>
      <c r="L141" s="21">
        <v>46079</v>
      </c>
    </row>
    <row r="142" spans="1:12" ht="21.95" customHeight="1" x14ac:dyDescent="0.25">
      <c r="A142" s="6" t="s">
        <v>348</v>
      </c>
      <c r="B142" s="6" t="s">
        <v>522</v>
      </c>
      <c r="C142" s="7" t="s">
        <v>523</v>
      </c>
      <c r="D142" s="6">
        <v>1501</v>
      </c>
      <c r="E142" s="6">
        <v>1</v>
      </c>
      <c r="F142" s="20">
        <v>2.1</v>
      </c>
      <c r="G142" s="20">
        <v>6.62</v>
      </c>
      <c r="H142" s="20">
        <v>2.1</v>
      </c>
      <c r="I142" s="20">
        <v>6.62</v>
      </c>
      <c r="J142" s="6" t="s">
        <v>51</v>
      </c>
      <c r="K142" s="6" t="s">
        <v>48</v>
      </c>
      <c r="L142" s="21">
        <v>46079</v>
      </c>
    </row>
    <row r="143" spans="1:12" ht="21.95" customHeight="1" x14ac:dyDescent="0.25">
      <c r="A143" s="8" t="s">
        <v>417</v>
      </c>
      <c r="B143" s="8" t="s">
        <v>524</v>
      </c>
      <c r="C143" s="9" t="s">
        <v>525</v>
      </c>
      <c r="D143" s="8">
        <v>1501</v>
      </c>
      <c r="E143" s="8">
        <v>1</v>
      </c>
      <c r="F143" s="22">
        <v>51.21</v>
      </c>
      <c r="G143" s="22">
        <v>78.66</v>
      </c>
      <c r="H143" s="22">
        <v>51.21</v>
      </c>
      <c r="I143" s="22">
        <v>78.66</v>
      </c>
      <c r="J143" s="8" t="s">
        <v>51</v>
      </c>
      <c r="K143" s="8" t="s">
        <v>48</v>
      </c>
      <c r="L143" s="23">
        <v>46079</v>
      </c>
    </row>
    <row r="144" spans="1:12" ht="21.95" customHeight="1" x14ac:dyDescent="0.25">
      <c r="A144" s="10" t="s">
        <v>420</v>
      </c>
      <c r="B144" s="10" t="s">
        <v>526</v>
      </c>
      <c r="C144" s="11" t="s">
        <v>527</v>
      </c>
      <c r="D144" s="10">
        <v>1501</v>
      </c>
      <c r="E144" s="10">
        <v>-1</v>
      </c>
      <c r="F144" s="24">
        <v>66.099999999999994</v>
      </c>
      <c r="G144" s="24">
        <v>89.64</v>
      </c>
      <c r="H144" s="24">
        <v>-66.099999999999994</v>
      </c>
      <c r="I144" s="24">
        <v>-89.64</v>
      </c>
      <c r="J144" s="10" t="s">
        <v>51</v>
      </c>
      <c r="K144" s="10" t="s">
        <v>48</v>
      </c>
      <c r="L144" s="25">
        <v>46079</v>
      </c>
    </row>
    <row r="145" spans="1:12" ht="21.95" customHeight="1" x14ac:dyDescent="0.25">
      <c r="A145" s="8" t="s">
        <v>417</v>
      </c>
      <c r="B145" s="8" t="s">
        <v>528</v>
      </c>
      <c r="C145" s="9" t="s">
        <v>529</v>
      </c>
      <c r="D145" s="8">
        <v>1501</v>
      </c>
      <c r="E145" s="8">
        <v>1</v>
      </c>
      <c r="F145" s="22">
        <v>22.89</v>
      </c>
      <c r="G145" s="22">
        <v>64.86</v>
      </c>
      <c r="H145" s="22">
        <v>22.89</v>
      </c>
      <c r="I145" s="22">
        <v>64.86</v>
      </c>
      <c r="J145" s="8" t="s">
        <v>51</v>
      </c>
      <c r="K145" s="8" t="s">
        <v>48</v>
      </c>
      <c r="L145" s="23">
        <v>46079</v>
      </c>
    </row>
    <row r="146" spans="1:12" ht="21.95" customHeight="1" x14ac:dyDescent="0.25">
      <c r="A146" s="10" t="s">
        <v>420</v>
      </c>
      <c r="B146" s="10" t="s">
        <v>530</v>
      </c>
      <c r="C146" s="11" t="s">
        <v>529</v>
      </c>
      <c r="D146" s="10">
        <v>1501</v>
      </c>
      <c r="E146" s="10">
        <v>-1</v>
      </c>
      <c r="F146" s="24">
        <v>29.07</v>
      </c>
      <c r="G146" s="24">
        <v>67.239999999999995</v>
      </c>
      <c r="H146" s="24">
        <v>-29.07</v>
      </c>
      <c r="I146" s="24">
        <v>-67.239999999999995</v>
      </c>
      <c r="J146" s="10" t="s">
        <v>51</v>
      </c>
      <c r="K146" s="10" t="s">
        <v>48</v>
      </c>
      <c r="L146" s="25">
        <v>46079</v>
      </c>
    </row>
    <row r="147" spans="1:12" ht="21.95" customHeight="1" x14ac:dyDescent="0.25">
      <c r="A147" s="8" t="s">
        <v>417</v>
      </c>
      <c r="B147" s="8" t="s">
        <v>531</v>
      </c>
      <c r="C147" s="9" t="s">
        <v>532</v>
      </c>
      <c r="D147" s="8">
        <v>1501</v>
      </c>
      <c r="E147" s="8">
        <v>1</v>
      </c>
      <c r="F147" s="22">
        <v>25.67</v>
      </c>
      <c r="G147" s="22">
        <v>68.42</v>
      </c>
      <c r="H147" s="22">
        <v>25.67</v>
      </c>
      <c r="I147" s="22">
        <v>68.42</v>
      </c>
      <c r="J147" s="8" t="s">
        <v>51</v>
      </c>
      <c r="K147" s="8" t="s">
        <v>48</v>
      </c>
      <c r="L147" s="23">
        <v>46079</v>
      </c>
    </row>
    <row r="148" spans="1:12" ht="21.95" customHeight="1" x14ac:dyDescent="0.25">
      <c r="A148" s="10" t="s">
        <v>420</v>
      </c>
      <c r="B148" s="10" t="s">
        <v>533</v>
      </c>
      <c r="C148" s="11" t="s">
        <v>534</v>
      </c>
      <c r="D148" s="10">
        <v>1501</v>
      </c>
      <c r="E148" s="10">
        <v>-1</v>
      </c>
      <c r="F148" s="24">
        <v>25.67</v>
      </c>
      <c r="G148" s="24">
        <v>68.42</v>
      </c>
      <c r="H148" s="24">
        <v>-25.67</v>
      </c>
      <c r="I148" s="24">
        <v>-68.42</v>
      </c>
      <c r="J148" s="10" t="s">
        <v>51</v>
      </c>
      <c r="K148" s="10" t="s">
        <v>48</v>
      </c>
      <c r="L148" s="25">
        <v>46079</v>
      </c>
    </row>
    <row r="149" spans="1:12" ht="21.95" customHeight="1" x14ac:dyDescent="0.25">
      <c r="A149" s="8" t="s">
        <v>417</v>
      </c>
      <c r="B149" s="8" t="s">
        <v>535</v>
      </c>
      <c r="C149" s="9" t="s">
        <v>536</v>
      </c>
      <c r="D149" s="8">
        <v>1501</v>
      </c>
      <c r="E149" s="8">
        <v>1</v>
      </c>
      <c r="F149" s="22">
        <v>41.45</v>
      </c>
      <c r="G149" s="22">
        <v>57</v>
      </c>
      <c r="H149" s="22">
        <v>41.45</v>
      </c>
      <c r="I149" s="22">
        <v>57</v>
      </c>
      <c r="J149" s="8" t="s">
        <v>51</v>
      </c>
      <c r="K149" s="8" t="s">
        <v>48</v>
      </c>
      <c r="L149" s="23">
        <v>46079</v>
      </c>
    </row>
    <row r="150" spans="1:12" ht="21.95" customHeight="1" x14ac:dyDescent="0.25">
      <c r="A150" s="10" t="s">
        <v>420</v>
      </c>
      <c r="B150" s="10" t="s">
        <v>537</v>
      </c>
      <c r="C150" s="11" t="s">
        <v>538</v>
      </c>
      <c r="D150" s="10">
        <v>1501</v>
      </c>
      <c r="E150" s="10">
        <v>-1</v>
      </c>
      <c r="F150" s="24">
        <v>41.45</v>
      </c>
      <c r="G150" s="24">
        <v>57</v>
      </c>
      <c r="H150" s="24">
        <v>-41.45</v>
      </c>
      <c r="I150" s="24">
        <v>-57</v>
      </c>
      <c r="J150" s="10" t="s">
        <v>51</v>
      </c>
      <c r="K150" s="10" t="s">
        <v>48</v>
      </c>
      <c r="L150" s="25">
        <v>46079</v>
      </c>
    </row>
    <row r="151" spans="1:12" ht="21.95" customHeight="1" x14ac:dyDescent="0.25">
      <c r="A151" s="8" t="s">
        <v>417</v>
      </c>
      <c r="B151" s="8" t="s">
        <v>539</v>
      </c>
      <c r="C151" s="9" t="s">
        <v>540</v>
      </c>
      <c r="D151" s="8">
        <v>1501</v>
      </c>
      <c r="E151" s="8">
        <v>1</v>
      </c>
      <c r="F151" s="22">
        <v>73.510000000000005</v>
      </c>
      <c r="G151" s="22">
        <v>110.26</v>
      </c>
      <c r="H151" s="22">
        <v>73.510000000000005</v>
      </c>
      <c r="I151" s="22">
        <v>110.26</v>
      </c>
      <c r="J151" s="8" t="s">
        <v>51</v>
      </c>
      <c r="K151" s="8" t="s">
        <v>48</v>
      </c>
      <c r="L151" s="23">
        <v>46079</v>
      </c>
    </row>
    <row r="152" spans="1:12" ht="21.95" customHeight="1" x14ac:dyDescent="0.25">
      <c r="A152" s="10" t="s">
        <v>420</v>
      </c>
      <c r="B152" s="10" t="s">
        <v>541</v>
      </c>
      <c r="C152" s="11" t="s">
        <v>542</v>
      </c>
      <c r="D152" s="10">
        <v>1501</v>
      </c>
      <c r="E152" s="10">
        <v>-1</v>
      </c>
      <c r="F152" s="24">
        <v>73.510000000000005</v>
      </c>
      <c r="G152" s="24">
        <v>110.26</v>
      </c>
      <c r="H152" s="24">
        <v>-73.510000000000005</v>
      </c>
      <c r="I152" s="24">
        <v>-110.26</v>
      </c>
      <c r="J152" s="10" t="s">
        <v>51</v>
      </c>
      <c r="K152" s="10" t="s">
        <v>48</v>
      </c>
      <c r="L152" s="25">
        <v>46079</v>
      </c>
    </row>
    <row r="153" spans="1:12" ht="21.95" customHeight="1" x14ac:dyDescent="0.25">
      <c r="A153" s="8" t="s">
        <v>417</v>
      </c>
      <c r="B153" s="8" t="s">
        <v>543</v>
      </c>
      <c r="C153" s="9" t="s">
        <v>544</v>
      </c>
      <c r="D153" s="8">
        <v>1501</v>
      </c>
      <c r="E153" s="8">
        <v>1</v>
      </c>
      <c r="F153" s="22">
        <v>104.81</v>
      </c>
      <c r="G153" s="22">
        <v>145.72999999999999</v>
      </c>
      <c r="H153" s="22">
        <v>104.81</v>
      </c>
      <c r="I153" s="22">
        <v>145.72999999999999</v>
      </c>
      <c r="J153" s="8" t="s">
        <v>51</v>
      </c>
      <c r="K153" s="8" t="s">
        <v>48</v>
      </c>
      <c r="L153" s="23">
        <v>46079</v>
      </c>
    </row>
    <row r="154" spans="1:12" ht="21.95" customHeight="1" x14ac:dyDescent="0.25">
      <c r="A154" s="10" t="s">
        <v>420</v>
      </c>
      <c r="B154" s="10" t="s">
        <v>545</v>
      </c>
      <c r="C154" s="11" t="s">
        <v>546</v>
      </c>
      <c r="D154" s="10">
        <v>1501</v>
      </c>
      <c r="E154" s="10">
        <v>-1</v>
      </c>
      <c r="F154" s="24">
        <v>104.81</v>
      </c>
      <c r="G154" s="24">
        <v>145.72999999999999</v>
      </c>
      <c r="H154" s="24">
        <v>-104.81</v>
      </c>
      <c r="I154" s="24">
        <v>-145.72999999999999</v>
      </c>
      <c r="J154" s="10" t="s">
        <v>51</v>
      </c>
      <c r="K154" s="10" t="s">
        <v>48</v>
      </c>
      <c r="L154" s="25">
        <v>46079</v>
      </c>
    </row>
    <row r="155" spans="1:12" ht="21.95" customHeight="1" x14ac:dyDescent="0.25">
      <c r="A155" s="8" t="s">
        <v>417</v>
      </c>
      <c r="B155" s="8" t="s">
        <v>338</v>
      </c>
      <c r="C155" s="9" t="s">
        <v>339</v>
      </c>
      <c r="D155" s="8">
        <v>1501</v>
      </c>
      <c r="E155" s="8">
        <v>32</v>
      </c>
      <c r="F155" s="22">
        <v>3.15</v>
      </c>
      <c r="G155" s="22">
        <v>5.18</v>
      </c>
      <c r="H155" s="22">
        <v>100.8</v>
      </c>
      <c r="I155" s="22">
        <v>165.76</v>
      </c>
      <c r="J155" s="8" t="s">
        <v>51</v>
      </c>
      <c r="K155" s="8" t="s">
        <v>48</v>
      </c>
      <c r="L155" s="23">
        <v>46079</v>
      </c>
    </row>
    <row r="156" spans="1:12" ht="21.95" customHeight="1" x14ac:dyDescent="0.25">
      <c r="A156" s="10" t="s">
        <v>420</v>
      </c>
      <c r="B156" s="10" t="s">
        <v>547</v>
      </c>
      <c r="C156" s="11" t="s">
        <v>548</v>
      </c>
      <c r="D156" s="10">
        <v>1501</v>
      </c>
      <c r="E156" s="10">
        <v>-32</v>
      </c>
      <c r="F156" s="24">
        <v>3.15</v>
      </c>
      <c r="G156" s="24">
        <v>5.18</v>
      </c>
      <c r="H156" s="24">
        <v>-100.8</v>
      </c>
      <c r="I156" s="24">
        <v>-165.76</v>
      </c>
      <c r="J156" s="10" t="s">
        <v>51</v>
      </c>
      <c r="K156" s="10" t="s">
        <v>48</v>
      </c>
      <c r="L156" s="25">
        <v>46079</v>
      </c>
    </row>
    <row r="157" spans="1:12" ht="21.95" customHeight="1" x14ac:dyDescent="0.25">
      <c r="A157" s="8" t="s">
        <v>417</v>
      </c>
      <c r="B157" s="8" t="s">
        <v>549</v>
      </c>
      <c r="C157" s="9" t="s">
        <v>550</v>
      </c>
      <c r="D157" s="8">
        <v>1501</v>
      </c>
      <c r="E157" s="8">
        <v>1</v>
      </c>
      <c r="F157" s="22">
        <v>20.54</v>
      </c>
      <c r="G157" s="22">
        <v>28.37</v>
      </c>
      <c r="H157" s="22">
        <v>20.54</v>
      </c>
      <c r="I157" s="22">
        <v>28.37</v>
      </c>
      <c r="J157" s="8" t="s">
        <v>51</v>
      </c>
      <c r="K157" s="8" t="s">
        <v>48</v>
      </c>
      <c r="L157" s="23">
        <v>46079</v>
      </c>
    </row>
    <row r="158" spans="1:12" ht="21.95" customHeight="1" x14ac:dyDescent="0.25">
      <c r="A158" s="10" t="s">
        <v>420</v>
      </c>
      <c r="B158" s="10" t="s">
        <v>551</v>
      </c>
      <c r="C158" s="11" t="s">
        <v>552</v>
      </c>
      <c r="D158" s="10">
        <v>1501</v>
      </c>
      <c r="E158" s="10">
        <v>-1</v>
      </c>
      <c r="F158" s="24">
        <v>20.100000000000001</v>
      </c>
      <c r="G158" s="24">
        <v>27.63</v>
      </c>
      <c r="H158" s="24">
        <v>-20.100000000000001</v>
      </c>
      <c r="I158" s="24">
        <v>-27.63</v>
      </c>
      <c r="J158" s="10" t="s">
        <v>51</v>
      </c>
      <c r="K158" s="10" t="s">
        <v>48</v>
      </c>
      <c r="L158" s="25">
        <v>46079</v>
      </c>
    </row>
    <row r="159" spans="1:12" ht="21.95" customHeight="1" x14ac:dyDescent="0.25">
      <c r="A159" s="8" t="s">
        <v>417</v>
      </c>
      <c r="B159" s="8" t="s">
        <v>549</v>
      </c>
      <c r="C159" s="9" t="s">
        <v>550</v>
      </c>
      <c r="D159" s="8">
        <v>1501</v>
      </c>
      <c r="E159" s="8">
        <v>1</v>
      </c>
      <c r="F159" s="22">
        <v>20.54</v>
      </c>
      <c r="G159" s="22">
        <v>28.37</v>
      </c>
      <c r="H159" s="22">
        <v>20.54</v>
      </c>
      <c r="I159" s="22">
        <v>28.37</v>
      </c>
      <c r="J159" s="8" t="s">
        <v>51</v>
      </c>
      <c r="K159" s="8" t="s">
        <v>48</v>
      </c>
      <c r="L159" s="23">
        <v>46079</v>
      </c>
    </row>
    <row r="160" spans="1:12" ht="21.95" customHeight="1" x14ac:dyDescent="0.25">
      <c r="A160" s="10" t="s">
        <v>420</v>
      </c>
      <c r="B160" s="10" t="s">
        <v>553</v>
      </c>
      <c r="C160" s="11" t="s">
        <v>554</v>
      </c>
      <c r="D160" s="10">
        <v>1501</v>
      </c>
      <c r="E160" s="10">
        <v>-1</v>
      </c>
      <c r="F160" s="24">
        <v>20.100000000000001</v>
      </c>
      <c r="G160" s="24">
        <v>27.63</v>
      </c>
      <c r="H160" s="24">
        <v>-20.100000000000001</v>
      </c>
      <c r="I160" s="24">
        <v>-27.63</v>
      </c>
      <c r="J160" s="10" t="s">
        <v>51</v>
      </c>
      <c r="K160" s="10" t="s">
        <v>48</v>
      </c>
      <c r="L160" s="25">
        <v>46079</v>
      </c>
    </row>
    <row r="161" spans="1:12" ht="21.95" customHeight="1" x14ac:dyDescent="0.25">
      <c r="A161" s="8" t="s">
        <v>417</v>
      </c>
      <c r="B161" s="8" t="s">
        <v>555</v>
      </c>
      <c r="C161" s="9" t="s">
        <v>556</v>
      </c>
      <c r="D161" s="8">
        <v>1501</v>
      </c>
      <c r="E161" s="8">
        <v>1</v>
      </c>
      <c r="F161" s="22">
        <v>6.68</v>
      </c>
      <c r="G161" s="22">
        <v>10.24</v>
      </c>
      <c r="H161" s="22">
        <v>6.68</v>
      </c>
      <c r="I161" s="22">
        <v>10.24</v>
      </c>
      <c r="J161" s="8" t="s">
        <v>51</v>
      </c>
      <c r="K161" s="8" t="s">
        <v>48</v>
      </c>
      <c r="L161" s="23">
        <v>46079</v>
      </c>
    </row>
    <row r="162" spans="1:12" ht="21.95" customHeight="1" x14ac:dyDescent="0.25">
      <c r="A162" s="10" t="s">
        <v>420</v>
      </c>
      <c r="B162" s="10" t="s">
        <v>328</v>
      </c>
      <c r="C162" s="11" t="s">
        <v>329</v>
      </c>
      <c r="D162" s="10">
        <v>1501</v>
      </c>
      <c r="E162" s="10">
        <v>-1</v>
      </c>
      <c r="F162" s="24">
        <v>4.3899999999999997</v>
      </c>
      <c r="G162" s="24">
        <v>8.41</v>
      </c>
      <c r="H162" s="24">
        <v>-4.3899999999999997</v>
      </c>
      <c r="I162" s="24">
        <v>-8.41</v>
      </c>
      <c r="J162" s="10" t="s">
        <v>51</v>
      </c>
      <c r="K162" s="10" t="s">
        <v>48</v>
      </c>
      <c r="L162" s="25">
        <v>46079</v>
      </c>
    </row>
    <row r="163" spans="1:12" ht="21.95" customHeight="1" x14ac:dyDescent="0.25">
      <c r="A163" s="8" t="s">
        <v>417</v>
      </c>
      <c r="B163" s="8" t="s">
        <v>405</v>
      </c>
      <c r="C163" s="9" t="s">
        <v>406</v>
      </c>
      <c r="D163" s="8">
        <v>1501</v>
      </c>
      <c r="E163" s="8">
        <v>1</v>
      </c>
      <c r="F163" s="22">
        <v>3.5</v>
      </c>
      <c r="G163" s="22">
        <v>5.75</v>
      </c>
      <c r="H163" s="22">
        <v>3.5</v>
      </c>
      <c r="I163" s="22">
        <v>5.75</v>
      </c>
      <c r="J163" s="8" t="s">
        <v>51</v>
      </c>
      <c r="K163" s="8" t="s">
        <v>48</v>
      </c>
      <c r="L163" s="23">
        <v>46079</v>
      </c>
    </row>
    <row r="164" spans="1:12" ht="21.95" customHeight="1" x14ac:dyDescent="0.25">
      <c r="A164" s="10" t="s">
        <v>420</v>
      </c>
      <c r="B164" s="10" t="s">
        <v>557</v>
      </c>
      <c r="C164" s="11" t="s">
        <v>558</v>
      </c>
      <c r="D164" s="10">
        <v>1501</v>
      </c>
      <c r="E164" s="10">
        <v>-1</v>
      </c>
      <c r="F164" s="24">
        <v>2.2999999999999998</v>
      </c>
      <c r="G164" s="24">
        <v>3.78</v>
      </c>
      <c r="H164" s="24">
        <v>-2.2999999999999998</v>
      </c>
      <c r="I164" s="24">
        <v>-3.78</v>
      </c>
      <c r="J164" s="10" t="s">
        <v>51</v>
      </c>
      <c r="K164" s="10" t="s">
        <v>48</v>
      </c>
      <c r="L164" s="25">
        <v>46079</v>
      </c>
    </row>
    <row r="165" spans="1:12" ht="21.95" customHeight="1" x14ac:dyDescent="0.25">
      <c r="A165" s="8" t="s">
        <v>417</v>
      </c>
      <c r="B165" s="8" t="s">
        <v>559</v>
      </c>
      <c r="C165" s="9" t="s">
        <v>560</v>
      </c>
      <c r="D165" s="8">
        <v>1501</v>
      </c>
      <c r="E165" s="8">
        <v>1</v>
      </c>
      <c r="F165" s="22">
        <v>23.78</v>
      </c>
      <c r="G165" s="22">
        <v>53.88</v>
      </c>
      <c r="H165" s="22">
        <v>23.78</v>
      </c>
      <c r="I165" s="22">
        <v>53.88</v>
      </c>
      <c r="J165" s="8" t="s">
        <v>51</v>
      </c>
      <c r="K165" s="8" t="s">
        <v>48</v>
      </c>
      <c r="L165" s="23">
        <v>46079</v>
      </c>
    </row>
    <row r="166" spans="1:12" ht="21.95" customHeight="1" x14ac:dyDescent="0.25">
      <c r="A166" s="10" t="s">
        <v>420</v>
      </c>
      <c r="B166" s="10" t="s">
        <v>561</v>
      </c>
      <c r="C166" s="11" t="s">
        <v>562</v>
      </c>
      <c r="D166" s="10">
        <v>1501</v>
      </c>
      <c r="E166" s="10">
        <v>-1</v>
      </c>
      <c r="F166" s="24">
        <v>36.79</v>
      </c>
      <c r="G166" s="24">
        <v>50.6</v>
      </c>
      <c r="H166" s="24">
        <v>-36.79</v>
      </c>
      <c r="I166" s="24">
        <v>-50.6</v>
      </c>
      <c r="J166" s="10" t="s">
        <v>51</v>
      </c>
      <c r="K166" s="10" t="s">
        <v>48</v>
      </c>
      <c r="L166" s="25">
        <v>46079</v>
      </c>
    </row>
    <row r="167" spans="1:12" ht="21.95" customHeight="1" x14ac:dyDescent="0.25">
      <c r="A167" s="8" t="s">
        <v>417</v>
      </c>
      <c r="B167" s="8" t="s">
        <v>312</v>
      </c>
      <c r="C167" s="9" t="s">
        <v>313</v>
      </c>
      <c r="D167" s="8">
        <v>1501</v>
      </c>
      <c r="E167" s="8">
        <v>2</v>
      </c>
      <c r="F167" s="22">
        <v>3.21</v>
      </c>
      <c r="G167" s="22">
        <v>5.77</v>
      </c>
      <c r="H167" s="22">
        <v>6.43</v>
      </c>
      <c r="I167" s="22">
        <v>11.54</v>
      </c>
      <c r="J167" s="8" t="s">
        <v>51</v>
      </c>
      <c r="K167" s="8" t="s">
        <v>48</v>
      </c>
      <c r="L167" s="23">
        <v>46079</v>
      </c>
    </row>
    <row r="168" spans="1:12" ht="21.95" customHeight="1" x14ac:dyDescent="0.25">
      <c r="A168" s="10" t="s">
        <v>420</v>
      </c>
      <c r="B168" s="10" t="s">
        <v>563</v>
      </c>
      <c r="C168" s="11" t="s">
        <v>564</v>
      </c>
      <c r="D168" s="10">
        <v>1501</v>
      </c>
      <c r="E168" s="10">
        <v>-2</v>
      </c>
      <c r="F168" s="24">
        <v>1.77</v>
      </c>
      <c r="G168" s="24">
        <v>3.85</v>
      </c>
      <c r="H168" s="24">
        <v>-3.55</v>
      </c>
      <c r="I168" s="24">
        <v>-7.7</v>
      </c>
      <c r="J168" s="10" t="s">
        <v>51</v>
      </c>
      <c r="K168" s="10" t="s">
        <v>48</v>
      </c>
      <c r="L168" s="25">
        <v>46079</v>
      </c>
    </row>
    <row r="169" spans="1:12" ht="21.95" customHeight="1" x14ac:dyDescent="0.25">
      <c r="A169" s="8" t="s">
        <v>417</v>
      </c>
      <c r="B169" s="8" t="s">
        <v>565</v>
      </c>
      <c r="C169" s="9" t="s">
        <v>566</v>
      </c>
      <c r="D169" s="8">
        <v>1501</v>
      </c>
      <c r="E169" s="8">
        <v>1</v>
      </c>
      <c r="F169" s="22">
        <v>39.99</v>
      </c>
      <c r="G169" s="22">
        <v>80.73</v>
      </c>
      <c r="H169" s="22">
        <v>39.99</v>
      </c>
      <c r="I169" s="22">
        <v>80.73</v>
      </c>
      <c r="J169" s="8" t="s">
        <v>51</v>
      </c>
      <c r="K169" s="8" t="s">
        <v>48</v>
      </c>
      <c r="L169" s="23">
        <v>46079</v>
      </c>
    </row>
    <row r="170" spans="1:12" ht="21.95" customHeight="1" x14ac:dyDescent="0.25">
      <c r="A170" s="10" t="s">
        <v>420</v>
      </c>
      <c r="B170" s="10" t="s">
        <v>567</v>
      </c>
      <c r="C170" s="11" t="s">
        <v>568</v>
      </c>
      <c r="D170" s="10">
        <v>1501</v>
      </c>
      <c r="E170" s="10">
        <v>-1</v>
      </c>
      <c r="F170" s="24">
        <v>37.72</v>
      </c>
      <c r="G170" s="24">
        <v>76.12</v>
      </c>
      <c r="H170" s="24">
        <v>-37.72</v>
      </c>
      <c r="I170" s="24">
        <v>-76.12</v>
      </c>
      <c r="J170" s="10" t="s">
        <v>51</v>
      </c>
      <c r="K170" s="10" t="s">
        <v>48</v>
      </c>
      <c r="L170" s="25">
        <v>46079</v>
      </c>
    </row>
    <row r="171" spans="1:12" ht="21.95" customHeight="1" x14ac:dyDescent="0.25">
      <c r="A171" s="8" t="s">
        <v>417</v>
      </c>
      <c r="B171" s="8" t="s">
        <v>569</v>
      </c>
      <c r="C171" s="9" t="s">
        <v>570</v>
      </c>
      <c r="D171" s="8">
        <v>1501</v>
      </c>
      <c r="E171" s="8">
        <v>1</v>
      </c>
      <c r="F171" s="22">
        <v>67.78</v>
      </c>
      <c r="G171" s="22">
        <v>94.35</v>
      </c>
      <c r="H171" s="22">
        <v>67.78</v>
      </c>
      <c r="I171" s="22">
        <v>94.35</v>
      </c>
      <c r="J171" s="8" t="s">
        <v>51</v>
      </c>
      <c r="K171" s="8" t="s">
        <v>48</v>
      </c>
      <c r="L171" s="23">
        <v>46079</v>
      </c>
    </row>
    <row r="172" spans="1:12" ht="21.95" customHeight="1" x14ac:dyDescent="0.25">
      <c r="A172" s="10" t="s">
        <v>420</v>
      </c>
      <c r="B172" s="10" t="s">
        <v>571</v>
      </c>
      <c r="C172" s="11" t="s">
        <v>572</v>
      </c>
      <c r="D172" s="10">
        <v>1501</v>
      </c>
      <c r="E172" s="10">
        <v>-1</v>
      </c>
      <c r="F172" s="24">
        <v>61.13</v>
      </c>
      <c r="G172" s="24">
        <v>89.5</v>
      </c>
      <c r="H172" s="24">
        <v>-61.13</v>
      </c>
      <c r="I172" s="24">
        <v>-89.5</v>
      </c>
      <c r="J172" s="10" t="s">
        <v>51</v>
      </c>
      <c r="K172" s="10" t="s">
        <v>48</v>
      </c>
      <c r="L172" s="25">
        <v>46079</v>
      </c>
    </row>
    <row r="173" spans="1:12" ht="21.95" customHeight="1" x14ac:dyDescent="0.25">
      <c r="A173" s="8" t="s">
        <v>417</v>
      </c>
      <c r="B173" s="8" t="s">
        <v>573</v>
      </c>
      <c r="C173" s="9" t="s">
        <v>574</v>
      </c>
      <c r="D173" s="8">
        <v>1501</v>
      </c>
      <c r="E173" s="8">
        <v>1</v>
      </c>
      <c r="F173" s="22">
        <v>43.96</v>
      </c>
      <c r="G173" s="22">
        <v>99.48</v>
      </c>
      <c r="H173" s="22">
        <v>43.96</v>
      </c>
      <c r="I173" s="22">
        <v>99.48</v>
      </c>
      <c r="J173" s="8" t="s">
        <v>51</v>
      </c>
      <c r="K173" s="8" t="s">
        <v>48</v>
      </c>
      <c r="L173" s="23">
        <v>46079</v>
      </c>
    </row>
    <row r="174" spans="1:12" ht="21.95" customHeight="1" x14ac:dyDescent="0.25">
      <c r="A174" s="10" t="s">
        <v>420</v>
      </c>
      <c r="B174" s="10" t="s">
        <v>575</v>
      </c>
      <c r="C174" s="11" t="s">
        <v>576</v>
      </c>
      <c r="D174" s="10">
        <v>1501</v>
      </c>
      <c r="E174" s="10">
        <v>-1</v>
      </c>
      <c r="F174" s="24">
        <v>47.26</v>
      </c>
      <c r="G174" s="24">
        <v>93.41</v>
      </c>
      <c r="H174" s="24">
        <v>-47.26</v>
      </c>
      <c r="I174" s="24">
        <v>-93.41</v>
      </c>
      <c r="J174" s="10" t="s">
        <v>51</v>
      </c>
      <c r="K174" s="10" t="s">
        <v>48</v>
      </c>
      <c r="L174" s="25">
        <v>46079</v>
      </c>
    </row>
    <row r="175" spans="1:12" ht="21.95" customHeight="1" x14ac:dyDescent="0.25">
      <c r="A175" s="8" t="s">
        <v>417</v>
      </c>
      <c r="B175" s="8" t="s">
        <v>577</v>
      </c>
      <c r="C175" s="9" t="s">
        <v>578</v>
      </c>
      <c r="D175" s="8">
        <v>1501</v>
      </c>
      <c r="E175" s="8">
        <v>1</v>
      </c>
      <c r="F175" s="22">
        <v>105.64</v>
      </c>
      <c r="G175" s="22">
        <v>147.06</v>
      </c>
      <c r="H175" s="22">
        <v>105.64</v>
      </c>
      <c r="I175" s="22">
        <v>147.06</v>
      </c>
      <c r="J175" s="8" t="s">
        <v>51</v>
      </c>
      <c r="K175" s="8" t="s">
        <v>48</v>
      </c>
      <c r="L175" s="23">
        <v>46079</v>
      </c>
    </row>
    <row r="176" spans="1:12" ht="21.95" customHeight="1" x14ac:dyDescent="0.25">
      <c r="A176" s="10" t="s">
        <v>420</v>
      </c>
      <c r="B176" s="10" t="s">
        <v>579</v>
      </c>
      <c r="C176" s="11" t="s">
        <v>580</v>
      </c>
      <c r="D176" s="10">
        <v>1501</v>
      </c>
      <c r="E176" s="10">
        <v>-1</v>
      </c>
      <c r="F176" s="24">
        <v>94.68</v>
      </c>
      <c r="G176" s="24">
        <v>138.62</v>
      </c>
      <c r="H176" s="24">
        <v>-94.68</v>
      </c>
      <c r="I176" s="24">
        <v>-138.62</v>
      </c>
      <c r="J176" s="10" t="s">
        <v>51</v>
      </c>
      <c r="K176" s="10" t="s">
        <v>48</v>
      </c>
      <c r="L176" s="25">
        <v>46079</v>
      </c>
    </row>
    <row r="177" spans="1:12" ht="21.95" customHeight="1" x14ac:dyDescent="0.25">
      <c r="A177" s="8" t="s">
        <v>417</v>
      </c>
      <c r="B177" s="8" t="s">
        <v>581</v>
      </c>
      <c r="C177" s="9" t="s">
        <v>582</v>
      </c>
      <c r="D177" s="8">
        <v>1501</v>
      </c>
      <c r="E177" s="8">
        <v>1</v>
      </c>
      <c r="F177" s="22">
        <v>69.180000000000007</v>
      </c>
      <c r="G177" s="22">
        <v>101.29</v>
      </c>
      <c r="H177" s="22">
        <v>69.180000000000007</v>
      </c>
      <c r="I177" s="22">
        <v>101.29</v>
      </c>
      <c r="J177" s="8" t="s">
        <v>51</v>
      </c>
      <c r="K177" s="8" t="s">
        <v>48</v>
      </c>
      <c r="L177" s="23">
        <v>46079</v>
      </c>
    </row>
    <row r="178" spans="1:12" ht="21.95" customHeight="1" x14ac:dyDescent="0.25">
      <c r="A178" s="10" t="s">
        <v>420</v>
      </c>
      <c r="B178" s="10" t="s">
        <v>583</v>
      </c>
      <c r="C178" s="11" t="s">
        <v>584</v>
      </c>
      <c r="D178" s="10">
        <v>1501</v>
      </c>
      <c r="E178" s="10">
        <v>-1</v>
      </c>
      <c r="F178" s="24">
        <v>42.25</v>
      </c>
      <c r="G178" s="24">
        <v>85.32</v>
      </c>
      <c r="H178" s="24">
        <v>-42.25</v>
      </c>
      <c r="I178" s="24">
        <v>-85.32</v>
      </c>
      <c r="J178" s="10" t="s">
        <v>51</v>
      </c>
      <c r="K178" s="10" t="s">
        <v>48</v>
      </c>
      <c r="L178" s="25">
        <v>46079</v>
      </c>
    </row>
    <row r="179" spans="1:12" ht="21.95" customHeight="1" x14ac:dyDescent="0.25">
      <c r="A179" s="14" t="s">
        <v>585</v>
      </c>
      <c r="B179" s="14" t="s">
        <v>586</v>
      </c>
      <c r="C179" s="15" t="s">
        <v>587</v>
      </c>
      <c r="D179" s="14">
        <v>1501</v>
      </c>
      <c r="E179" s="14">
        <v>-15</v>
      </c>
      <c r="F179" s="28">
        <v>2.4500000000000002</v>
      </c>
      <c r="G179" s="28">
        <v>3.94</v>
      </c>
      <c r="H179" s="28">
        <v>-36.72</v>
      </c>
      <c r="I179" s="28">
        <v>-59.1</v>
      </c>
      <c r="J179" s="14" t="s">
        <v>51</v>
      </c>
      <c r="K179" s="14" t="s">
        <v>48</v>
      </c>
      <c r="L179" s="29">
        <v>46079</v>
      </c>
    </row>
    <row r="180" spans="1:12" ht="21.95" customHeight="1" x14ac:dyDescent="0.25">
      <c r="A180" s="14" t="s">
        <v>585</v>
      </c>
      <c r="B180" s="14" t="s">
        <v>588</v>
      </c>
      <c r="C180" s="15" t="s">
        <v>589</v>
      </c>
      <c r="D180" s="14">
        <v>1501</v>
      </c>
      <c r="E180" s="14">
        <v>-2</v>
      </c>
      <c r="F180" s="28">
        <v>17.670000000000002</v>
      </c>
      <c r="G180" s="28">
        <v>28.75</v>
      </c>
      <c r="H180" s="28">
        <v>-35.33</v>
      </c>
      <c r="I180" s="28">
        <v>-57.5</v>
      </c>
      <c r="J180" s="14" t="s">
        <v>51</v>
      </c>
      <c r="K180" s="14" t="s">
        <v>48</v>
      </c>
      <c r="L180" s="29">
        <v>46079</v>
      </c>
    </row>
    <row r="181" spans="1:12" ht="21.95" customHeight="1" x14ac:dyDescent="0.25">
      <c r="A181" s="14" t="s">
        <v>585</v>
      </c>
      <c r="B181" s="14" t="s">
        <v>334</v>
      </c>
      <c r="C181" s="15" t="s">
        <v>335</v>
      </c>
      <c r="D181" s="14">
        <v>1501</v>
      </c>
      <c r="E181" s="14">
        <v>-13</v>
      </c>
      <c r="F181" s="28">
        <v>1.8</v>
      </c>
      <c r="G181" s="28">
        <v>2.96</v>
      </c>
      <c r="H181" s="28">
        <v>-23.4</v>
      </c>
      <c r="I181" s="28">
        <v>-38.479999999999997</v>
      </c>
      <c r="J181" s="14" t="s">
        <v>51</v>
      </c>
      <c r="K181" s="14" t="s">
        <v>48</v>
      </c>
      <c r="L181" s="29">
        <v>46079</v>
      </c>
    </row>
    <row r="182" spans="1:12" ht="21.95" customHeight="1" x14ac:dyDescent="0.25">
      <c r="A182" s="14" t="s">
        <v>585</v>
      </c>
      <c r="B182" s="14" t="s">
        <v>413</v>
      </c>
      <c r="C182" s="15" t="s">
        <v>414</v>
      </c>
      <c r="D182" s="14">
        <v>1501</v>
      </c>
      <c r="E182" s="14">
        <v>-10</v>
      </c>
      <c r="F182" s="28">
        <v>1.8</v>
      </c>
      <c r="G182" s="28">
        <v>2.96</v>
      </c>
      <c r="H182" s="28">
        <v>-18.010000000000002</v>
      </c>
      <c r="I182" s="28">
        <v>-29.6</v>
      </c>
      <c r="J182" s="14" t="s">
        <v>51</v>
      </c>
      <c r="K182" s="14" t="s">
        <v>48</v>
      </c>
      <c r="L182" s="29">
        <v>46079</v>
      </c>
    </row>
    <row r="183" spans="1:12" ht="21.95" customHeight="1" x14ac:dyDescent="0.25">
      <c r="A183" s="14" t="s">
        <v>585</v>
      </c>
      <c r="B183" s="14" t="s">
        <v>590</v>
      </c>
      <c r="C183" s="15" t="s">
        <v>591</v>
      </c>
      <c r="D183" s="14">
        <v>1501</v>
      </c>
      <c r="E183" s="14">
        <v>-6</v>
      </c>
      <c r="F183" s="28">
        <v>2.99</v>
      </c>
      <c r="G183" s="28">
        <v>4.62</v>
      </c>
      <c r="H183" s="28">
        <v>-17.96</v>
      </c>
      <c r="I183" s="28">
        <v>-27.72</v>
      </c>
      <c r="J183" s="14" t="s">
        <v>51</v>
      </c>
      <c r="K183" s="14" t="s">
        <v>48</v>
      </c>
      <c r="L183" s="29">
        <v>46079</v>
      </c>
    </row>
    <row r="184" spans="1:12" x14ac:dyDescent="0.25">
      <c r="A184" s="48" t="s">
        <v>592</v>
      </c>
      <c r="B184" s="48" t="s">
        <v>593</v>
      </c>
      <c r="C184" s="48" t="s">
        <v>594</v>
      </c>
      <c r="D184" s="48">
        <v>1510</v>
      </c>
      <c r="E184" s="48">
        <v>-1</v>
      </c>
      <c r="F184" s="49">
        <v>4.5731999999999999</v>
      </c>
      <c r="G184" s="49">
        <v>6.6965000000000003</v>
      </c>
      <c r="H184" s="49">
        <v>-4.5731999999999999</v>
      </c>
      <c r="I184" s="49">
        <v>-6.6965000000000003</v>
      </c>
      <c r="J184" s="48" t="s">
        <v>595</v>
      </c>
      <c r="K184" s="48" t="s">
        <v>245</v>
      </c>
      <c r="L184" s="50">
        <v>46122</v>
      </c>
    </row>
    <row r="185" spans="1:12" x14ac:dyDescent="0.25">
      <c r="A185" s="51" t="s">
        <v>592</v>
      </c>
      <c r="B185" s="51" t="s">
        <v>596</v>
      </c>
      <c r="C185" s="51" t="s">
        <v>597</v>
      </c>
      <c r="D185" s="51">
        <v>1510</v>
      </c>
      <c r="E185" s="51">
        <v>-1</v>
      </c>
      <c r="F185" s="52">
        <v>4.6558999999999999</v>
      </c>
      <c r="G185" s="52">
        <v>9.1104000000000003</v>
      </c>
      <c r="H185" s="52">
        <v>-4.6558999999999999</v>
      </c>
      <c r="I185" s="52">
        <v>-9.1104000000000003</v>
      </c>
      <c r="J185" s="51" t="s">
        <v>595</v>
      </c>
      <c r="K185" s="51" t="s">
        <v>245</v>
      </c>
      <c r="L185" s="53">
        <v>46122</v>
      </c>
    </row>
    <row r="186" spans="1:12" x14ac:dyDescent="0.25">
      <c r="A186" s="48" t="s">
        <v>592</v>
      </c>
      <c r="B186" s="48" t="s">
        <v>598</v>
      </c>
      <c r="C186" s="48" t="s">
        <v>599</v>
      </c>
      <c r="D186" s="48">
        <v>1510</v>
      </c>
      <c r="E186" s="48">
        <v>-1</v>
      </c>
      <c r="F186" s="49">
        <v>4.2168999999999999</v>
      </c>
      <c r="G186" s="49">
        <v>8.8585999999999991</v>
      </c>
      <c r="H186" s="49">
        <v>-4.2168999999999999</v>
      </c>
      <c r="I186" s="49">
        <v>-8.8585999999999991</v>
      </c>
      <c r="J186" s="48" t="s">
        <v>595</v>
      </c>
      <c r="K186" s="48" t="s">
        <v>245</v>
      </c>
      <c r="L186" s="50">
        <v>46122</v>
      </c>
    </row>
    <row r="187" spans="1:12" x14ac:dyDescent="0.25">
      <c r="A187" s="51" t="s">
        <v>592</v>
      </c>
      <c r="B187" s="51" t="s">
        <v>600</v>
      </c>
      <c r="C187" s="51" t="s">
        <v>601</v>
      </c>
      <c r="D187" s="51">
        <v>1510</v>
      </c>
      <c r="E187" s="51">
        <v>-2</v>
      </c>
      <c r="F187" s="52">
        <v>3.2212999999999998</v>
      </c>
      <c r="G187" s="52">
        <v>6.1738999999999997</v>
      </c>
      <c r="H187" s="52">
        <v>-6.4426000000000014</v>
      </c>
      <c r="I187" s="52">
        <v>-12.347799999999999</v>
      </c>
      <c r="J187" s="51" t="s">
        <v>595</v>
      </c>
      <c r="K187" s="51" t="s">
        <v>245</v>
      </c>
      <c r="L187" s="53">
        <v>46122</v>
      </c>
    </row>
    <row r="188" spans="1:12" x14ac:dyDescent="0.25">
      <c r="A188" s="48" t="s">
        <v>592</v>
      </c>
      <c r="B188" s="48" t="s">
        <v>602</v>
      </c>
      <c r="C188" s="48" t="s">
        <v>603</v>
      </c>
      <c r="D188" s="48">
        <v>1510</v>
      </c>
      <c r="E188" s="48">
        <v>-1</v>
      </c>
      <c r="F188" s="49">
        <v>12.524900000000001</v>
      </c>
      <c r="G188" s="49">
        <v>25.164999999999999</v>
      </c>
      <c r="H188" s="49">
        <v>-12.524900000000001</v>
      </c>
      <c r="I188" s="49">
        <v>-25.164999999999999</v>
      </c>
      <c r="J188" s="48" t="s">
        <v>595</v>
      </c>
      <c r="K188" s="48" t="s">
        <v>245</v>
      </c>
      <c r="L188" s="50">
        <v>46122</v>
      </c>
    </row>
    <row r="189" spans="1:12" x14ac:dyDescent="0.25">
      <c r="A189" s="51" t="s">
        <v>592</v>
      </c>
      <c r="B189" s="51" t="s">
        <v>604</v>
      </c>
      <c r="C189" s="51" t="s">
        <v>605</v>
      </c>
      <c r="D189" s="51">
        <v>1510</v>
      </c>
      <c r="E189" s="51">
        <v>-2</v>
      </c>
      <c r="F189" s="52">
        <v>1.2804</v>
      </c>
      <c r="G189" s="52">
        <v>2.7814000000000001</v>
      </c>
      <c r="H189" s="52">
        <v>-2.5608</v>
      </c>
      <c r="I189" s="52">
        <v>-5.5628000000000002</v>
      </c>
      <c r="J189" s="51" t="s">
        <v>595</v>
      </c>
      <c r="K189" s="51" t="s">
        <v>245</v>
      </c>
      <c r="L189" s="53">
        <v>46122</v>
      </c>
    </row>
    <row r="190" spans="1:12" x14ac:dyDescent="0.25">
      <c r="A190" s="48" t="s">
        <v>592</v>
      </c>
      <c r="B190" s="48" t="s">
        <v>606</v>
      </c>
      <c r="C190" s="48" t="s">
        <v>607</v>
      </c>
      <c r="D190" s="48">
        <v>1510</v>
      </c>
      <c r="E190" s="48">
        <v>-1</v>
      </c>
      <c r="F190" s="49">
        <v>26.788866666666671</v>
      </c>
      <c r="G190" s="49">
        <v>74.371499999999997</v>
      </c>
      <c r="H190" s="49">
        <v>-26.788866666666671</v>
      </c>
      <c r="I190" s="49">
        <v>-74.371499999999997</v>
      </c>
      <c r="J190" s="48" t="s">
        <v>595</v>
      </c>
      <c r="K190" s="48" t="s">
        <v>245</v>
      </c>
      <c r="L190" s="50">
        <v>46122</v>
      </c>
    </row>
    <row r="191" spans="1:12" x14ac:dyDescent="0.25">
      <c r="A191" s="51" t="s">
        <v>592</v>
      </c>
      <c r="B191" s="51" t="s">
        <v>608</v>
      </c>
      <c r="C191" s="51" t="s">
        <v>609</v>
      </c>
      <c r="D191" s="51">
        <v>1510</v>
      </c>
      <c r="E191" s="51">
        <v>-1</v>
      </c>
      <c r="F191" s="52">
        <v>34.832799999999999</v>
      </c>
      <c r="G191" s="52">
        <v>76.888000000000005</v>
      </c>
      <c r="H191" s="52">
        <v>-34.832799999999999</v>
      </c>
      <c r="I191" s="52">
        <v>-76.888000000000005</v>
      </c>
      <c r="J191" s="51" t="s">
        <v>595</v>
      </c>
      <c r="K191" s="51" t="s">
        <v>245</v>
      </c>
      <c r="L191" s="53">
        <v>46122</v>
      </c>
    </row>
    <row r="192" spans="1:12" x14ac:dyDescent="0.25">
      <c r="A192" s="48" t="s">
        <v>592</v>
      </c>
      <c r="B192" s="48" t="s">
        <v>610</v>
      </c>
      <c r="C192" s="48" t="s">
        <v>611</v>
      </c>
      <c r="D192" s="48">
        <v>1510</v>
      </c>
      <c r="E192" s="48">
        <v>-10</v>
      </c>
      <c r="F192" s="49">
        <v>0.99990000000000001</v>
      </c>
      <c r="G192" s="49">
        <v>1.544</v>
      </c>
      <c r="H192" s="49">
        <v>-9.9990000000000006</v>
      </c>
      <c r="I192" s="49">
        <v>-15.44</v>
      </c>
      <c r="J192" s="48" t="s">
        <v>595</v>
      </c>
      <c r="K192" s="48" t="s">
        <v>245</v>
      </c>
      <c r="L192" s="50">
        <v>46122</v>
      </c>
    </row>
    <row r="193" spans="1:12" x14ac:dyDescent="0.25">
      <c r="A193" s="51" t="s">
        <v>592</v>
      </c>
      <c r="B193" s="51" t="s">
        <v>612</v>
      </c>
      <c r="C193" s="51" t="s">
        <v>613</v>
      </c>
      <c r="D193" s="51">
        <v>1510</v>
      </c>
      <c r="E193" s="51">
        <v>-1</v>
      </c>
      <c r="F193" s="52">
        <v>7.3959000000000001</v>
      </c>
      <c r="G193" s="52">
        <v>11.2577</v>
      </c>
      <c r="H193" s="52">
        <v>-7.3959000000000001</v>
      </c>
      <c r="I193" s="52">
        <v>-11.2577</v>
      </c>
      <c r="J193" s="51" t="s">
        <v>595</v>
      </c>
      <c r="K193" s="51" t="s">
        <v>245</v>
      </c>
      <c r="L193" s="53">
        <v>46122</v>
      </c>
    </row>
    <row r="194" spans="1:12" x14ac:dyDescent="0.25">
      <c r="A194" s="48" t="s">
        <v>614</v>
      </c>
      <c r="B194" s="48" t="s">
        <v>615</v>
      </c>
      <c r="C194" s="48" t="s">
        <v>616</v>
      </c>
      <c r="D194" s="48">
        <v>1510</v>
      </c>
      <c r="E194" s="48">
        <v>1</v>
      </c>
      <c r="F194" s="49">
        <v>22.9666</v>
      </c>
      <c r="G194" s="49">
        <v>50.991</v>
      </c>
      <c r="H194" s="49">
        <v>22.9666</v>
      </c>
      <c r="I194" s="49">
        <v>50.991</v>
      </c>
      <c r="J194" s="48" t="s">
        <v>595</v>
      </c>
      <c r="K194" s="48" t="s">
        <v>245</v>
      </c>
      <c r="L194" s="50">
        <v>46122</v>
      </c>
    </row>
    <row r="195" spans="1:12" x14ac:dyDescent="0.25">
      <c r="A195" s="51" t="s">
        <v>614</v>
      </c>
      <c r="B195" s="51" t="s">
        <v>617</v>
      </c>
      <c r="C195" s="51" t="s">
        <v>618</v>
      </c>
      <c r="D195" s="51">
        <v>1510</v>
      </c>
      <c r="E195" s="51">
        <v>1</v>
      </c>
      <c r="F195" s="52">
        <v>3.7372999999999998</v>
      </c>
      <c r="G195" s="52">
        <v>6.4736000000000002</v>
      </c>
      <c r="H195" s="52">
        <v>3.7372999999999998</v>
      </c>
      <c r="I195" s="52">
        <v>6.4736000000000002</v>
      </c>
      <c r="J195" s="51" t="s">
        <v>595</v>
      </c>
      <c r="K195" s="51" t="s">
        <v>245</v>
      </c>
      <c r="L195" s="53">
        <v>46122</v>
      </c>
    </row>
    <row r="196" spans="1:12" x14ac:dyDescent="0.25">
      <c r="A196" s="48" t="s">
        <v>614</v>
      </c>
      <c r="B196" s="48" t="s">
        <v>619</v>
      </c>
      <c r="C196" s="48" t="s">
        <v>620</v>
      </c>
      <c r="D196" s="48">
        <v>1510</v>
      </c>
      <c r="E196" s="48">
        <v>1</v>
      </c>
      <c r="F196" s="49">
        <v>9.6948000000000008</v>
      </c>
      <c r="G196" s="49">
        <v>22.957599999999999</v>
      </c>
      <c r="H196" s="49">
        <v>9.6948000000000008</v>
      </c>
      <c r="I196" s="49">
        <v>22.957599999999999</v>
      </c>
      <c r="J196" s="48" t="s">
        <v>595</v>
      </c>
      <c r="K196" s="48" t="s">
        <v>245</v>
      </c>
      <c r="L196" s="50">
        <v>46122</v>
      </c>
    </row>
    <row r="197" spans="1:12" x14ac:dyDescent="0.25">
      <c r="A197" s="51" t="s">
        <v>614</v>
      </c>
      <c r="B197" s="51" t="s">
        <v>621</v>
      </c>
      <c r="C197" s="51" t="s">
        <v>622</v>
      </c>
      <c r="D197" s="51">
        <v>1510</v>
      </c>
      <c r="E197" s="51">
        <v>1</v>
      </c>
      <c r="F197" s="52">
        <v>5.0355999999999996</v>
      </c>
      <c r="G197" s="52">
        <v>12.9794</v>
      </c>
      <c r="H197" s="52">
        <v>5.0355999999999996</v>
      </c>
      <c r="I197" s="52">
        <v>12.9794</v>
      </c>
      <c r="J197" s="51" t="s">
        <v>595</v>
      </c>
      <c r="K197" s="51" t="s">
        <v>245</v>
      </c>
      <c r="L197" s="53">
        <v>46122</v>
      </c>
    </row>
    <row r="198" spans="1:12" x14ac:dyDescent="0.25">
      <c r="A198" s="48" t="s">
        <v>614</v>
      </c>
      <c r="B198" s="48" t="s">
        <v>623</v>
      </c>
      <c r="C198" s="48" t="s">
        <v>624</v>
      </c>
      <c r="D198" s="48">
        <v>1510</v>
      </c>
      <c r="E198" s="48">
        <v>1</v>
      </c>
      <c r="F198" s="49">
        <v>17.702100000000002</v>
      </c>
      <c r="G198" s="49">
        <v>25.923200000000001</v>
      </c>
      <c r="H198" s="49">
        <v>17.702100000000002</v>
      </c>
      <c r="I198" s="49">
        <v>25.923200000000001</v>
      </c>
      <c r="J198" s="48" t="s">
        <v>595</v>
      </c>
      <c r="K198" s="48" t="s">
        <v>245</v>
      </c>
      <c r="L198" s="50">
        <v>46122</v>
      </c>
    </row>
    <row r="199" spans="1:12" x14ac:dyDescent="0.25">
      <c r="A199" s="51" t="s">
        <v>614</v>
      </c>
      <c r="B199" s="51" t="s">
        <v>504</v>
      </c>
      <c r="C199" s="51" t="s">
        <v>505</v>
      </c>
      <c r="D199" s="51">
        <v>1510</v>
      </c>
      <c r="E199" s="51">
        <v>2</v>
      </c>
      <c r="F199" s="52">
        <v>0.85850000000000004</v>
      </c>
      <c r="G199" s="52">
        <v>1.7809999999999999</v>
      </c>
      <c r="H199" s="52">
        <v>1.7170000000000001</v>
      </c>
      <c r="I199" s="52">
        <v>3.5619999999999998</v>
      </c>
      <c r="J199" s="51" t="s">
        <v>595</v>
      </c>
      <c r="K199" s="51" t="s">
        <v>245</v>
      </c>
      <c r="L199" s="53">
        <v>46122</v>
      </c>
    </row>
    <row r="200" spans="1:12" x14ac:dyDescent="0.25">
      <c r="A200" s="48" t="s">
        <v>625</v>
      </c>
      <c r="B200" s="48" t="s">
        <v>626</v>
      </c>
      <c r="C200" s="48" t="s">
        <v>627</v>
      </c>
      <c r="D200" s="48">
        <v>1510</v>
      </c>
      <c r="E200" s="48">
        <v>1</v>
      </c>
      <c r="F200" s="49">
        <v>331.99919999999997</v>
      </c>
      <c r="G200" s="49">
        <v>824.10239999999999</v>
      </c>
      <c r="H200" s="49">
        <v>331.99919999999997</v>
      </c>
      <c r="I200" s="49">
        <v>824.10239999999999</v>
      </c>
      <c r="J200" s="48" t="s">
        <v>595</v>
      </c>
      <c r="K200" s="48" t="s">
        <v>245</v>
      </c>
      <c r="L200" s="50">
        <v>46122</v>
      </c>
    </row>
    <row r="201" spans="1:12" x14ac:dyDescent="0.25">
      <c r="A201" s="51" t="s">
        <v>625</v>
      </c>
      <c r="B201" s="51" t="s">
        <v>628</v>
      </c>
      <c r="C201" s="51" t="s">
        <v>629</v>
      </c>
      <c r="D201" s="51">
        <v>1510</v>
      </c>
      <c r="E201" s="51">
        <v>4</v>
      </c>
      <c r="F201" s="52">
        <v>3.4388999999999998</v>
      </c>
      <c r="G201" s="52">
        <v>8.8635999999999999</v>
      </c>
      <c r="H201" s="52">
        <v>13.755599999999999</v>
      </c>
      <c r="I201" s="52">
        <v>35.4544</v>
      </c>
      <c r="J201" s="51" t="s">
        <v>595</v>
      </c>
      <c r="K201" s="51" t="s">
        <v>245</v>
      </c>
      <c r="L201" s="53">
        <v>46122</v>
      </c>
    </row>
    <row r="202" spans="1:12" x14ac:dyDescent="0.25">
      <c r="A202" s="48" t="s">
        <v>625</v>
      </c>
      <c r="B202" s="48" t="s">
        <v>630</v>
      </c>
      <c r="C202" s="48" t="s">
        <v>631</v>
      </c>
      <c r="D202" s="48">
        <v>1510</v>
      </c>
      <c r="E202" s="48">
        <v>1</v>
      </c>
      <c r="F202" s="49">
        <v>7.14</v>
      </c>
      <c r="G202" s="49">
        <v>11.5</v>
      </c>
      <c r="H202" s="49">
        <v>7.14</v>
      </c>
      <c r="I202" s="49">
        <v>11.5</v>
      </c>
      <c r="J202" s="48" t="s">
        <v>595</v>
      </c>
      <c r="K202" s="48" t="s">
        <v>245</v>
      </c>
      <c r="L202" s="50">
        <v>46122</v>
      </c>
    </row>
    <row r="203" spans="1:12" x14ac:dyDescent="0.25">
      <c r="A203" s="51" t="s">
        <v>625</v>
      </c>
      <c r="B203" s="51" t="s">
        <v>632</v>
      </c>
      <c r="C203" s="51" t="s">
        <v>633</v>
      </c>
      <c r="D203" s="51">
        <v>1510</v>
      </c>
      <c r="E203" s="51">
        <v>1</v>
      </c>
      <c r="F203" s="52">
        <v>105.6353</v>
      </c>
      <c r="G203" s="52">
        <v>147.05840000000001</v>
      </c>
      <c r="H203" s="52">
        <v>105.6353</v>
      </c>
      <c r="I203" s="52">
        <v>147.05840000000001</v>
      </c>
      <c r="J203" s="51" t="s">
        <v>595</v>
      </c>
      <c r="K203" s="51" t="s">
        <v>245</v>
      </c>
      <c r="L203" s="53">
        <v>46122</v>
      </c>
    </row>
    <row r="204" spans="1:12" x14ac:dyDescent="0.25">
      <c r="A204" s="48" t="s">
        <v>625</v>
      </c>
      <c r="B204" s="48" t="s">
        <v>634</v>
      </c>
      <c r="C204" s="48" t="s">
        <v>635</v>
      </c>
      <c r="D204" s="48">
        <v>1510</v>
      </c>
      <c r="E204" s="48">
        <v>1</v>
      </c>
      <c r="F204" s="49">
        <v>60.53</v>
      </c>
      <c r="G204" s="49">
        <v>117.48</v>
      </c>
      <c r="H204" s="49">
        <v>60.53</v>
      </c>
      <c r="I204" s="49">
        <v>117.48</v>
      </c>
      <c r="J204" s="48" t="s">
        <v>595</v>
      </c>
      <c r="K204" s="48" t="s">
        <v>245</v>
      </c>
      <c r="L204" s="50">
        <v>46122</v>
      </c>
    </row>
    <row r="205" spans="1:12" x14ac:dyDescent="0.25">
      <c r="A205" s="51" t="s">
        <v>636</v>
      </c>
      <c r="B205" s="51" t="s">
        <v>637</v>
      </c>
      <c r="C205" s="51" t="s">
        <v>638</v>
      </c>
      <c r="D205" s="51">
        <v>1510</v>
      </c>
      <c r="E205" s="51">
        <v>-1</v>
      </c>
      <c r="F205" s="52">
        <v>331.9991</v>
      </c>
      <c r="G205" s="52">
        <v>787.15049999999997</v>
      </c>
      <c r="H205" s="52">
        <v>-331.9991</v>
      </c>
      <c r="I205" s="52">
        <v>-787.15049999999997</v>
      </c>
      <c r="J205" s="51" t="s">
        <v>595</v>
      </c>
      <c r="K205" s="51" t="s">
        <v>245</v>
      </c>
      <c r="L205" s="53">
        <v>46122</v>
      </c>
    </row>
    <row r="206" spans="1:12" x14ac:dyDescent="0.25">
      <c r="A206" s="48" t="s">
        <v>636</v>
      </c>
      <c r="B206" s="48" t="s">
        <v>639</v>
      </c>
      <c r="C206" s="48" t="s">
        <v>640</v>
      </c>
      <c r="D206" s="48">
        <v>1510</v>
      </c>
      <c r="E206" s="48">
        <v>-4</v>
      </c>
      <c r="F206" s="49">
        <v>3.4388999999999998</v>
      </c>
      <c r="G206" s="49">
        <v>8.8635999999999999</v>
      </c>
      <c r="H206" s="49">
        <v>-13.755599999999999</v>
      </c>
      <c r="I206" s="49">
        <v>-35.4544</v>
      </c>
      <c r="J206" s="48" t="s">
        <v>595</v>
      </c>
      <c r="K206" s="48" t="s">
        <v>245</v>
      </c>
      <c r="L206" s="50">
        <v>46122</v>
      </c>
    </row>
    <row r="207" spans="1:12" x14ac:dyDescent="0.25">
      <c r="A207" s="51" t="s">
        <v>636</v>
      </c>
      <c r="B207" s="51" t="s">
        <v>641</v>
      </c>
      <c r="C207" s="51" t="s">
        <v>642</v>
      </c>
      <c r="D207" s="51">
        <v>1510</v>
      </c>
      <c r="E207" s="51">
        <v>-1</v>
      </c>
      <c r="F207" s="52">
        <v>13.26</v>
      </c>
      <c r="G207" s="52">
        <v>21.357099999999999</v>
      </c>
      <c r="H207" s="52">
        <v>-13.26</v>
      </c>
      <c r="I207" s="52">
        <v>-21.357099999999999</v>
      </c>
      <c r="J207" s="51" t="s">
        <v>595</v>
      </c>
      <c r="K207" s="51" t="s">
        <v>245</v>
      </c>
      <c r="L207" s="53">
        <v>46122</v>
      </c>
    </row>
    <row r="208" spans="1:12" x14ac:dyDescent="0.25">
      <c r="A208" s="48" t="s">
        <v>636</v>
      </c>
      <c r="B208" s="48" t="s">
        <v>643</v>
      </c>
      <c r="C208" s="48" t="s">
        <v>644</v>
      </c>
      <c r="D208" s="48">
        <v>1510</v>
      </c>
      <c r="E208" s="48">
        <v>-1</v>
      </c>
      <c r="F208" s="49">
        <v>111.77030000000001</v>
      </c>
      <c r="G208" s="49">
        <v>163.684</v>
      </c>
      <c r="H208" s="49">
        <v>-111.77030000000001</v>
      </c>
      <c r="I208" s="49">
        <v>-163.684</v>
      </c>
      <c r="J208" s="48" t="s">
        <v>595</v>
      </c>
      <c r="K208" s="48"/>
      <c r="L208" s="50">
        <v>46122</v>
      </c>
    </row>
    <row r="209" spans="1:12" x14ac:dyDescent="0.25">
      <c r="A209" s="51" t="s">
        <v>636</v>
      </c>
      <c r="B209" s="51" t="s">
        <v>645</v>
      </c>
      <c r="C209" s="51" t="s">
        <v>646</v>
      </c>
      <c r="D209" s="51">
        <v>1510</v>
      </c>
      <c r="E209" s="51">
        <v>-1</v>
      </c>
      <c r="F209" s="52">
        <v>72.67</v>
      </c>
      <c r="G209" s="52">
        <v>182.14</v>
      </c>
      <c r="H209" s="52">
        <v>-72.67</v>
      </c>
      <c r="I209" s="52">
        <v>-182.14</v>
      </c>
      <c r="J209" s="51" t="s">
        <v>595</v>
      </c>
      <c r="K209" s="51"/>
      <c r="L209" s="53">
        <v>46122</v>
      </c>
    </row>
  </sheetData>
  <mergeCells count="2">
    <mergeCell ref="A2:L2"/>
    <mergeCell ref="A1:L1"/>
  </mergeCell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
  <sheetViews>
    <sheetView showGridLines="0" workbookViewId="0">
      <pane ySplit="3" topLeftCell="A4" activePane="bottomLeft" state="frozen"/>
      <selection pane="bottomLeft" activeCell="A5" sqref="A5"/>
    </sheetView>
  </sheetViews>
  <sheetFormatPr baseColWidth="10" defaultColWidth="9.140625" defaultRowHeight="15" x14ac:dyDescent="0.25"/>
  <cols>
    <col min="1" max="1" width="79.42578125" style="61" bestFit="1" customWidth="1"/>
    <col min="2" max="2" width="20.28515625" style="65" bestFit="1" customWidth="1"/>
    <col min="3" max="3" width="21.28515625" style="65" bestFit="1" customWidth="1"/>
    <col min="4" max="4" width="12.85546875" style="65" bestFit="1" customWidth="1"/>
    <col min="5" max="5" width="13" style="65" bestFit="1" customWidth="1"/>
    <col min="6" max="7" width="14.7109375" style="65" bestFit="1" customWidth="1"/>
  </cols>
  <sheetData>
    <row r="1" spans="1:8" ht="27.95" customHeight="1" x14ac:dyDescent="0.25">
      <c r="A1" s="72" t="s">
        <v>647</v>
      </c>
      <c r="B1" s="77"/>
      <c r="C1" s="77"/>
      <c r="D1" s="77"/>
      <c r="E1" s="77"/>
      <c r="F1" s="77"/>
      <c r="G1" s="77"/>
    </row>
    <row r="2" spans="1:8" ht="14.1" customHeight="1" x14ac:dyDescent="0.25">
      <c r="A2" s="42" t="s">
        <v>648</v>
      </c>
    </row>
    <row r="3" spans="1:8" ht="36" customHeight="1" x14ac:dyDescent="0.25">
      <c r="A3" s="1" t="s">
        <v>649</v>
      </c>
      <c r="B3" s="66" t="s">
        <v>650</v>
      </c>
      <c r="C3" s="66" t="s">
        <v>651</v>
      </c>
      <c r="D3" s="66" t="s">
        <v>652</v>
      </c>
      <c r="E3" s="66" t="s">
        <v>653</v>
      </c>
      <c r="F3" s="66" t="s">
        <v>654</v>
      </c>
      <c r="G3" s="66" t="s">
        <v>655</v>
      </c>
    </row>
    <row r="4" spans="1:8" ht="24" customHeight="1" x14ac:dyDescent="0.25">
      <c r="A4" s="54" t="s">
        <v>595</v>
      </c>
      <c r="B4" s="55">
        <v>-177.00229999999979</v>
      </c>
      <c r="C4" s="55">
        <v>-77.532366666666775</v>
      </c>
      <c r="D4" s="55">
        <v>-77.532366666666775</v>
      </c>
      <c r="E4" s="55">
        <v>-177.00229999999999</v>
      </c>
      <c r="F4" s="55">
        <v>1.7053025658242399E-13</v>
      </c>
      <c r="G4" s="55">
        <v>1.7053025658242399E-13</v>
      </c>
      <c r="H4" s="43"/>
    </row>
    <row r="5" spans="1:8" ht="24" customHeight="1" x14ac:dyDescent="0.25">
      <c r="A5" s="59" t="s">
        <v>244</v>
      </c>
      <c r="B5" s="60">
        <v>0</v>
      </c>
      <c r="C5" s="60">
        <v>0</v>
      </c>
      <c r="D5" s="60">
        <v>0</v>
      </c>
      <c r="E5" s="60">
        <v>0</v>
      </c>
      <c r="F5" s="60">
        <v>0</v>
      </c>
      <c r="G5" s="60">
        <v>0</v>
      </c>
    </row>
    <row r="6" spans="1:8" x14ac:dyDescent="0.25">
      <c r="A6" s="67" t="s">
        <v>656</v>
      </c>
      <c r="B6" s="68">
        <v>0</v>
      </c>
      <c r="C6" s="68">
        <v>0</v>
      </c>
      <c r="D6" s="68">
        <v>0</v>
      </c>
      <c r="E6" s="68">
        <v>0</v>
      </c>
      <c r="F6" s="68">
        <v>0</v>
      </c>
      <c r="G6" s="68">
        <v>0</v>
      </c>
    </row>
  </sheetData>
  <mergeCells count="1">
    <mergeCell ref="A1:G1"/>
  </mergeCell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0"/>
  <sheetViews>
    <sheetView workbookViewId="0"/>
  </sheetViews>
  <sheetFormatPr baseColWidth="10" defaultColWidth="9.140625" defaultRowHeight="15" x14ac:dyDescent="0.25"/>
  <sheetData>
    <row r="1" spans="1:1" x14ac:dyDescent="0.25">
      <c r="A1" t="s">
        <v>239</v>
      </c>
    </row>
    <row r="2" spans="1:1" x14ac:dyDescent="0.25">
      <c r="A2" t="s">
        <v>657</v>
      </c>
    </row>
    <row r="3" spans="1:1" x14ac:dyDescent="0.25">
      <c r="A3" t="s">
        <v>658</v>
      </c>
    </row>
    <row r="4" spans="1:1" x14ac:dyDescent="0.25">
      <c r="A4" t="s">
        <v>659</v>
      </c>
    </row>
    <row r="5" spans="1:1" x14ac:dyDescent="0.25">
      <c r="A5" t="s">
        <v>660</v>
      </c>
    </row>
    <row r="6" spans="1:1" x14ac:dyDescent="0.25">
      <c r="A6" t="s">
        <v>661</v>
      </c>
    </row>
    <row r="7" spans="1:1" x14ac:dyDescent="0.25">
      <c r="A7" t="s">
        <v>662</v>
      </c>
    </row>
    <row r="8" spans="1:1" x14ac:dyDescent="0.25">
      <c r="A8" t="s">
        <v>663</v>
      </c>
    </row>
    <row r="9" spans="1:1" x14ac:dyDescent="0.25">
      <c r="A9" t="s">
        <v>664</v>
      </c>
    </row>
    <row r="10" spans="1:1" x14ac:dyDescent="0.25">
      <c r="A10" t="s">
        <v>665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Registro_Auditorias</vt:lpstr>
      <vt:lpstr>Detalle_SKUs</vt:lpstr>
      <vt:lpstr>Resumen</vt:lpstr>
      <vt:lpstr>_Listas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Pablo Xavier Alvarado Galan</cp:lastModifiedBy>
  <dcterms:created xsi:type="dcterms:W3CDTF">2026-03-30T01:13:54Z</dcterms:created>
  <dcterms:modified xsi:type="dcterms:W3CDTF">2026-04-12T03:28:52Z</dcterms:modified>
</cp:coreProperties>
</file>